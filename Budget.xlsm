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toronto-my.sharepoint.com/personal/rishabh_garikiparithi_mail_utoronto_ca/Documents/Desktop/"/>
    </mc:Choice>
  </mc:AlternateContent>
  <xr:revisionPtr revIDLastSave="0" documentId="8_{C25C3AAA-C532-42AF-915D-7EE230B1055A}" xr6:coauthVersionLast="47" xr6:coauthVersionMax="47" xr10:uidLastSave="{00000000-0000-0000-0000-000000000000}"/>
  <bookViews>
    <workbookView xWindow="144" yWindow="120" windowWidth="22896" windowHeight="12120" activeTab="1" xr2:uid="{887D4595-D3B5-46CE-A70F-FC03CA4A33C6}"/>
  </bookViews>
  <sheets>
    <sheet name="2022" sheetId="10" r:id="rId1"/>
    <sheet name="2021" sheetId="1" r:id="rId2"/>
    <sheet name="2022 grph" sheetId="11" r:id="rId3"/>
    <sheet name="Sheet1" sheetId="7" r:id="rId4"/>
    <sheet name="Rent" sheetId="3" r:id="rId5"/>
    <sheet name="chequing pastebin" sheetId="4" r:id="rId6"/>
    <sheet name="crdcrd from website" sheetId="6" r:id="rId7"/>
    <sheet name="potential improvements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4" i="4" l="1"/>
  <c r="G14" i="4"/>
  <c r="I14" i="4"/>
  <c r="J14" i="4"/>
  <c r="F15" i="4"/>
  <c r="G15" i="4"/>
  <c r="I15" i="4"/>
  <c r="J15" i="4"/>
  <c r="F16" i="4"/>
  <c r="G16" i="4"/>
  <c r="I16" i="4"/>
  <c r="J16" i="4"/>
  <c r="F17" i="4"/>
  <c r="G17" i="4"/>
  <c r="I17" i="4"/>
  <c r="J17" i="4"/>
  <c r="F18" i="4"/>
  <c r="G18" i="4"/>
  <c r="I18" i="4"/>
  <c r="J18" i="4"/>
  <c r="F19" i="4"/>
  <c r="G19" i="4"/>
  <c r="I19" i="4"/>
  <c r="J19" i="4"/>
  <c r="F20" i="4"/>
  <c r="G20" i="4"/>
  <c r="I20" i="4"/>
  <c r="J20" i="4"/>
  <c r="F21" i="4"/>
  <c r="G21" i="4"/>
  <c r="I21" i="4"/>
  <c r="J21" i="4"/>
  <c r="F22" i="4"/>
  <c r="G22" i="4"/>
  <c r="I22" i="4"/>
  <c r="J22" i="4"/>
  <c r="F23" i="4"/>
  <c r="G23" i="4"/>
  <c r="I23" i="4"/>
  <c r="J23" i="4"/>
  <c r="F24" i="4"/>
  <c r="G24" i="4"/>
  <c r="I24" i="4"/>
  <c r="J24" i="4"/>
  <c r="F25" i="4"/>
  <c r="G25" i="4"/>
  <c r="I25" i="4"/>
  <c r="J25" i="4"/>
  <c r="F26" i="4"/>
  <c r="G26" i="4"/>
  <c r="I26" i="4"/>
  <c r="J26" i="4"/>
  <c r="F27" i="4"/>
  <c r="G27" i="4"/>
  <c r="I27" i="4"/>
  <c r="J27" i="4"/>
  <c r="F28" i="4"/>
  <c r="G28" i="4"/>
  <c r="I28" i="4"/>
  <c r="J28" i="4"/>
  <c r="F29" i="4"/>
  <c r="G29" i="4"/>
  <c r="I29" i="4"/>
  <c r="J29" i="4"/>
  <c r="F30" i="4"/>
  <c r="G30" i="4"/>
  <c r="I30" i="4"/>
  <c r="J30" i="4"/>
  <c r="F31" i="4"/>
  <c r="G31" i="4"/>
  <c r="I31" i="4"/>
  <c r="J31" i="4"/>
  <c r="F32" i="4"/>
  <c r="G32" i="4"/>
  <c r="I32" i="4"/>
  <c r="J32" i="4"/>
  <c r="F33" i="4"/>
  <c r="G33" i="4"/>
  <c r="I33" i="4"/>
  <c r="J33" i="4"/>
  <c r="J13" i="4"/>
  <c r="I13" i="4"/>
  <c r="G13" i="4"/>
  <c r="F13" i="4"/>
  <c r="E3" i="6"/>
  <c r="F3" i="6"/>
  <c r="H3" i="6"/>
  <c r="I3" i="6"/>
  <c r="E4" i="6"/>
  <c r="F4" i="6"/>
  <c r="H4" i="6"/>
  <c r="I4" i="6"/>
  <c r="E5" i="6"/>
  <c r="F5" i="6"/>
  <c r="H5" i="6"/>
  <c r="I5" i="6"/>
  <c r="E6" i="6"/>
  <c r="F6" i="6"/>
  <c r="H6" i="6"/>
  <c r="I6" i="6"/>
  <c r="E7" i="6"/>
  <c r="F7" i="6"/>
  <c r="H7" i="6"/>
  <c r="I7" i="6"/>
  <c r="E8" i="6"/>
  <c r="F8" i="6"/>
  <c r="H8" i="6"/>
  <c r="I8" i="6"/>
  <c r="E9" i="6"/>
  <c r="F9" i="6"/>
  <c r="H9" i="6"/>
  <c r="I9" i="6"/>
  <c r="E10" i="6"/>
  <c r="F10" i="6"/>
  <c r="H10" i="6"/>
  <c r="I10" i="6"/>
  <c r="E11" i="6"/>
  <c r="F11" i="6"/>
  <c r="H11" i="6"/>
  <c r="I11" i="6"/>
  <c r="E12" i="6"/>
  <c r="F12" i="6"/>
  <c r="H12" i="6"/>
  <c r="I12" i="6"/>
  <c r="E13" i="6"/>
  <c r="F13" i="6"/>
  <c r="H13" i="6"/>
  <c r="I13" i="6"/>
  <c r="E14" i="6"/>
  <c r="F14" i="6"/>
  <c r="H14" i="6"/>
  <c r="I14" i="6"/>
  <c r="E15" i="6"/>
  <c r="F15" i="6"/>
  <c r="H15" i="6"/>
  <c r="I15" i="6"/>
  <c r="E16" i="6"/>
  <c r="F16" i="6"/>
  <c r="H16" i="6"/>
  <c r="I16" i="6"/>
  <c r="E17" i="6"/>
  <c r="F17" i="6"/>
  <c r="H17" i="6"/>
  <c r="I17" i="6"/>
  <c r="E18" i="6"/>
  <c r="F18" i="6"/>
  <c r="H18" i="6"/>
  <c r="I18" i="6"/>
  <c r="E19" i="6"/>
  <c r="F19" i="6"/>
  <c r="H19" i="6"/>
  <c r="I19" i="6"/>
  <c r="E20" i="6"/>
  <c r="F20" i="6"/>
  <c r="H20" i="6"/>
  <c r="I20" i="6"/>
  <c r="E21" i="6"/>
  <c r="F21" i="6"/>
  <c r="H21" i="6"/>
  <c r="I21" i="6"/>
  <c r="E22" i="6"/>
  <c r="F22" i="6"/>
  <c r="H22" i="6"/>
  <c r="I22" i="6"/>
  <c r="E23" i="6"/>
  <c r="F23" i="6"/>
  <c r="H23" i="6"/>
  <c r="I23" i="6"/>
  <c r="E24" i="6"/>
  <c r="F24" i="6"/>
  <c r="H24" i="6"/>
  <c r="I24" i="6"/>
  <c r="E25" i="6"/>
  <c r="F25" i="6"/>
  <c r="H25" i="6"/>
  <c r="I25" i="6"/>
  <c r="E26" i="6"/>
  <c r="F26" i="6"/>
  <c r="H26" i="6"/>
  <c r="I26" i="6"/>
  <c r="E27" i="6"/>
  <c r="F27" i="6"/>
  <c r="H27" i="6"/>
  <c r="I27" i="6"/>
  <c r="E28" i="6"/>
  <c r="F28" i="6"/>
  <c r="H28" i="6"/>
  <c r="I28" i="6"/>
  <c r="E29" i="6"/>
  <c r="F29" i="6"/>
  <c r="H29" i="6"/>
  <c r="I29" i="6"/>
  <c r="E30" i="6"/>
  <c r="F30" i="6"/>
  <c r="H30" i="6"/>
  <c r="I30" i="6"/>
  <c r="E31" i="6"/>
  <c r="F31" i="6"/>
  <c r="H31" i="6"/>
  <c r="I31" i="6"/>
  <c r="E32" i="6"/>
  <c r="F32" i="6"/>
  <c r="H32" i="6"/>
  <c r="I32" i="6"/>
  <c r="E33" i="6"/>
  <c r="F33" i="6"/>
  <c r="H33" i="6"/>
  <c r="I33" i="6"/>
  <c r="E34" i="6"/>
  <c r="F34" i="6"/>
  <c r="H34" i="6"/>
  <c r="I34" i="6"/>
  <c r="I2" i="6"/>
  <c r="H2" i="6"/>
  <c r="F2" i="6"/>
  <c r="E2" i="6"/>
  <c r="D9" i="11"/>
  <c r="F19" i="10"/>
  <c r="F17" i="10"/>
  <c r="F2" i="10"/>
  <c r="N14" i="10"/>
  <c r="N15" i="10"/>
  <c r="N21" i="10"/>
  <c r="N23" i="10"/>
  <c r="N24" i="10"/>
  <c r="N30" i="10"/>
  <c r="N32" i="10"/>
  <c r="N33" i="10"/>
  <c r="N39" i="10"/>
  <c r="N42" i="10"/>
  <c r="N40" i="10"/>
  <c r="N43" i="10"/>
  <c r="N44" i="10"/>
  <c r="N45" i="10"/>
  <c r="N50" i="10"/>
  <c r="N51" i="10"/>
  <c r="N52" i="10"/>
  <c r="N53" i="10"/>
  <c r="N54" i="10"/>
  <c r="N57" i="10"/>
  <c r="N60" i="10"/>
  <c r="N64" i="10"/>
  <c r="N61" i="10"/>
  <c r="N65" i="10"/>
  <c r="N66" i="10"/>
  <c r="N67" i="10"/>
  <c r="N68" i="10"/>
  <c r="N70" i="10"/>
  <c r="N71" i="10"/>
  <c r="N73" i="10"/>
  <c r="N74" i="10"/>
  <c r="N75" i="10"/>
  <c r="N76" i="10"/>
  <c r="N77" i="10"/>
  <c r="N78" i="10"/>
  <c r="N80" i="10"/>
  <c r="N81" i="10"/>
  <c r="N82" i="10"/>
  <c r="N83" i="10"/>
  <c r="N34" i="10"/>
  <c r="N36" i="10"/>
  <c r="N35" i="10"/>
  <c r="N37" i="10"/>
  <c r="N38" i="10"/>
  <c r="N41" i="10"/>
  <c r="N46" i="10"/>
  <c r="N47" i="10"/>
  <c r="N48" i="10"/>
  <c r="N49" i="10"/>
  <c r="N55" i="10"/>
  <c r="N56" i="10"/>
  <c r="N58" i="10"/>
  <c r="N59" i="10"/>
  <c r="N62" i="10"/>
  <c r="N63" i="10"/>
  <c r="N69" i="10"/>
  <c r="N72" i="10"/>
  <c r="N79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F14" i="10"/>
  <c r="F15" i="10"/>
  <c r="F21" i="10"/>
  <c r="F23" i="10"/>
  <c r="F24" i="10"/>
  <c r="F30" i="10"/>
  <c r="F32" i="10"/>
  <c r="F33" i="10"/>
  <c r="F11" i="10"/>
  <c r="F12" i="10"/>
  <c r="F13" i="10"/>
  <c r="F16" i="10"/>
  <c r="F18" i="10"/>
  <c r="F20" i="10"/>
  <c r="F22" i="10"/>
  <c r="F25" i="10"/>
  <c r="F26" i="10"/>
  <c r="N26" i="10" s="1"/>
  <c r="F27" i="10"/>
  <c r="F28" i="10"/>
  <c r="F29" i="10"/>
  <c r="F31" i="10"/>
  <c r="F39" i="10"/>
  <c r="F42" i="10"/>
  <c r="F40" i="10"/>
  <c r="F43" i="10"/>
  <c r="F44" i="10"/>
  <c r="F45" i="10"/>
  <c r="F50" i="10"/>
  <c r="F51" i="10"/>
  <c r="F52" i="10"/>
  <c r="F53" i="10"/>
  <c r="F54" i="10"/>
  <c r="F57" i="10"/>
  <c r="F60" i="10"/>
  <c r="F64" i="10"/>
  <c r="F61" i="10"/>
  <c r="F65" i="10"/>
  <c r="F66" i="10"/>
  <c r="F67" i="10"/>
  <c r="F68" i="10"/>
  <c r="F70" i="10"/>
  <c r="F71" i="10"/>
  <c r="F73" i="10"/>
  <c r="F74" i="10"/>
  <c r="F75" i="10"/>
  <c r="F76" i="10"/>
  <c r="F77" i="10"/>
  <c r="F78" i="10"/>
  <c r="F80" i="10"/>
  <c r="F81" i="10"/>
  <c r="F82" i="10"/>
  <c r="F83" i="10"/>
  <c r="F34" i="10"/>
  <c r="F36" i="10"/>
  <c r="F35" i="10"/>
  <c r="F37" i="10"/>
  <c r="F38" i="10"/>
  <c r="F41" i="10"/>
  <c r="F46" i="10"/>
  <c r="F47" i="10"/>
  <c r="F48" i="10"/>
  <c r="F49" i="10"/>
  <c r="F55" i="10"/>
  <c r="F56" i="10"/>
  <c r="F58" i="10"/>
  <c r="F59" i="10"/>
  <c r="F62" i="10"/>
  <c r="F63" i="10"/>
  <c r="F69" i="10"/>
  <c r="F72" i="10"/>
  <c r="F79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N10" i="10"/>
  <c r="F10" i="10"/>
  <c r="N9" i="10"/>
  <c r="F9" i="10"/>
  <c r="N8" i="10"/>
  <c r="F8" i="10"/>
  <c r="N7" i="10"/>
  <c r="F7" i="10"/>
  <c r="N6" i="10"/>
  <c r="F6" i="10"/>
  <c r="N5" i="10"/>
  <c r="F5" i="10"/>
  <c r="N4" i="10"/>
  <c r="F4" i="10"/>
  <c r="N3" i="10"/>
  <c r="M3" i="10"/>
  <c r="M4" i="10" s="1"/>
  <c r="M5" i="10" s="1"/>
  <c r="M6" i="10" s="1"/>
  <c r="M7" i="10" s="1"/>
  <c r="M8" i="10" s="1"/>
  <c r="M9" i="10" s="1"/>
  <c r="M10" i="10" s="1"/>
  <c r="M11" i="10" s="1"/>
  <c r="M12" i="10" s="1"/>
  <c r="M13" i="10" s="1"/>
  <c r="M14" i="10" s="1"/>
  <c r="M15" i="10" s="1"/>
  <c r="M16" i="10" s="1"/>
  <c r="M17" i="10" s="1"/>
  <c r="M18" i="10" s="1"/>
  <c r="M19" i="10" s="1"/>
  <c r="M20" i="10" s="1"/>
  <c r="M21" i="10" s="1"/>
  <c r="M22" i="10" s="1"/>
  <c r="M23" i="10" s="1"/>
  <c r="M24" i="10" s="1"/>
  <c r="M25" i="10" s="1"/>
  <c r="M26" i="10" s="1"/>
  <c r="M27" i="10" s="1"/>
  <c r="M28" i="10" s="1"/>
  <c r="M29" i="10" s="1"/>
  <c r="M30" i="10" s="1"/>
  <c r="M31" i="10" s="1"/>
  <c r="M32" i="10" s="1"/>
  <c r="M33" i="10" s="1"/>
  <c r="M34" i="10" s="1"/>
  <c r="F3" i="10"/>
  <c r="N2040" i="10"/>
  <c r="N2039" i="10"/>
  <c r="N2038" i="10"/>
  <c r="N2037" i="10"/>
  <c r="N2036" i="10"/>
  <c r="N2035" i="10"/>
  <c r="N2034" i="10"/>
  <c r="N2033" i="10"/>
  <c r="N2032" i="10"/>
  <c r="N2031" i="10"/>
  <c r="N2030" i="10"/>
  <c r="N2029" i="10"/>
  <c r="N2028" i="10"/>
  <c r="N2027" i="10"/>
  <c r="N2026" i="10"/>
  <c r="F2026" i="10"/>
  <c r="N2025" i="10"/>
  <c r="F2025" i="10"/>
  <c r="N2024" i="10"/>
  <c r="F2024" i="10"/>
  <c r="N2023" i="10"/>
  <c r="F2023" i="10"/>
  <c r="N2022" i="10"/>
  <c r="F2022" i="10"/>
  <c r="N2021" i="10"/>
  <c r="F2021" i="10"/>
  <c r="N2020" i="10"/>
  <c r="F2020" i="10"/>
  <c r="N2019" i="10"/>
  <c r="F2019" i="10"/>
  <c r="N2018" i="10"/>
  <c r="F2018" i="10"/>
  <c r="N2017" i="10"/>
  <c r="F2017" i="10"/>
  <c r="N2016" i="10"/>
  <c r="F2016" i="10"/>
  <c r="N2015" i="10"/>
  <c r="F2015" i="10"/>
  <c r="N2014" i="10"/>
  <c r="F2014" i="10"/>
  <c r="N2013" i="10"/>
  <c r="F2013" i="10"/>
  <c r="N2012" i="10"/>
  <c r="F2012" i="10"/>
  <c r="N2011" i="10"/>
  <c r="F2011" i="10"/>
  <c r="N2010" i="10"/>
  <c r="F2010" i="10"/>
  <c r="N2009" i="10"/>
  <c r="F2009" i="10"/>
  <c r="N2008" i="10"/>
  <c r="F2008" i="10"/>
  <c r="N2007" i="10"/>
  <c r="F2007" i="10"/>
  <c r="N2006" i="10"/>
  <c r="F2006" i="10"/>
  <c r="N2005" i="10"/>
  <c r="F2005" i="10"/>
  <c r="N2004" i="10"/>
  <c r="F2004" i="10"/>
  <c r="N2003" i="10"/>
  <c r="F2003" i="10"/>
  <c r="N2002" i="10"/>
  <c r="F2002" i="10"/>
  <c r="N2001" i="10"/>
  <c r="F2001" i="10"/>
  <c r="N2000" i="10"/>
  <c r="F2000" i="10"/>
  <c r="N1999" i="10"/>
  <c r="F1999" i="10"/>
  <c r="N1998" i="10"/>
  <c r="F1998" i="10"/>
  <c r="N1997" i="10"/>
  <c r="F1997" i="10"/>
  <c r="N1996" i="10"/>
  <c r="F1996" i="10"/>
  <c r="N1995" i="10"/>
  <c r="F1995" i="10"/>
  <c r="N1994" i="10"/>
  <c r="F1994" i="10"/>
  <c r="N1993" i="10"/>
  <c r="F1993" i="10"/>
  <c r="N1992" i="10"/>
  <c r="F1992" i="10"/>
  <c r="N1991" i="10"/>
  <c r="F1991" i="10"/>
  <c r="N1990" i="10"/>
  <c r="F1990" i="10"/>
  <c r="N1989" i="10"/>
  <c r="F1989" i="10"/>
  <c r="N1988" i="10"/>
  <c r="F1988" i="10"/>
  <c r="N1987" i="10"/>
  <c r="F1987" i="10"/>
  <c r="N1986" i="10"/>
  <c r="F1986" i="10"/>
  <c r="N1985" i="10"/>
  <c r="F1985" i="10"/>
  <c r="N1984" i="10"/>
  <c r="F1984" i="10"/>
  <c r="N1983" i="10"/>
  <c r="F1983" i="10"/>
  <c r="N1982" i="10"/>
  <c r="F1982" i="10"/>
  <c r="N1981" i="10"/>
  <c r="F1981" i="10"/>
  <c r="N1980" i="10"/>
  <c r="F1980" i="10"/>
  <c r="N1979" i="10"/>
  <c r="F1979" i="10"/>
  <c r="N1978" i="10"/>
  <c r="F1978" i="10"/>
  <c r="N1977" i="10"/>
  <c r="F1977" i="10"/>
  <c r="N1976" i="10"/>
  <c r="F1976" i="10"/>
  <c r="N1975" i="10"/>
  <c r="F1975" i="10"/>
  <c r="N1974" i="10"/>
  <c r="F1974" i="10"/>
  <c r="N1973" i="10"/>
  <c r="F1973" i="10"/>
  <c r="N1972" i="10"/>
  <c r="F1972" i="10"/>
  <c r="N1971" i="10"/>
  <c r="F1971" i="10"/>
  <c r="N1970" i="10"/>
  <c r="F1970" i="10"/>
  <c r="N1969" i="10"/>
  <c r="F1969" i="10"/>
  <c r="N1968" i="10"/>
  <c r="F1968" i="10"/>
  <c r="N1967" i="10"/>
  <c r="F1967" i="10"/>
  <c r="N1966" i="10"/>
  <c r="F1966" i="10"/>
  <c r="N1965" i="10"/>
  <c r="F1965" i="10"/>
  <c r="N1964" i="10"/>
  <c r="F1964" i="10"/>
  <c r="N1963" i="10"/>
  <c r="F1963" i="10"/>
  <c r="N1962" i="10"/>
  <c r="F1962" i="10"/>
  <c r="N1961" i="10"/>
  <c r="F1961" i="10"/>
  <c r="N1960" i="10"/>
  <c r="F1960" i="10"/>
  <c r="N1959" i="10"/>
  <c r="F1959" i="10"/>
  <c r="N1958" i="10"/>
  <c r="F1958" i="10"/>
  <c r="N1957" i="10"/>
  <c r="F1957" i="10"/>
  <c r="N1956" i="10"/>
  <c r="F1956" i="10"/>
  <c r="N1955" i="10"/>
  <c r="F1955" i="10"/>
  <c r="N1954" i="10"/>
  <c r="F1954" i="10"/>
  <c r="N1953" i="10"/>
  <c r="F1953" i="10"/>
  <c r="N1952" i="10"/>
  <c r="F1952" i="10"/>
  <c r="N1951" i="10"/>
  <c r="F1951" i="10"/>
  <c r="N1950" i="10"/>
  <c r="F1950" i="10"/>
  <c r="N1949" i="10"/>
  <c r="F1949" i="10"/>
  <c r="N1948" i="10"/>
  <c r="F1948" i="10"/>
  <c r="N1947" i="10"/>
  <c r="F1947" i="10"/>
  <c r="N1946" i="10"/>
  <c r="F1946" i="10"/>
  <c r="N1945" i="10"/>
  <c r="F1945" i="10"/>
  <c r="N1944" i="10"/>
  <c r="F1944" i="10"/>
  <c r="N1943" i="10"/>
  <c r="F1943" i="10"/>
  <c r="N1942" i="10"/>
  <c r="F1942" i="10"/>
  <c r="N1941" i="10"/>
  <c r="F1941" i="10"/>
  <c r="N1940" i="10"/>
  <c r="F1940" i="10"/>
  <c r="N1939" i="10"/>
  <c r="F1939" i="10"/>
  <c r="N1938" i="10"/>
  <c r="F1938" i="10"/>
  <c r="N1937" i="10"/>
  <c r="F1937" i="10"/>
  <c r="N1936" i="10"/>
  <c r="F1936" i="10"/>
  <c r="N1935" i="10"/>
  <c r="F1935" i="10"/>
  <c r="N1934" i="10"/>
  <c r="F1934" i="10"/>
  <c r="N1933" i="10"/>
  <c r="F1933" i="10"/>
  <c r="N1932" i="10"/>
  <c r="F1932" i="10"/>
  <c r="N1931" i="10"/>
  <c r="F1931" i="10"/>
  <c r="N1930" i="10"/>
  <c r="F1930" i="10"/>
  <c r="N1929" i="10"/>
  <c r="F1929" i="10"/>
  <c r="N1928" i="10"/>
  <c r="F1928" i="10"/>
  <c r="N1927" i="10"/>
  <c r="F1927" i="10"/>
  <c r="N1926" i="10"/>
  <c r="F1926" i="10"/>
  <c r="N1925" i="10"/>
  <c r="F1925" i="10"/>
  <c r="N1924" i="10"/>
  <c r="F1924" i="10"/>
  <c r="N1923" i="10"/>
  <c r="F1923" i="10"/>
  <c r="N1922" i="10"/>
  <c r="F1922" i="10"/>
  <c r="N1921" i="10"/>
  <c r="F1921" i="10"/>
  <c r="N1920" i="10"/>
  <c r="F1920" i="10"/>
  <c r="N1919" i="10"/>
  <c r="F1919" i="10"/>
  <c r="N1918" i="10"/>
  <c r="F1918" i="10"/>
  <c r="N1917" i="10"/>
  <c r="F1917" i="10"/>
  <c r="N1916" i="10"/>
  <c r="F1916" i="10"/>
  <c r="N1915" i="10"/>
  <c r="F1915" i="10"/>
  <c r="N1914" i="10"/>
  <c r="F1914" i="10"/>
  <c r="N1913" i="10"/>
  <c r="F1913" i="10"/>
  <c r="N1912" i="10"/>
  <c r="F1912" i="10"/>
  <c r="N1911" i="10"/>
  <c r="F1911" i="10"/>
  <c r="N1910" i="10"/>
  <c r="F1910" i="10"/>
  <c r="N1909" i="10"/>
  <c r="F1909" i="10"/>
  <c r="N1908" i="10"/>
  <c r="F1908" i="10"/>
  <c r="N1907" i="10"/>
  <c r="F1907" i="10"/>
  <c r="N1906" i="10"/>
  <c r="F1906" i="10"/>
  <c r="N1905" i="10"/>
  <c r="F1905" i="10"/>
  <c r="N1904" i="10"/>
  <c r="F1904" i="10"/>
  <c r="N1903" i="10"/>
  <c r="F1903" i="10"/>
  <c r="N1902" i="10"/>
  <c r="F1902" i="10"/>
  <c r="N1901" i="10"/>
  <c r="F1901" i="10"/>
  <c r="N1900" i="10"/>
  <c r="F1900" i="10"/>
  <c r="N1899" i="10"/>
  <c r="F1899" i="10"/>
  <c r="N1898" i="10"/>
  <c r="F1898" i="10"/>
  <c r="N1897" i="10"/>
  <c r="F1897" i="10"/>
  <c r="N1896" i="10"/>
  <c r="F1896" i="10"/>
  <c r="N1895" i="10"/>
  <c r="F1895" i="10"/>
  <c r="N1894" i="10"/>
  <c r="F1894" i="10"/>
  <c r="N1893" i="10"/>
  <c r="F1893" i="10"/>
  <c r="N1892" i="10"/>
  <c r="F1892" i="10"/>
  <c r="N1891" i="10"/>
  <c r="F1891" i="10"/>
  <c r="N1890" i="10"/>
  <c r="F1890" i="10"/>
  <c r="N1889" i="10"/>
  <c r="F1889" i="10"/>
  <c r="N1888" i="10"/>
  <c r="F1888" i="10"/>
  <c r="N1887" i="10"/>
  <c r="F1887" i="10"/>
  <c r="N1886" i="10"/>
  <c r="F1886" i="10"/>
  <c r="N1885" i="10"/>
  <c r="F1885" i="10"/>
  <c r="N1884" i="10"/>
  <c r="F1884" i="10"/>
  <c r="N1883" i="10"/>
  <c r="F1883" i="10"/>
  <c r="N1882" i="10"/>
  <c r="F1882" i="10"/>
  <c r="N1881" i="10"/>
  <c r="F1881" i="10"/>
  <c r="N1880" i="10"/>
  <c r="F1880" i="10"/>
  <c r="N1879" i="10"/>
  <c r="F1879" i="10"/>
  <c r="N1878" i="10"/>
  <c r="F1878" i="10"/>
  <c r="N1877" i="10"/>
  <c r="F1877" i="10"/>
  <c r="N1876" i="10"/>
  <c r="F1876" i="10"/>
  <c r="N1875" i="10"/>
  <c r="F1875" i="10"/>
  <c r="N1874" i="10"/>
  <c r="F1874" i="10"/>
  <c r="N1873" i="10"/>
  <c r="F1873" i="10"/>
  <c r="N1872" i="10"/>
  <c r="F1872" i="10"/>
  <c r="N1871" i="10"/>
  <c r="F1871" i="10"/>
  <c r="N1870" i="10"/>
  <c r="F1870" i="10"/>
  <c r="N1869" i="10"/>
  <c r="F1869" i="10"/>
  <c r="N1868" i="10"/>
  <c r="F1868" i="10"/>
  <c r="N1867" i="10"/>
  <c r="F1867" i="10"/>
  <c r="N1866" i="10"/>
  <c r="F1866" i="10"/>
  <c r="N1865" i="10"/>
  <c r="F1865" i="10"/>
  <c r="N1864" i="10"/>
  <c r="F1864" i="10"/>
  <c r="N1863" i="10"/>
  <c r="F1863" i="10"/>
  <c r="N1862" i="10"/>
  <c r="F1862" i="10"/>
  <c r="N1861" i="10"/>
  <c r="F1861" i="10"/>
  <c r="N1860" i="10"/>
  <c r="F1860" i="10"/>
  <c r="N1859" i="10"/>
  <c r="F1859" i="10"/>
  <c r="N1858" i="10"/>
  <c r="F1858" i="10"/>
  <c r="N1857" i="10"/>
  <c r="F1857" i="10"/>
  <c r="N1856" i="10"/>
  <c r="F1856" i="10"/>
  <c r="N1855" i="10"/>
  <c r="F1855" i="10"/>
  <c r="N1854" i="10"/>
  <c r="F1854" i="10"/>
  <c r="N1853" i="10"/>
  <c r="F1853" i="10"/>
  <c r="N1852" i="10"/>
  <c r="F1852" i="10"/>
  <c r="N1851" i="10"/>
  <c r="F1851" i="10"/>
  <c r="N1850" i="10"/>
  <c r="F1850" i="10"/>
  <c r="N1849" i="10"/>
  <c r="F1849" i="10"/>
  <c r="N1848" i="10"/>
  <c r="F1848" i="10"/>
  <c r="N1847" i="10"/>
  <c r="F1847" i="10"/>
  <c r="N1846" i="10"/>
  <c r="F1846" i="10"/>
  <c r="N1845" i="10"/>
  <c r="F1845" i="10"/>
  <c r="N1844" i="10"/>
  <c r="F1844" i="10"/>
  <c r="N1843" i="10"/>
  <c r="F1843" i="10"/>
  <c r="N1842" i="10"/>
  <c r="F1842" i="10"/>
  <c r="N1841" i="10"/>
  <c r="F1841" i="10"/>
  <c r="N1840" i="10"/>
  <c r="F1840" i="10"/>
  <c r="N1839" i="10"/>
  <c r="F1839" i="10"/>
  <c r="N1838" i="10"/>
  <c r="F1838" i="10"/>
  <c r="N1837" i="10"/>
  <c r="F1837" i="10"/>
  <c r="N1836" i="10"/>
  <c r="F1836" i="10"/>
  <c r="N1835" i="10"/>
  <c r="F1835" i="10"/>
  <c r="N1834" i="10"/>
  <c r="F1834" i="10"/>
  <c r="N1833" i="10"/>
  <c r="F1833" i="10"/>
  <c r="N1832" i="10"/>
  <c r="F1832" i="10"/>
  <c r="N1831" i="10"/>
  <c r="F1831" i="10"/>
  <c r="N1830" i="10"/>
  <c r="F1830" i="10"/>
  <c r="N1829" i="10"/>
  <c r="F1829" i="10"/>
  <c r="N1828" i="10"/>
  <c r="F1828" i="10"/>
  <c r="N1827" i="10"/>
  <c r="F1827" i="10"/>
  <c r="N1826" i="10"/>
  <c r="F1826" i="10"/>
  <c r="N1825" i="10"/>
  <c r="F1825" i="10"/>
  <c r="N1824" i="10"/>
  <c r="F1824" i="10"/>
  <c r="N1823" i="10"/>
  <c r="F1823" i="10"/>
  <c r="N1822" i="10"/>
  <c r="F1822" i="10"/>
  <c r="N1821" i="10"/>
  <c r="F1821" i="10"/>
  <c r="N1820" i="10"/>
  <c r="F1820" i="10"/>
  <c r="N1819" i="10"/>
  <c r="F1819" i="10"/>
  <c r="N1818" i="10"/>
  <c r="F1818" i="10"/>
  <c r="N1817" i="10"/>
  <c r="F1817" i="10"/>
  <c r="N1816" i="10"/>
  <c r="F1816" i="10"/>
  <c r="N1815" i="10"/>
  <c r="F1815" i="10"/>
  <c r="N1814" i="10"/>
  <c r="F1814" i="10"/>
  <c r="N1813" i="10"/>
  <c r="F1813" i="10"/>
  <c r="N1812" i="10"/>
  <c r="F1812" i="10"/>
  <c r="N1811" i="10"/>
  <c r="F1811" i="10"/>
  <c r="N1810" i="10"/>
  <c r="F1810" i="10"/>
  <c r="N1809" i="10"/>
  <c r="F1809" i="10"/>
  <c r="N1808" i="10"/>
  <c r="F1808" i="10"/>
  <c r="N1807" i="10"/>
  <c r="F1807" i="10"/>
  <c r="N1806" i="10"/>
  <c r="F1806" i="10"/>
  <c r="N1805" i="10"/>
  <c r="F1805" i="10"/>
  <c r="N1804" i="10"/>
  <c r="F1804" i="10"/>
  <c r="N1803" i="10"/>
  <c r="F1803" i="10"/>
  <c r="N1802" i="10"/>
  <c r="F1802" i="10"/>
  <c r="N1801" i="10"/>
  <c r="F1801" i="10"/>
  <c r="N1800" i="10"/>
  <c r="F1800" i="10"/>
  <c r="N1799" i="10"/>
  <c r="F1799" i="10"/>
  <c r="N1798" i="10"/>
  <c r="F1798" i="10"/>
  <c r="N1797" i="10"/>
  <c r="F1797" i="10"/>
  <c r="N1796" i="10"/>
  <c r="F1796" i="10"/>
  <c r="N1795" i="10"/>
  <c r="F1795" i="10"/>
  <c r="N1794" i="10"/>
  <c r="F1794" i="10"/>
  <c r="N1793" i="10"/>
  <c r="F1793" i="10"/>
  <c r="N1792" i="10"/>
  <c r="F1792" i="10"/>
  <c r="N1791" i="10"/>
  <c r="F1791" i="10"/>
  <c r="N1790" i="10"/>
  <c r="F1790" i="10"/>
  <c r="N1789" i="10"/>
  <c r="F1789" i="10"/>
  <c r="N1788" i="10"/>
  <c r="F1788" i="10"/>
  <c r="N1787" i="10"/>
  <c r="F1787" i="10"/>
  <c r="N1786" i="10"/>
  <c r="F1786" i="10"/>
  <c r="N1785" i="10"/>
  <c r="F1785" i="10"/>
  <c r="N1784" i="10"/>
  <c r="F1784" i="10"/>
  <c r="N1783" i="10"/>
  <c r="F1783" i="10"/>
  <c r="N1782" i="10"/>
  <c r="F1782" i="10"/>
  <c r="N1781" i="10"/>
  <c r="F1781" i="10"/>
  <c r="N1780" i="10"/>
  <c r="F1780" i="10"/>
  <c r="N1779" i="10"/>
  <c r="F1779" i="10"/>
  <c r="N1778" i="10"/>
  <c r="F1778" i="10"/>
  <c r="N1777" i="10"/>
  <c r="F1777" i="10"/>
  <c r="N1776" i="10"/>
  <c r="F1776" i="10"/>
  <c r="N1775" i="10"/>
  <c r="F1775" i="10"/>
  <c r="N1774" i="10"/>
  <c r="F1774" i="10"/>
  <c r="N1773" i="10"/>
  <c r="F1773" i="10"/>
  <c r="N1772" i="10"/>
  <c r="F1772" i="10"/>
  <c r="N1771" i="10"/>
  <c r="F1771" i="10"/>
  <c r="N1770" i="10"/>
  <c r="F1770" i="10"/>
  <c r="N1769" i="10"/>
  <c r="F1769" i="10"/>
  <c r="N1768" i="10"/>
  <c r="F1768" i="10"/>
  <c r="N1767" i="10"/>
  <c r="F1767" i="10"/>
  <c r="N1766" i="10"/>
  <c r="F1766" i="10"/>
  <c r="N1765" i="10"/>
  <c r="F1765" i="10"/>
  <c r="N1764" i="10"/>
  <c r="F1764" i="10"/>
  <c r="N1763" i="10"/>
  <c r="F1763" i="10"/>
  <c r="N1762" i="10"/>
  <c r="F1762" i="10"/>
  <c r="N1761" i="10"/>
  <c r="F1761" i="10"/>
  <c r="N1760" i="10"/>
  <c r="F1760" i="10"/>
  <c r="N1759" i="10"/>
  <c r="F1759" i="10"/>
  <c r="N1758" i="10"/>
  <c r="F1758" i="10"/>
  <c r="N1757" i="10"/>
  <c r="F1757" i="10"/>
  <c r="N1756" i="10"/>
  <c r="F1756" i="10"/>
  <c r="N1755" i="10"/>
  <c r="F1755" i="10"/>
  <c r="N1754" i="10"/>
  <c r="F1754" i="10"/>
  <c r="N1753" i="10"/>
  <c r="F1753" i="10"/>
  <c r="N1752" i="10"/>
  <c r="F1752" i="10"/>
  <c r="N1751" i="10"/>
  <c r="F1751" i="10"/>
  <c r="N1750" i="10"/>
  <c r="F1750" i="10"/>
  <c r="N1749" i="10"/>
  <c r="F1749" i="10"/>
  <c r="N1748" i="10"/>
  <c r="F1748" i="10"/>
  <c r="N1747" i="10"/>
  <c r="F1747" i="10"/>
  <c r="N1746" i="10"/>
  <c r="F1746" i="10"/>
  <c r="N1745" i="10"/>
  <c r="F1745" i="10"/>
  <c r="N1744" i="10"/>
  <c r="F1744" i="10"/>
  <c r="N1743" i="10"/>
  <c r="F1743" i="10"/>
  <c r="N1742" i="10"/>
  <c r="F1742" i="10"/>
  <c r="N1741" i="10"/>
  <c r="F1741" i="10"/>
  <c r="N1740" i="10"/>
  <c r="F1740" i="10"/>
  <c r="N1739" i="10"/>
  <c r="F1739" i="10"/>
  <c r="N1738" i="10"/>
  <c r="F1738" i="10"/>
  <c r="N1737" i="10"/>
  <c r="F1737" i="10"/>
  <c r="N1736" i="10"/>
  <c r="F1736" i="10"/>
  <c r="N1735" i="10"/>
  <c r="F1735" i="10"/>
  <c r="N1734" i="10"/>
  <c r="F1734" i="10"/>
  <c r="N1733" i="10"/>
  <c r="F1733" i="10"/>
  <c r="N1732" i="10"/>
  <c r="F1732" i="10"/>
  <c r="N1731" i="10"/>
  <c r="F1731" i="10"/>
  <c r="N1730" i="10"/>
  <c r="F1730" i="10"/>
  <c r="N1729" i="10"/>
  <c r="F1729" i="10"/>
  <c r="N1728" i="10"/>
  <c r="F1728" i="10"/>
  <c r="N1727" i="10"/>
  <c r="F1727" i="10"/>
  <c r="N1726" i="10"/>
  <c r="F1726" i="10"/>
  <c r="N1725" i="10"/>
  <c r="F1725" i="10"/>
  <c r="N1724" i="10"/>
  <c r="F1724" i="10"/>
  <c r="N1723" i="10"/>
  <c r="F1723" i="10"/>
  <c r="N1722" i="10"/>
  <c r="F1722" i="10"/>
  <c r="N1721" i="10"/>
  <c r="F1721" i="10"/>
  <c r="N1720" i="10"/>
  <c r="F1720" i="10"/>
  <c r="N1719" i="10"/>
  <c r="F1719" i="10"/>
  <c r="N1718" i="10"/>
  <c r="F1718" i="10"/>
  <c r="N1717" i="10"/>
  <c r="F1717" i="10"/>
  <c r="N1716" i="10"/>
  <c r="F1716" i="10"/>
  <c r="N1715" i="10"/>
  <c r="F1715" i="10"/>
  <c r="N1714" i="10"/>
  <c r="F1714" i="10"/>
  <c r="N1713" i="10"/>
  <c r="F1713" i="10"/>
  <c r="N1712" i="10"/>
  <c r="F1712" i="10"/>
  <c r="N1711" i="10"/>
  <c r="F1711" i="10"/>
  <c r="N1710" i="10"/>
  <c r="F1710" i="10"/>
  <c r="N1709" i="10"/>
  <c r="F1709" i="10"/>
  <c r="N1708" i="10"/>
  <c r="F1708" i="10"/>
  <c r="N1707" i="10"/>
  <c r="F1707" i="10"/>
  <c r="N1706" i="10"/>
  <c r="F1706" i="10"/>
  <c r="N1705" i="10"/>
  <c r="F1705" i="10"/>
  <c r="N1704" i="10"/>
  <c r="F1704" i="10"/>
  <c r="N1703" i="10"/>
  <c r="F1703" i="10"/>
  <c r="N1702" i="10"/>
  <c r="F1702" i="10"/>
  <c r="N1701" i="10"/>
  <c r="F1701" i="10"/>
  <c r="N1700" i="10"/>
  <c r="F1700" i="10"/>
  <c r="N1699" i="10"/>
  <c r="F1699" i="10"/>
  <c r="N1698" i="10"/>
  <c r="F1698" i="10"/>
  <c r="N1697" i="10"/>
  <c r="F1697" i="10"/>
  <c r="N1696" i="10"/>
  <c r="F1696" i="10"/>
  <c r="N1695" i="10"/>
  <c r="F1695" i="10"/>
  <c r="N1694" i="10"/>
  <c r="F1694" i="10"/>
  <c r="N1693" i="10"/>
  <c r="F1693" i="10"/>
  <c r="N1692" i="10"/>
  <c r="F1692" i="10"/>
  <c r="N1691" i="10"/>
  <c r="F1691" i="10"/>
  <c r="N1690" i="10"/>
  <c r="F1690" i="10"/>
  <c r="N1689" i="10"/>
  <c r="F1689" i="10"/>
  <c r="N1688" i="10"/>
  <c r="F1688" i="10"/>
  <c r="N1687" i="10"/>
  <c r="F1687" i="10"/>
  <c r="N1686" i="10"/>
  <c r="F1686" i="10"/>
  <c r="N1685" i="10"/>
  <c r="F1685" i="10"/>
  <c r="N1684" i="10"/>
  <c r="F1684" i="10"/>
  <c r="N1683" i="10"/>
  <c r="F1683" i="10"/>
  <c r="N1682" i="10"/>
  <c r="F1682" i="10"/>
  <c r="N1681" i="10"/>
  <c r="F1681" i="10"/>
  <c r="N1680" i="10"/>
  <c r="F1680" i="10"/>
  <c r="N1679" i="10"/>
  <c r="F1679" i="10"/>
  <c r="N1678" i="10"/>
  <c r="F1678" i="10"/>
  <c r="N1677" i="10"/>
  <c r="F1677" i="10"/>
  <c r="N1676" i="10"/>
  <c r="F1676" i="10"/>
  <c r="N1675" i="10"/>
  <c r="F1675" i="10"/>
  <c r="N1674" i="10"/>
  <c r="F1674" i="10"/>
  <c r="N1673" i="10"/>
  <c r="F1673" i="10"/>
  <c r="N1672" i="10"/>
  <c r="F1672" i="10"/>
  <c r="N1671" i="10"/>
  <c r="F1671" i="10"/>
  <c r="N1670" i="10"/>
  <c r="F1670" i="10"/>
  <c r="N1669" i="10"/>
  <c r="F1669" i="10"/>
  <c r="N1668" i="10"/>
  <c r="F1668" i="10"/>
  <c r="N1667" i="10"/>
  <c r="F1667" i="10"/>
  <c r="N1666" i="10"/>
  <c r="F1666" i="10"/>
  <c r="N1665" i="10"/>
  <c r="F1665" i="10"/>
  <c r="N1664" i="10"/>
  <c r="F1664" i="10"/>
  <c r="N1663" i="10"/>
  <c r="F1663" i="10"/>
  <c r="N1662" i="10"/>
  <c r="F1662" i="10"/>
  <c r="N1661" i="10"/>
  <c r="F1661" i="10"/>
  <c r="N1660" i="10"/>
  <c r="F1660" i="10"/>
  <c r="N1659" i="10"/>
  <c r="F1659" i="10"/>
  <c r="N1658" i="10"/>
  <c r="F1658" i="10"/>
  <c r="N1657" i="10"/>
  <c r="F1657" i="10"/>
  <c r="N1656" i="10"/>
  <c r="F1656" i="10"/>
  <c r="N1655" i="10"/>
  <c r="F1655" i="10"/>
  <c r="N1654" i="10"/>
  <c r="F1654" i="10"/>
  <c r="N1653" i="10"/>
  <c r="F1653" i="10"/>
  <c r="N1652" i="10"/>
  <c r="F1652" i="10"/>
  <c r="N1651" i="10"/>
  <c r="F1651" i="10"/>
  <c r="N1650" i="10"/>
  <c r="F1650" i="10"/>
  <c r="N1649" i="10"/>
  <c r="F1649" i="10"/>
  <c r="N1648" i="10"/>
  <c r="F1648" i="10"/>
  <c r="N1647" i="10"/>
  <c r="F1647" i="10"/>
  <c r="N1646" i="10"/>
  <c r="F1646" i="10"/>
  <c r="N1645" i="10"/>
  <c r="F1645" i="10"/>
  <c r="N1644" i="10"/>
  <c r="F1644" i="10"/>
  <c r="N1643" i="10"/>
  <c r="F1643" i="10"/>
  <c r="N1642" i="10"/>
  <c r="F1642" i="10"/>
  <c r="N1641" i="10"/>
  <c r="F1641" i="10"/>
  <c r="N1640" i="10"/>
  <c r="F1640" i="10"/>
  <c r="N1639" i="10"/>
  <c r="F1639" i="10"/>
  <c r="N1638" i="10"/>
  <c r="F1638" i="10"/>
  <c r="N1637" i="10"/>
  <c r="F1637" i="10"/>
  <c r="N1636" i="10"/>
  <c r="F1636" i="10"/>
  <c r="N1635" i="10"/>
  <c r="F1635" i="10"/>
  <c r="N1634" i="10"/>
  <c r="F1634" i="10"/>
  <c r="N1633" i="10"/>
  <c r="F1633" i="10"/>
  <c r="N1632" i="10"/>
  <c r="F1632" i="10"/>
  <c r="N1631" i="10"/>
  <c r="F1631" i="10"/>
  <c r="N1630" i="10"/>
  <c r="F1630" i="10"/>
  <c r="N1629" i="10"/>
  <c r="F1629" i="10"/>
  <c r="N1628" i="10"/>
  <c r="F1628" i="10"/>
  <c r="N1627" i="10"/>
  <c r="F1627" i="10"/>
  <c r="N1626" i="10"/>
  <c r="F1626" i="10"/>
  <c r="N1625" i="10"/>
  <c r="F1625" i="10"/>
  <c r="N1624" i="10"/>
  <c r="F1624" i="10"/>
  <c r="N1623" i="10"/>
  <c r="F1623" i="10"/>
  <c r="N1622" i="10"/>
  <c r="F1622" i="10"/>
  <c r="N1621" i="10"/>
  <c r="F1621" i="10"/>
  <c r="N1620" i="10"/>
  <c r="F1620" i="10"/>
  <c r="N1619" i="10"/>
  <c r="F1619" i="10"/>
  <c r="N1618" i="10"/>
  <c r="F1618" i="10"/>
  <c r="N1617" i="10"/>
  <c r="F1617" i="10"/>
  <c r="N1616" i="10"/>
  <c r="F1616" i="10"/>
  <c r="N1615" i="10"/>
  <c r="F1615" i="10"/>
  <c r="N1614" i="10"/>
  <c r="F1614" i="10"/>
  <c r="N1613" i="10"/>
  <c r="F1613" i="10"/>
  <c r="N1612" i="10"/>
  <c r="F1612" i="10"/>
  <c r="N1611" i="10"/>
  <c r="F1611" i="10"/>
  <c r="N1610" i="10"/>
  <c r="F1610" i="10"/>
  <c r="N1609" i="10"/>
  <c r="F1609" i="10"/>
  <c r="N1608" i="10"/>
  <c r="F1608" i="10"/>
  <c r="N1607" i="10"/>
  <c r="F1607" i="10"/>
  <c r="N1606" i="10"/>
  <c r="F1606" i="10"/>
  <c r="N1605" i="10"/>
  <c r="F1605" i="10"/>
  <c r="N1604" i="10"/>
  <c r="F1604" i="10"/>
  <c r="N1603" i="10"/>
  <c r="F1603" i="10"/>
  <c r="N1602" i="10"/>
  <c r="F1602" i="10"/>
  <c r="N1601" i="10"/>
  <c r="F1601" i="10"/>
  <c r="N1600" i="10"/>
  <c r="F1600" i="10"/>
  <c r="N1599" i="10"/>
  <c r="F1599" i="10"/>
  <c r="N1598" i="10"/>
  <c r="F1598" i="10"/>
  <c r="N1597" i="10"/>
  <c r="F1597" i="10"/>
  <c r="N1596" i="10"/>
  <c r="F1596" i="10"/>
  <c r="N1595" i="10"/>
  <c r="F1595" i="10"/>
  <c r="N1594" i="10"/>
  <c r="F1594" i="10"/>
  <c r="N1593" i="10"/>
  <c r="F1593" i="10"/>
  <c r="N1592" i="10"/>
  <c r="F1592" i="10"/>
  <c r="N1591" i="10"/>
  <c r="F1591" i="10"/>
  <c r="N1590" i="10"/>
  <c r="F1590" i="10"/>
  <c r="N1589" i="10"/>
  <c r="F1589" i="10"/>
  <c r="N1588" i="10"/>
  <c r="F1588" i="10"/>
  <c r="N1587" i="10"/>
  <c r="F1587" i="10"/>
  <c r="N1586" i="10"/>
  <c r="F1586" i="10"/>
  <c r="N1585" i="10"/>
  <c r="F1585" i="10"/>
  <c r="N1584" i="10"/>
  <c r="F1584" i="10"/>
  <c r="N1583" i="10"/>
  <c r="F1583" i="10"/>
  <c r="N1582" i="10"/>
  <c r="F1582" i="10"/>
  <c r="N1581" i="10"/>
  <c r="F1581" i="10"/>
  <c r="N1580" i="10"/>
  <c r="F1580" i="10"/>
  <c r="N1579" i="10"/>
  <c r="F1579" i="10"/>
  <c r="N1578" i="10"/>
  <c r="F1578" i="10"/>
  <c r="N1577" i="10"/>
  <c r="F1577" i="10"/>
  <c r="N1576" i="10"/>
  <c r="F1576" i="10"/>
  <c r="N1575" i="10"/>
  <c r="F1575" i="10"/>
  <c r="N1574" i="10"/>
  <c r="F1574" i="10"/>
  <c r="N1573" i="10"/>
  <c r="F1573" i="10"/>
  <c r="N1572" i="10"/>
  <c r="F1572" i="10"/>
  <c r="N1571" i="10"/>
  <c r="F1571" i="10"/>
  <c r="N1570" i="10"/>
  <c r="F1570" i="10"/>
  <c r="N1569" i="10"/>
  <c r="F1569" i="10"/>
  <c r="N1568" i="10"/>
  <c r="F1568" i="10"/>
  <c r="N1567" i="10"/>
  <c r="F1567" i="10"/>
  <c r="N1566" i="10"/>
  <c r="F1566" i="10"/>
  <c r="N1565" i="10"/>
  <c r="F1565" i="10"/>
  <c r="N1564" i="10"/>
  <c r="F1564" i="10"/>
  <c r="N1563" i="10"/>
  <c r="F1563" i="10"/>
  <c r="N1562" i="10"/>
  <c r="F1562" i="10"/>
  <c r="N1561" i="10"/>
  <c r="F1561" i="10"/>
  <c r="N1560" i="10"/>
  <c r="F1560" i="10"/>
  <c r="N1559" i="10"/>
  <c r="F1559" i="10"/>
  <c r="N1558" i="10"/>
  <c r="F1558" i="10"/>
  <c r="N1557" i="10"/>
  <c r="F1557" i="10"/>
  <c r="N1556" i="10"/>
  <c r="F1556" i="10"/>
  <c r="N1555" i="10"/>
  <c r="F1555" i="10"/>
  <c r="N1554" i="10"/>
  <c r="F1554" i="10"/>
  <c r="N1553" i="10"/>
  <c r="F1553" i="10"/>
  <c r="N1552" i="10"/>
  <c r="F1552" i="10"/>
  <c r="N1551" i="10"/>
  <c r="F1551" i="10"/>
  <c r="N1550" i="10"/>
  <c r="F1550" i="10"/>
  <c r="N1549" i="10"/>
  <c r="F1549" i="10"/>
  <c r="N1548" i="10"/>
  <c r="F1548" i="10"/>
  <c r="N1547" i="10"/>
  <c r="F1547" i="10"/>
  <c r="N1546" i="10"/>
  <c r="F1546" i="10"/>
  <c r="N1545" i="10"/>
  <c r="F1545" i="10"/>
  <c r="N1544" i="10"/>
  <c r="F1544" i="10"/>
  <c r="N1543" i="10"/>
  <c r="F1543" i="10"/>
  <c r="N1542" i="10"/>
  <c r="F1542" i="10"/>
  <c r="N1541" i="10"/>
  <c r="F1541" i="10"/>
  <c r="N1540" i="10"/>
  <c r="F1540" i="10"/>
  <c r="N1539" i="10"/>
  <c r="F1539" i="10"/>
  <c r="N1538" i="10"/>
  <c r="F1538" i="10"/>
  <c r="N1537" i="10"/>
  <c r="F1537" i="10"/>
  <c r="N1536" i="10"/>
  <c r="F1536" i="10"/>
  <c r="N1535" i="10"/>
  <c r="F1535" i="10"/>
  <c r="N1534" i="10"/>
  <c r="F1534" i="10"/>
  <c r="N1533" i="10"/>
  <c r="F1533" i="10"/>
  <c r="N1532" i="10"/>
  <c r="F1532" i="10"/>
  <c r="N1531" i="10"/>
  <c r="F1531" i="10"/>
  <c r="N1530" i="10"/>
  <c r="F1530" i="10"/>
  <c r="N1529" i="10"/>
  <c r="F1529" i="10"/>
  <c r="N1528" i="10"/>
  <c r="F1528" i="10"/>
  <c r="N1527" i="10"/>
  <c r="F1527" i="10"/>
  <c r="N1526" i="10"/>
  <c r="F1526" i="10"/>
  <c r="N1525" i="10"/>
  <c r="F1525" i="10"/>
  <c r="N1524" i="10"/>
  <c r="F1524" i="10"/>
  <c r="N1523" i="10"/>
  <c r="F1523" i="10"/>
  <c r="N1522" i="10"/>
  <c r="F1522" i="10"/>
  <c r="N1521" i="10"/>
  <c r="F1521" i="10"/>
  <c r="N1520" i="10"/>
  <c r="F1520" i="10"/>
  <c r="N1519" i="10"/>
  <c r="F1519" i="10"/>
  <c r="N1518" i="10"/>
  <c r="F1518" i="10"/>
  <c r="N1517" i="10"/>
  <c r="F1517" i="10"/>
  <c r="N1516" i="10"/>
  <c r="F1516" i="10"/>
  <c r="N1515" i="10"/>
  <c r="F1515" i="10"/>
  <c r="N1514" i="10"/>
  <c r="F1514" i="10"/>
  <c r="N1513" i="10"/>
  <c r="F1513" i="10"/>
  <c r="N1512" i="10"/>
  <c r="F1512" i="10"/>
  <c r="N1511" i="10"/>
  <c r="F1511" i="10"/>
  <c r="N1510" i="10"/>
  <c r="F1510" i="10"/>
  <c r="N1509" i="10"/>
  <c r="F1509" i="10"/>
  <c r="N1508" i="10"/>
  <c r="F1508" i="10"/>
  <c r="N1507" i="10"/>
  <c r="F1507" i="10"/>
  <c r="N1506" i="10"/>
  <c r="F1506" i="10"/>
  <c r="N1505" i="10"/>
  <c r="F1505" i="10"/>
  <c r="N1504" i="10"/>
  <c r="F1504" i="10"/>
  <c r="N1503" i="10"/>
  <c r="F1503" i="10"/>
  <c r="N1502" i="10"/>
  <c r="F1502" i="10"/>
  <c r="N1501" i="10"/>
  <c r="F1501" i="10"/>
  <c r="N1500" i="10"/>
  <c r="F1500" i="10"/>
  <c r="N1499" i="10"/>
  <c r="F1499" i="10"/>
  <c r="N1498" i="10"/>
  <c r="F1498" i="10"/>
  <c r="N1497" i="10"/>
  <c r="F1497" i="10"/>
  <c r="N1496" i="10"/>
  <c r="F1496" i="10"/>
  <c r="N1495" i="10"/>
  <c r="F1495" i="10"/>
  <c r="N1494" i="10"/>
  <c r="F1494" i="10"/>
  <c r="N1493" i="10"/>
  <c r="F1493" i="10"/>
  <c r="N1492" i="10"/>
  <c r="F1492" i="10"/>
  <c r="N1491" i="10"/>
  <c r="F1491" i="10"/>
  <c r="N1490" i="10"/>
  <c r="F1490" i="10"/>
  <c r="N1489" i="10"/>
  <c r="F1489" i="10"/>
  <c r="N1488" i="10"/>
  <c r="F1488" i="10"/>
  <c r="N1487" i="10"/>
  <c r="F1487" i="10"/>
  <c r="N1486" i="10"/>
  <c r="F1486" i="10"/>
  <c r="N1485" i="10"/>
  <c r="F1485" i="10"/>
  <c r="N1484" i="10"/>
  <c r="F1484" i="10"/>
  <c r="N1483" i="10"/>
  <c r="F1483" i="10"/>
  <c r="N1482" i="10"/>
  <c r="F1482" i="10"/>
  <c r="N1481" i="10"/>
  <c r="F1481" i="10"/>
  <c r="N1480" i="10"/>
  <c r="F1480" i="10"/>
  <c r="N1479" i="10"/>
  <c r="F1479" i="10"/>
  <c r="N1478" i="10"/>
  <c r="F1478" i="10"/>
  <c r="N1477" i="10"/>
  <c r="F1477" i="10"/>
  <c r="N1476" i="10"/>
  <c r="F1476" i="10"/>
  <c r="N1475" i="10"/>
  <c r="F1475" i="10"/>
  <c r="N1474" i="10"/>
  <c r="F1474" i="10"/>
  <c r="N1473" i="10"/>
  <c r="F1473" i="10"/>
  <c r="N1472" i="10"/>
  <c r="F1472" i="10"/>
  <c r="N1471" i="10"/>
  <c r="F1471" i="10"/>
  <c r="N1470" i="10"/>
  <c r="F1470" i="10"/>
  <c r="N1469" i="10"/>
  <c r="F1469" i="10"/>
  <c r="N1468" i="10"/>
  <c r="F1468" i="10"/>
  <c r="N1467" i="10"/>
  <c r="F1467" i="10"/>
  <c r="N1466" i="10"/>
  <c r="F1466" i="10"/>
  <c r="N1465" i="10"/>
  <c r="F1465" i="10"/>
  <c r="N1464" i="10"/>
  <c r="F1464" i="10"/>
  <c r="N1463" i="10"/>
  <c r="F1463" i="10"/>
  <c r="N1462" i="10"/>
  <c r="F1462" i="10"/>
  <c r="N1461" i="10"/>
  <c r="F1461" i="10"/>
  <c r="N1460" i="10"/>
  <c r="F1460" i="10"/>
  <c r="N1459" i="10"/>
  <c r="F1459" i="10"/>
  <c r="N1458" i="10"/>
  <c r="F1458" i="10"/>
  <c r="N1457" i="10"/>
  <c r="F1457" i="10"/>
  <c r="N1456" i="10"/>
  <c r="F1456" i="10"/>
  <c r="N1455" i="10"/>
  <c r="F1455" i="10"/>
  <c r="N1454" i="10"/>
  <c r="F1454" i="10"/>
  <c r="N1453" i="10"/>
  <c r="F1453" i="10"/>
  <c r="N1452" i="10"/>
  <c r="F1452" i="10"/>
  <c r="N1451" i="10"/>
  <c r="F1451" i="10"/>
  <c r="N1450" i="10"/>
  <c r="F1450" i="10"/>
  <c r="N1449" i="10"/>
  <c r="F1449" i="10"/>
  <c r="N1448" i="10"/>
  <c r="F1448" i="10"/>
  <c r="N1447" i="10"/>
  <c r="F1447" i="10"/>
  <c r="N1446" i="10"/>
  <c r="F1446" i="10"/>
  <c r="N1445" i="10"/>
  <c r="F1445" i="10"/>
  <c r="N1444" i="10"/>
  <c r="F1444" i="10"/>
  <c r="N1443" i="10"/>
  <c r="F1443" i="10"/>
  <c r="N1442" i="10"/>
  <c r="F1442" i="10"/>
  <c r="N1441" i="10"/>
  <c r="F1441" i="10"/>
  <c r="N1440" i="10"/>
  <c r="F1440" i="10"/>
  <c r="N1439" i="10"/>
  <c r="F1439" i="10"/>
  <c r="N1438" i="10"/>
  <c r="F1438" i="10"/>
  <c r="N1437" i="10"/>
  <c r="F1437" i="10"/>
  <c r="N1436" i="10"/>
  <c r="F1436" i="10"/>
  <c r="N1435" i="10"/>
  <c r="F1435" i="10"/>
  <c r="N1434" i="10"/>
  <c r="F1434" i="10"/>
  <c r="N1433" i="10"/>
  <c r="F1433" i="10"/>
  <c r="N1432" i="10"/>
  <c r="F1432" i="10"/>
  <c r="N1431" i="10"/>
  <c r="F1431" i="10"/>
  <c r="N1430" i="10"/>
  <c r="F1430" i="10"/>
  <c r="N1429" i="10"/>
  <c r="F1429" i="10"/>
  <c r="N1428" i="10"/>
  <c r="F1428" i="10"/>
  <c r="N1427" i="10"/>
  <c r="F1427" i="10"/>
  <c r="N1426" i="10"/>
  <c r="F1426" i="10"/>
  <c r="N1425" i="10"/>
  <c r="F1425" i="10"/>
  <c r="N1424" i="10"/>
  <c r="F1424" i="10"/>
  <c r="N1423" i="10"/>
  <c r="F1423" i="10"/>
  <c r="N1422" i="10"/>
  <c r="F1422" i="10"/>
  <c r="N1421" i="10"/>
  <c r="F1421" i="10"/>
  <c r="N1420" i="10"/>
  <c r="F1420" i="10"/>
  <c r="N1419" i="10"/>
  <c r="F1419" i="10"/>
  <c r="N1418" i="10"/>
  <c r="F1418" i="10"/>
  <c r="N1417" i="10"/>
  <c r="F1417" i="10"/>
  <c r="N1416" i="10"/>
  <c r="F1416" i="10"/>
  <c r="N1415" i="10"/>
  <c r="F1415" i="10"/>
  <c r="N1414" i="10"/>
  <c r="F1414" i="10"/>
  <c r="N1413" i="10"/>
  <c r="F1413" i="10"/>
  <c r="N1412" i="10"/>
  <c r="F1412" i="10"/>
  <c r="N1411" i="10"/>
  <c r="F1411" i="10"/>
  <c r="N1410" i="10"/>
  <c r="F1410" i="10"/>
  <c r="N1409" i="10"/>
  <c r="F1409" i="10"/>
  <c r="N1408" i="10"/>
  <c r="F1408" i="10"/>
  <c r="N1407" i="10"/>
  <c r="F1407" i="10"/>
  <c r="N1406" i="10"/>
  <c r="F1406" i="10"/>
  <c r="N1405" i="10"/>
  <c r="F1405" i="10"/>
  <c r="N1404" i="10"/>
  <c r="F1404" i="10"/>
  <c r="N1403" i="10"/>
  <c r="F1403" i="10"/>
  <c r="N1402" i="10"/>
  <c r="F1402" i="10"/>
  <c r="N1401" i="10"/>
  <c r="F1401" i="10"/>
  <c r="N1400" i="10"/>
  <c r="F1400" i="10"/>
  <c r="N1399" i="10"/>
  <c r="F1399" i="10"/>
  <c r="N1398" i="10"/>
  <c r="F1398" i="10"/>
  <c r="N1397" i="10"/>
  <c r="F1397" i="10"/>
  <c r="N1396" i="10"/>
  <c r="F1396" i="10"/>
  <c r="N1395" i="10"/>
  <c r="F1395" i="10"/>
  <c r="N1394" i="10"/>
  <c r="F1394" i="10"/>
  <c r="N1393" i="10"/>
  <c r="F1393" i="10"/>
  <c r="N1392" i="10"/>
  <c r="F1392" i="10"/>
  <c r="N1391" i="10"/>
  <c r="F1391" i="10"/>
  <c r="N1390" i="10"/>
  <c r="F1390" i="10"/>
  <c r="N1389" i="10"/>
  <c r="F1389" i="10"/>
  <c r="N1388" i="10"/>
  <c r="F1388" i="10"/>
  <c r="N1387" i="10"/>
  <c r="F1387" i="10"/>
  <c r="N1386" i="10"/>
  <c r="F1386" i="10"/>
  <c r="N1385" i="10"/>
  <c r="F1385" i="10"/>
  <c r="N1384" i="10"/>
  <c r="F1384" i="10"/>
  <c r="N1383" i="10"/>
  <c r="F1383" i="10"/>
  <c r="N1382" i="10"/>
  <c r="F1382" i="10"/>
  <c r="N1381" i="10"/>
  <c r="F1381" i="10"/>
  <c r="N1380" i="10"/>
  <c r="F1380" i="10"/>
  <c r="N1379" i="10"/>
  <c r="F1379" i="10"/>
  <c r="N1378" i="10"/>
  <c r="F1378" i="10"/>
  <c r="N1377" i="10"/>
  <c r="F1377" i="10"/>
  <c r="N1376" i="10"/>
  <c r="F1376" i="10"/>
  <c r="N1375" i="10"/>
  <c r="F1375" i="10"/>
  <c r="N1374" i="10"/>
  <c r="F1374" i="10"/>
  <c r="N1373" i="10"/>
  <c r="F1373" i="10"/>
  <c r="N1372" i="10"/>
  <c r="F1372" i="10"/>
  <c r="N1371" i="10"/>
  <c r="F1371" i="10"/>
  <c r="N1370" i="10"/>
  <c r="F1370" i="10"/>
  <c r="N1369" i="10"/>
  <c r="F1369" i="10"/>
  <c r="N1368" i="10"/>
  <c r="F1368" i="10"/>
  <c r="N1367" i="10"/>
  <c r="F1367" i="10"/>
  <c r="N1366" i="10"/>
  <c r="F1366" i="10"/>
  <c r="N1365" i="10"/>
  <c r="F1365" i="10"/>
  <c r="N1364" i="10"/>
  <c r="F1364" i="10"/>
  <c r="N1363" i="10"/>
  <c r="F1363" i="10"/>
  <c r="N1362" i="10"/>
  <c r="F1362" i="10"/>
  <c r="N1361" i="10"/>
  <c r="F1361" i="10"/>
  <c r="N1360" i="10"/>
  <c r="F1360" i="10"/>
  <c r="N1359" i="10"/>
  <c r="F1359" i="10"/>
  <c r="N1358" i="10"/>
  <c r="F1358" i="10"/>
  <c r="N1357" i="10"/>
  <c r="F1357" i="10"/>
  <c r="N1356" i="10"/>
  <c r="F1356" i="10"/>
  <c r="N1355" i="10"/>
  <c r="F1355" i="10"/>
  <c r="N1354" i="10"/>
  <c r="F1354" i="10"/>
  <c r="N1353" i="10"/>
  <c r="F1353" i="10"/>
  <c r="N1352" i="10"/>
  <c r="F1352" i="10"/>
  <c r="N1351" i="10"/>
  <c r="F1351" i="10"/>
  <c r="N1350" i="10"/>
  <c r="F1350" i="10"/>
  <c r="N1349" i="10"/>
  <c r="F1349" i="10"/>
  <c r="N1348" i="10"/>
  <c r="F1348" i="10"/>
  <c r="N1347" i="10"/>
  <c r="F1347" i="10"/>
  <c r="N1346" i="10"/>
  <c r="F1346" i="10"/>
  <c r="N1345" i="10"/>
  <c r="F1345" i="10"/>
  <c r="N1344" i="10"/>
  <c r="F1344" i="10"/>
  <c r="N1343" i="10"/>
  <c r="F1343" i="10"/>
  <c r="N1342" i="10"/>
  <c r="F1342" i="10"/>
  <c r="N1341" i="10"/>
  <c r="F1341" i="10"/>
  <c r="N1340" i="10"/>
  <c r="F1340" i="10"/>
  <c r="N1339" i="10"/>
  <c r="F1339" i="10"/>
  <c r="N1338" i="10"/>
  <c r="F1338" i="10"/>
  <c r="N1337" i="10"/>
  <c r="F1337" i="10"/>
  <c r="N1336" i="10"/>
  <c r="F1336" i="10"/>
  <c r="N1335" i="10"/>
  <c r="F1335" i="10"/>
  <c r="N1334" i="10"/>
  <c r="F1334" i="10"/>
  <c r="N1333" i="10"/>
  <c r="F1333" i="10"/>
  <c r="N1332" i="10"/>
  <c r="F1332" i="10"/>
  <c r="N1331" i="10"/>
  <c r="F1331" i="10"/>
  <c r="N1330" i="10"/>
  <c r="F1330" i="10"/>
  <c r="N1329" i="10"/>
  <c r="F1329" i="10"/>
  <c r="N1328" i="10"/>
  <c r="F1328" i="10"/>
  <c r="N1327" i="10"/>
  <c r="F1327" i="10"/>
  <c r="N1326" i="10"/>
  <c r="F1326" i="10"/>
  <c r="N1325" i="10"/>
  <c r="F1325" i="10"/>
  <c r="N1324" i="10"/>
  <c r="F1324" i="10"/>
  <c r="N1323" i="10"/>
  <c r="F1323" i="10"/>
  <c r="N1322" i="10"/>
  <c r="F1322" i="10"/>
  <c r="N1321" i="10"/>
  <c r="F1321" i="10"/>
  <c r="N1320" i="10"/>
  <c r="F1320" i="10"/>
  <c r="N1319" i="10"/>
  <c r="F1319" i="10"/>
  <c r="N1318" i="10"/>
  <c r="F1318" i="10"/>
  <c r="N1317" i="10"/>
  <c r="F1317" i="10"/>
  <c r="N1316" i="10"/>
  <c r="F1316" i="10"/>
  <c r="N1315" i="10"/>
  <c r="F1315" i="10"/>
  <c r="N1314" i="10"/>
  <c r="F1314" i="10"/>
  <c r="N1313" i="10"/>
  <c r="F1313" i="10"/>
  <c r="N1312" i="10"/>
  <c r="F1312" i="10"/>
  <c r="N1311" i="10"/>
  <c r="F1311" i="10"/>
  <c r="N1310" i="10"/>
  <c r="F1310" i="10"/>
  <c r="N1309" i="10"/>
  <c r="F1309" i="10"/>
  <c r="N1308" i="10"/>
  <c r="F1308" i="10"/>
  <c r="N1307" i="10"/>
  <c r="F1307" i="10"/>
  <c r="N1306" i="10"/>
  <c r="F1306" i="10"/>
  <c r="N1305" i="10"/>
  <c r="F1305" i="10"/>
  <c r="N1304" i="10"/>
  <c r="F1304" i="10"/>
  <c r="N1303" i="10"/>
  <c r="F1303" i="10"/>
  <c r="N1302" i="10"/>
  <c r="F1302" i="10"/>
  <c r="N1301" i="10"/>
  <c r="F1301" i="10"/>
  <c r="N1300" i="10"/>
  <c r="F1300" i="10"/>
  <c r="N1299" i="10"/>
  <c r="F1299" i="10"/>
  <c r="N1298" i="10"/>
  <c r="F1298" i="10"/>
  <c r="N1297" i="10"/>
  <c r="F1297" i="10"/>
  <c r="N1296" i="10"/>
  <c r="F1296" i="10"/>
  <c r="N1295" i="10"/>
  <c r="F1295" i="10"/>
  <c r="N1294" i="10"/>
  <c r="F1294" i="10"/>
  <c r="N1293" i="10"/>
  <c r="F1293" i="10"/>
  <c r="N1292" i="10"/>
  <c r="F1292" i="10"/>
  <c r="N1291" i="10"/>
  <c r="F1291" i="10"/>
  <c r="N1290" i="10"/>
  <c r="F1290" i="10"/>
  <c r="N1289" i="10"/>
  <c r="F1289" i="10"/>
  <c r="N1288" i="10"/>
  <c r="F1288" i="10"/>
  <c r="N1287" i="10"/>
  <c r="F1287" i="10"/>
  <c r="N1286" i="10"/>
  <c r="F1286" i="10"/>
  <c r="N1285" i="10"/>
  <c r="F1285" i="10"/>
  <c r="N1284" i="10"/>
  <c r="F1284" i="10"/>
  <c r="N1283" i="10"/>
  <c r="F1283" i="10"/>
  <c r="N1282" i="10"/>
  <c r="F1282" i="10"/>
  <c r="N1281" i="10"/>
  <c r="F1281" i="10"/>
  <c r="N1280" i="10"/>
  <c r="F1280" i="10"/>
  <c r="N1279" i="10"/>
  <c r="F1279" i="10"/>
  <c r="N1278" i="10"/>
  <c r="F1278" i="10"/>
  <c r="N1277" i="10"/>
  <c r="F1277" i="10"/>
  <c r="N1276" i="10"/>
  <c r="F1276" i="10"/>
  <c r="N1275" i="10"/>
  <c r="F1275" i="10"/>
  <c r="N1274" i="10"/>
  <c r="F1274" i="10"/>
  <c r="N1273" i="10"/>
  <c r="F1273" i="10"/>
  <c r="N1272" i="10"/>
  <c r="F1272" i="10"/>
  <c r="N1271" i="10"/>
  <c r="F1271" i="10"/>
  <c r="N1270" i="10"/>
  <c r="F1270" i="10"/>
  <c r="N1269" i="10"/>
  <c r="F1269" i="10"/>
  <c r="N1268" i="10"/>
  <c r="F1268" i="10"/>
  <c r="N1267" i="10"/>
  <c r="F1267" i="10"/>
  <c r="N1266" i="10"/>
  <c r="F1266" i="10"/>
  <c r="N1265" i="10"/>
  <c r="F1265" i="10"/>
  <c r="N1264" i="10"/>
  <c r="F1264" i="10"/>
  <c r="N1263" i="10"/>
  <c r="F1263" i="10"/>
  <c r="N1262" i="10"/>
  <c r="F1262" i="10"/>
  <c r="N1261" i="10"/>
  <c r="F1261" i="10"/>
  <c r="N1260" i="10"/>
  <c r="F1260" i="10"/>
  <c r="N1259" i="10"/>
  <c r="F1259" i="10"/>
  <c r="N1258" i="10"/>
  <c r="F1258" i="10"/>
  <c r="N1257" i="10"/>
  <c r="F1257" i="10"/>
  <c r="N1256" i="10"/>
  <c r="F1256" i="10"/>
  <c r="N1255" i="10"/>
  <c r="F1255" i="10"/>
  <c r="N1254" i="10"/>
  <c r="F1254" i="10"/>
  <c r="N1253" i="10"/>
  <c r="F1253" i="10"/>
  <c r="N1252" i="10"/>
  <c r="F1252" i="10"/>
  <c r="N1251" i="10"/>
  <c r="F1251" i="10"/>
  <c r="N1250" i="10"/>
  <c r="F1250" i="10"/>
  <c r="N1249" i="10"/>
  <c r="F1249" i="10"/>
  <c r="N1248" i="10"/>
  <c r="F1248" i="10"/>
  <c r="N1247" i="10"/>
  <c r="F1247" i="10"/>
  <c r="N1246" i="10"/>
  <c r="F1246" i="10"/>
  <c r="N1245" i="10"/>
  <c r="F1245" i="10"/>
  <c r="N1244" i="10"/>
  <c r="F1244" i="10"/>
  <c r="N1243" i="10"/>
  <c r="F1243" i="10"/>
  <c r="N1242" i="10"/>
  <c r="F1242" i="10"/>
  <c r="N1241" i="10"/>
  <c r="F1241" i="10"/>
  <c r="N1240" i="10"/>
  <c r="F1240" i="10"/>
  <c r="N1239" i="10"/>
  <c r="F1239" i="10"/>
  <c r="N1238" i="10"/>
  <c r="F1238" i="10"/>
  <c r="N1237" i="10"/>
  <c r="F1237" i="10"/>
  <c r="N1236" i="10"/>
  <c r="F1236" i="10"/>
  <c r="N1235" i="10"/>
  <c r="F1235" i="10"/>
  <c r="N1234" i="10"/>
  <c r="F1234" i="10"/>
  <c r="N1233" i="10"/>
  <c r="F1233" i="10"/>
  <c r="N1232" i="10"/>
  <c r="F1232" i="10"/>
  <c r="N1231" i="10"/>
  <c r="F1231" i="10"/>
  <c r="N1230" i="10"/>
  <c r="F1230" i="10"/>
  <c r="N1229" i="10"/>
  <c r="F1229" i="10"/>
  <c r="N1228" i="10"/>
  <c r="F1228" i="10"/>
  <c r="N1227" i="10"/>
  <c r="F1227" i="10"/>
  <c r="N1226" i="10"/>
  <c r="F1226" i="10"/>
  <c r="N1225" i="10"/>
  <c r="F1225" i="10"/>
  <c r="N1224" i="10"/>
  <c r="F1224" i="10"/>
  <c r="N1223" i="10"/>
  <c r="F1223" i="10"/>
  <c r="N1222" i="10"/>
  <c r="F1222" i="10"/>
  <c r="N1221" i="10"/>
  <c r="F1221" i="10"/>
  <c r="N1220" i="10"/>
  <c r="F1220" i="10"/>
  <c r="N1219" i="10"/>
  <c r="F1219" i="10"/>
  <c r="N1218" i="10"/>
  <c r="F1218" i="10"/>
  <c r="N1217" i="10"/>
  <c r="F1217" i="10"/>
  <c r="N1216" i="10"/>
  <c r="F1216" i="10"/>
  <c r="N1215" i="10"/>
  <c r="F1215" i="10"/>
  <c r="N1214" i="10"/>
  <c r="F1214" i="10"/>
  <c r="N1213" i="10"/>
  <c r="F1213" i="10"/>
  <c r="N1212" i="10"/>
  <c r="F1212" i="10"/>
  <c r="N1211" i="10"/>
  <c r="F1211" i="10"/>
  <c r="N1210" i="10"/>
  <c r="F1210" i="10"/>
  <c r="N1209" i="10"/>
  <c r="F1209" i="10"/>
  <c r="N1208" i="10"/>
  <c r="F1208" i="10"/>
  <c r="N1207" i="10"/>
  <c r="F1207" i="10"/>
  <c r="N1206" i="10"/>
  <c r="F1206" i="10"/>
  <c r="N1205" i="10"/>
  <c r="F1205" i="10"/>
  <c r="N1204" i="10"/>
  <c r="F1204" i="10"/>
  <c r="N1203" i="10"/>
  <c r="F1203" i="10"/>
  <c r="N1202" i="10"/>
  <c r="F1202" i="10"/>
  <c r="N1201" i="10"/>
  <c r="F1201" i="10"/>
  <c r="N1200" i="10"/>
  <c r="F1200" i="10"/>
  <c r="N1199" i="10"/>
  <c r="F1199" i="10"/>
  <c r="N1198" i="10"/>
  <c r="F1198" i="10"/>
  <c r="N1197" i="10"/>
  <c r="F1197" i="10"/>
  <c r="N1196" i="10"/>
  <c r="F1196" i="10"/>
  <c r="N1195" i="10"/>
  <c r="F1195" i="10"/>
  <c r="N1194" i="10"/>
  <c r="F1194" i="10"/>
  <c r="N1193" i="10"/>
  <c r="F1193" i="10"/>
  <c r="N1192" i="10"/>
  <c r="F1192" i="10"/>
  <c r="N1191" i="10"/>
  <c r="F1191" i="10"/>
  <c r="N1190" i="10"/>
  <c r="F1190" i="10"/>
  <c r="N1189" i="10"/>
  <c r="F1189" i="10"/>
  <c r="N1188" i="10"/>
  <c r="F1188" i="10"/>
  <c r="N1187" i="10"/>
  <c r="F1187" i="10"/>
  <c r="N1186" i="10"/>
  <c r="F1186" i="10"/>
  <c r="N1185" i="10"/>
  <c r="F1185" i="10"/>
  <c r="N1184" i="10"/>
  <c r="F1184" i="10"/>
  <c r="N1183" i="10"/>
  <c r="F1183" i="10"/>
  <c r="N1182" i="10"/>
  <c r="F1182" i="10"/>
  <c r="N1181" i="10"/>
  <c r="F1181" i="10"/>
  <c r="N1180" i="10"/>
  <c r="F1180" i="10"/>
  <c r="N1179" i="10"/>
  <c r="F1179" i="10"/>
  <c r="N1178" i="10"/>
  <c r="F1178" i="10"/>
  <c r="N1177" i="10"/>
  <c r="F1177" i="10"/>
  <c r="N1176" i="10"/>
  <c r="F1176" i="10"/>
  <c r="N1175" i="10"/>
  <c r="F1175" i="10"/>
  <c r="N1174" i="10"/>
  <c r="F1174" i="10"/>
  <c r="N1173" i="10"/>
  <c r="F1173" i="10"/>
  <c r="N1172" i="10"/>
  <c r="F1172" i="10"/>
  <c r="N1171" i="10"/>
  <c r="F1171" i="10"/>
  <c r="N1170" i="10"/>
  <c r="F1170" i="10"/>
  <c r="N1169" i="10"/>
  <c r="F1169" i="10"/>
  <c r="N1168" i="10"/>
  <c r="F1168" i="10"/>
  <c r="N1167" i="10"/>
  <c r="F1167" i="10"/>
  <c r="N1166" i="10"/>
  <c r="F1166" i="10"/>
  <c r="N1165" i="10"/>
  <c r="F1165" i="10"/>
  <c r="N1164" i="10"/>
  <c r="F1164" i="10"/>
  <c r="N1163" i="10"/>
  <c r="F1163" i="10"/>
  <c r="N1162" i="10"/>
  <c r="F1162" i="10"/>
  <c r="N1161" i="10"/>
  <c r="F1161" i="10"/>
  <c r="N1160" i="10"/>
  <c r="F1160" i="10"/>
  <c r="N1159" i="10"/>
  <c r="F1159" i="10"/>
  <c r="N1158" i="10"/>
  <c r="F1158" i="10"/>
  <c r="N1157" i="10"/>
  <c r="F1157" i="10"/>
  <c r="N1156" i="10"/>
  <c r="F1156" i="10"/>
  <c r="N1155" i="10"/>
  <c r="F1155" i="10"/>
  <c r="N1154" i="10"/>
  <c r="F1154" i="10"/>
  <c r="N1153" i="10"/>
  <c r="F1153" i="10"/>
  <c r="N1152" i="10"/>
  <c r="F1152" i="10"/>
  <c r="N1151" i="10"/>
  <c r="F1151" i="10"/>
  <c r="N1150" i="10"/>
  <c r="F1150" i="10"/>
  <c r="N1149" i="10"/>
  <c r="F1149" i="10"/>
  <c r="N1148" i="10"/>
  <c r="F1148" i="10"/>
  <c r="N1147" i="10"/>
  <c r="F1147" i="10"/>
  <c r="N1146" i="10"/>
  <c r="F1146" i="10"/>
  <c r="N1145" i="10"/>
  <c r="F1145" i="10"/>
  <c r="N1144" i="10"/>
  <c r="F1144" i="10"/>
  <c r="N1143" i="10"/>
  <c r="F1143" i="10"/>
  <c r="N1142" i="10"/>
  <c r="F1142" i="10"/>
  <c r="N1141" i="10"/>
  <c r="F1141" i="10"/>
  <c r="N1140" i="10"/>
  <c r="F1140" i="10"/>
  <c r="N1139" i="10"/>
  <c r="F1139" i="10"/>
  <c r="N1138" i="10"/>
  <c r="F1138" i="10"/>
  <c r="N1137" i="10"/>
  <c r="F1137" i="10"/>
  <c r="N1136" i="10"/>
  <c r="F1136" i="10"/>
  <c r="N1135" i="10"/>
  <c r="F1135" i="10"/>
  <c r="N1134" i="10"/>
  <c r="F1134" i="10"/>
  <c r="N1133" i="10"/>
  <c r="F1133" i="10"/>
  <c r="N1132" i="10"/>
  <c r="F1132" i="10"/>
  <c r="N1131" i="10"/>
  <c r="F1131" i="10"/>
  <c r="N1130" i="10"/>
  <c r="F1130" i="10"/>
  <c r="N1129" i="10"/>
  <c r="F1129" i="10"/>
  <c r="N1128" i="10"/>
  <c r="F1128" i="10"/>
  <c r="N1127" i="10"/>
  <c r="F1127" i="10"/>
  <c r="N1126" i="10"/>
  <c r="F1126" i="10"/>
  <c r="N1125" i="10"/>
  <c r="F1125" i="10"/>
  <c r="N1124" i="10"/>
  <c r="F1124" i="10"/>
  <c r="N1123" i="10"/>
  <c r="F1123" i="10"/>
  <c r="N1122" i="10"/>
  <c r="F1122" i="10"/>
  <c r="N1121" i="10"/>
  <c r="F1121" i="10"/>
  <c r="N1120" i="10"/>
  <c r="F1120" i="10"/>
  <c r="N1119" i="10"/>
  <c r="F1119" i="10"/>
  <c r="N1118" i="10"/>
  <c r="F1118" i="10"/>
  <c r="N1117" i="10"/>
  <c r="F1117" i="10"/>
  <c r="N1116" i="10"/>
  <c r="F1116" i="10"/>
  <c r="N1115" i="10"/>
  <c r="F1115" i="10"/>
  <c r="N1114" i="10"/>
  <c r="F1114" i="10"/>
  <c r="N1113" i="10"/>
  <c r="F1113" i="10"/>
  <c r="N1112" i="10"/>
  <c r="F1112" i="10"/>
  <c r="N1111" i="10"/>
  <c r="F1111" i="10"/>
  <c r="N1110" i="10"/>
  <c r="F1110" i="10"/>
  <c r="N1109" i="10"/>
  <c r="F1109" i="10"/>
  <c r="N1108" i="10"/>
  <c r="F1108" i="10"/>
  <c r="N1107" i="10"/>
  <c r="F1107" i="10"/>
  <c r="N1106" i="10"/>
  <c r="F1106" i="10"/>
  <c r="N1105" i="10"/>
  <c r="F1105" i="10"/>
  <c r="N1104" i="10"/>
  <c r="F1104" i="10"/>
  <c r="N1103" i="10"/>
  <c r="F1103" i="10"/>
  <c r="N1102" i="10"/>
  <c r="F1102" i="10"/>
  <c r="N1101" i="10"/>
  <c r="F1101" i="10"/>
  <c r="N1100" i="10"/>
  <c r="F1100" i="10"/>
  <c r="N1099" i="10"/>
  <c r="F1099" i="10"/>
  <c r="N1098" i="10"/>
  <c r="F1098" i="10"/>
  <c r="N1097" i="10"/>
  <c r="F1097" i="10"/>
  <c r="N1096" i="10"/>
  <c r="F1096" i="10"/>
  <c r="N1095" i="10"/>
  <c r="F1095" i="10"/>
  <c r="N1094" i="10"/>
  <c r="F1094" i="10"/>
  <c r="N1093" i="10"/>
  <c r="F1093" i="10"/>
  <c r="N1092" i="10"/>
  <c r="F1092" i="10"/>
  <c r="N1091" i="10"/>
  <c r="F1091" i="10"/>
  <c r="N1090" i="10"/>
  <c r="F1090" i="10"/>
  <c r="N1089" i="10"/>
  <c r="F1089" i="10"/>
  <c r="N1088" i="10"/>
  <c r="F1088" i="10"/>
  <c r="N1087" i="10"/>
  <c r="F1087" i="10"/>
  <c r="N1086" i="10"/>
  <c r="F1086" i="10"/>
  <c r="N1085" i="10"/>
  <c r="F1085" i="10"/>
  <c r="N1084" i="10"/>
  <c r="F1084" i="10"/>
  <c r="N1083" i="10"/>
  <c r="F1083" i="10"/>
  <c r="N1082" i="10"/>
  <c r="F1082" i="10"/>
  <c r="N1081" i="10"/>
  <c r="F1081" i="10"/>
  <c r="N1080" i="10"/>
  <c r="F1080" i="10"/>
  <c r="N1079" i="10"/>
  <c r="F1079" i="10"/>
  <c r="N1078" i="10"/>
  <c r="F1078" i="10"/>
  <c r="N1077" i="10"/>
  <c r="F1077" i="10"/>
  <c r="N1076" i="10"/>
  <c r="F1076" i="10"/>
  <c r="N1075" i="10"/>
  <c r="F1075" i="10"/>
  <c r="N1074" i="10"/>
  <c r="F1074" i="10"/>
  <c r="N1073" i="10"/>
  <c r="F1073" i="10"/>
  <c r="N1072" i="10"/>
  <c r="F1072" i="10"/>
  <c r="N1071" i="10"/>
  <c r="F1071" i="10"/>
  <c r="N1070" i="10"/>
  <c r="F1070" i="10"/>
  <c r="N1069" i="10"/>
  <c r="F1069" i="10"/>
  <c r="N1068" i="10"/>
  <c r="F1068" i="10"/>
  <c r="N1067" i="10"/>
  <c r="F1067" i="10"/>
  <c r="N1066" i="10"/>
  <c r="F1066" i="10"/>
  <c r="N1065" i="10"/>
  <c r="F1065" i="10"/>
  <c r="N1064" i="10"/>
  <c r="F1064" i="10"/>
  <c r="N1063" i="10"/>
  <c r="F1063" i="10"/>
  <c r="N1062" i="10"/>
  <c r="F1062" i="10"/>
  <c r="N1061" i="10"/>
  <c r="F1061" i="10"/>
  <c r="N1060" i="10"/>
  <c r="F1060" i="10"/>
  <c r="N1059" i="10"/>
  <c r="F1059" i="10"/>
  <c r="N1058" i="10"/>
  <c r="F1058" i="10"/>
  <c r="N1057" i="10"/>
  <c r="F1057" i="10"/>
  <c r="N1056" i="10"/>
  <c r="F1056" i="10"/>
  <c r="N1055" i="10"/>
  <c r="F1055" i="10"/>
  <c r="N1054" i="10"/>
  <c r="F1054" i="10"/>
  <c r="N1053" i="10"/>
  <c r="F1053" i="10"/>
  <c r="N1052" i="10"/>
  <c r="F1052" i="10"/>
  <c r="N1051" i="10"/>
  <c r="F1051" i="10"/>
  <c r="N1050" i="10"/>
  <c r="F1050" i="10"/>
  <c r="N1049" i="10"/>
  <c r="F1049" i="10"/>
  <c r="N1048" i="10"/>
  <c r="F1048" i="10"/>
  <c r="N1047" i="10"/>
  <c r="F1047" i="10"/>
  <c r="N1046" i="10"/>
  <c r="F1046" i="10"/>
  <c r="N1045" i="10"/>
  <c r="F1045" i="10"/>
  <c r="N1044" i="10"/>
  <c r="F1044" i="10"/>
  <c r="N1043" i="10"/>
  <c r="F1043" i="10"/>
  <c r="N1042" i="10"/>
  <c r="F1042" i="10"/>
  <c r="N1041" i="10"/>
  <c r="F1041" i="10"/>
  <c r="N1040" i="10"/>
  <c r="F1040" i="10"/>
  <c r="N1039" i="10"/>
  <c r="F1039" i="10"/>
  <c r="N1038" i="10"/>
  <c r="F1038" i="10"/>
  <c r="N1037" i="10"/>
  <c r="F1037" i="10"/>
  <c r="N1036" i="10"/>
  <c r="F1036" i="10"/>
  <c r="N1035" i="10"/>
  <c r="F1035" i="10"/>
  <c r="N1034" i="10"/>
  <c r="F1034" i="10"/>
  <c r="N1033" i="10"/>
  <c r="F1033" i="10"/>
  <c r="N1032" i="10"/>
  <c r="F1032" i="10"/>
  <c r="N1031" i="10"/>
  <c r="F1031" i="10"/>
  <c r="N1030" i="10"/>
  <c r="F1030" i="10"/>
  <c r="N1029" i="10"/>
  <c r="F1029" i="10"/>
  <c r="N1028" i="10"/>
  <c r="F1028" i="10"/>
  <c r="N1027" i="10"/>
  <c r="F1027" i="10"/>
  <c r="N1026" i="10"/>
  <c r="F1026" i="10"/>
  <c r="N1025" i="10"/>
  <c r="F1025" i="10"/>
  <c r="N1024" i="10"/>
  <c r="F1024" i="10"/>
  <c r="N1023" i="10"/>
  <c r="F1023" i="10"/>
  <c r="N1022" i="10"/>
  <c r="F1022" i="10"/>
  <c r="N1021" i="10"/>
  <c r="F1021" i="10"/>
  <c r="N1020" i="10"/>
  <c r="F1020" i="10"/>
  <c r="N1019" i="10"/>
  <c r="F1019" i="10"/>
  <c r="N1018" i="10"/>
  <c r="F1018" i="10"/>
  <c r="N1017" i="10"/>
  <c r="F1017" i="10"/>
  <c r="N1016" i="10"/>
  <c r="F1016" i="10"/>
  <c r="N1015" i="10"/>
  <c r="F1015" i="10"/>
  <c r="N1014" i="10"/>
  <c r="F1014" i="10"/>
  <c r="N1013" i="10"/>
  <c r="F1013" i="10"/>
  <c r="N1012" i="10"/>
  <c r="F1012" i="10"/>
  <c r="N1011" i="10"/>
  <c r="F1011" i="10"/>
  <c r="N1010" i="10"/>
  <c r="F1010" i="10"/>
  <c r="N1009" i="10"/>
  <c r="F1009" i="10"/>
  <c r="N1008" i="10"/>
  <c r="F1008" i="10"/>
  <c r="N1007" i="10"/>
  <c r="F1007" i="10"/>
  <c r="N1006" i="10"/>
  <c r="F1006" i="10"/>
  <c r="N1005" i="10"/>
  <c r="F1005" i="10"/>
  <c r="N1004" i="10"/>
  <c r="F1004" i="10"/>
  <c r="N1003" i="10"/>
  <c r="F1003" i="10"/>
  <c r="N1002" i="10"/>
  <c r="F1002" i="10"/>
  <c r="N1001" i="10"/>
  <c r="F1001" i="10"/>
  <c r="N1000" i="10"/>
  <c r="F1000" i="10"/>
  <c r="N999" i="10"/>
  <c r="F999" i="10"/>
  <c r="N998" i="10"/>
  <c r="F998" i="10"/>
  <c r="N997" i="10"/>
  <c r="F997" i="10"/>
  <c r="N996" i="10"/>
  <c r="F996" i="10"/>
  <c r="N995" i="10"/>
  <c r="F995" i="10"/>
  <c r="N994" i="10"/>
  <c r="F994" i="10"/>
  <c r="N993" i="10"/>
  <c r="F993" i="10"/>
  <c r="N992" i="10"/>
  <c r="F992" i="10"/>
  <c r="N991" i="10"/>
  <c r="F991" i="10"/>
  <c r="N990" i="10"/>
  <c r="F990" i="10"/>
  <c r="N989" i="10"/>
  <c r="F989" i="10"/>
  <c r="N988" i="10"/>
  <c r="F988" i="10"/>
  <c r="N987" i="10"/>
  <c r="F987" i="10"/>
  <c r="N986" i="10"/>
  <c r="F986" i="10"/>
  <c r="N985" i="10"/>
  <c r="F985" i="10"/>
  <c r="N984" i="10"/>
  <c r="F984" i="10"/>
  <c r="N983" i="10"/>
  <c r="F983" i="10"/>
  <c r="N982" i="10"/>
  <c r="F982" i="10"/>
  <c r="N981" i="10"/>
  <c r="F981" i="10"/>
  <c r="N980" i="10"/>
  <c r="F980" i="10"/>
  <c r="N979" i="10"/>
  <c r="F979" i="10"/>
  <c r="N978" i="10"/>
  <c r="F978" i="10"/>
  <c r="N977" i="10"/>
  <c r="F977" i="10"/>
  <c r="N976" i="10"/>
  <c r="F976" i="10"/>
  <c r="N975" i="10"/>
  <c r="F975" i="10"/>
  <c r="N974" i="10"/>
  <c r="F974" i="10"/>
  <c r="N973" i="10"/>
  <c r="F973" i="10"/>
  <c r="N972" i="10"/>
  <c r="F972" i="10"/>
  <c r="N971" i="10"/>
  <c r="F971" i="10"/>
  <c r="N970" i="10"/>
  <c r="F970" i="10"/>
  <c r="N969" i="10"/>
  <c r="F969" i="10"/>
  <c r="N968" i="10"/>
  <c r="F968" i="10"/>
  <c r="N967" i="10"/>
  <c r="F967" i="10"/>
  <c r="N966" i="10"/>
  <c r="F966" i="10"/>
  <c r="N965" i="10"/>
  <c r="F965" i="10"/>
  <c r="N964" i="10"/>
  <c r="F964" i="10"/>
  <c r="N963" i="10"/>
  <c r="F963" i="10"/>
  <c r="N962" i="10"/>
  <c r="F962" i="10"/>
  <c r="N961" i="10"/>
  <c r="F961" i="10"/>
  <c r="N960" i="10"/>
  <c r="F960" i="10"/>
  <c r="N959" i="10"/>
  <c r="F959" i="10"/>
  <c r="N958" i="10"/>
  <c r="F958" i="10"/>
  <c r="N957" i="10"/>
  <c r="F957" i="10"/>
  <c r="N956" i="10"/>
  <c r="F956" i="10"/>
  <c r="N955" i="10"/>
  <c r="F955" i="10"/>
  <c r="N954" i="10"/>
  <c r="F954" i="10"/>
  <c r="N953" i="10"/>
  <c r="F953" i="10"/>
  <c r="N952" i="10"/>
  <c r="F952" i="10"/>
  <c r="N951" i="10"/>
  <c r="F951" i="10"/>
  <c r="N950" i="10"/>
  <c r="F950" i="10"/>
  <c r="N949" i="10"/>
  <c r="F949" i="10"/>
  <c r="N948" i="10"/>
  <c r="F948" i="10"/>
  <c r="N947" i="10"/>
  <c r="F947" i="10"/>
  <c r="N946" i="10"/>
  <c r="F946" i="10"/>
  <c r="N945" i="10"/>
  <c r="F945" i="10"/>
  <c r="N944" i="10"/>
  <c r="F944" i="10"/>
  <c r="N943" i="10"/>
  <c r="F943" i="10"/>
  <c r="N942" i="10"/>
  <c r="F942" i="10"/>
  <c r="N941" i="10"/>
  <c r="F941" i="10"/>
  <c r="N940" i="10"/>
  <c r="F940" i="10"/>
  <c r="N939" i="10"/>
  <c r="F939" i="10"/>
  <c r="N938" i="10"/>
  <c r="F938" i="10"/>
  <c r="N937" i="10"/>
  <c r="F937" i="10"/>
  <c r="N936" i="10"/>
  <c r="F936" i="10"/>
  <c r="N935" i="10"/>
  <c r="F935" i="10"/>
  <c r="N934" i="10"/>
  <c r="F934" i="10"/>
  <c r="N933" i="10"/>
  <c r="F933" i="10"/>
  <c r="N932" i="10"/>
  <c r="F932" i="10"/>
  <c r="N931" i="10"/>
  <c r="F931" i="10"/>
  <c r="N930" i="10"/>
  <c r="F930" i="10"/>
  <c r="N929" i="10"/>
  <c r="F929" i="10"/>
  <c r="N928" i="10"/>
  <c r="F928" i="10"/>
  <c r="N927" i="10"/>
  <c r="F927" i="10"/>
  <c r="N926" i="10"/>
  <c r="F926" i="10"/>
  <c r="N925" i="10"/>
  <c r="F925" i="10"/>
  <c r="N924" i="10"/>
  <c r="F924" i="10"/>
  <c r="N923" i="10"/>
  <c r="F923" i="10"/>
  <c r="N922" i="10"/>
  <c r="F922" i="10"/>
  <c r="N921" i="10"/>
  <c r="F921" i="10"/>
  <c r="N920" i="10"/>
  <c r="F920" i="10"/>
  <c r="N919" i="10"/>
  <c r="F919" i="10"/>
  <c r="N918" i="10"/>
  <c r="F918" i="10"/>
  <c r="N917" i="10"/>
  <c r="F917" i="10"/>
  <c r="N916" i="10"/>
  <c r="F916" i="10"/>
  <c r="N915" i="10"/>
  <c r="F915" i="10"/>
  <c r="N914" i="10"/>
  <c r="F914" i="10"/>
  <c r="N913" i="10"/>
  <c r="F913" i="10"/>
  <c r="N912" i="10"/>
  <c r="F912" i="10"/>
  <c r="N911" i="10"/>
  <c r="F911" i="10"/>
  <c r="N910" i="10"/>
  <c r="F910" i="10"/>
  <c r="N909" i="10"/>
  <c r="F909" i="10"/>
  <c r="N908" i="10"/>
  <c r="F908" i="10"/>
  <c r="N907" i="10"/>
  <c r="F907" i="10"/>
  <c r="N906" i="10"/>
  <c r="F906" i="10"/>
  <c r="N905" i="10"/>
  <c r="F905" i="10"/>
  <c r="N904" i="10"/>
  <c r="F904" i="10"/>
  <c r="N903" i="10"/>
  <c r="F903" i="10"/>
  <c r="N902" i="10"/>
  <c r="F902" i="10"/>
  <c r="N901" i="10"/>
  <c r="F901" i="10"/>
  <c r="N900" i="10"/>
  <c r="F900" i="10"/>
  <c r="N899" i="10"/>
  <c r="F899" i="10"/>
  <c r="N898" i="10"/>
  <c r="F898" i="10"/>
  <c r="N897" i="10"/>
  <c r="F897" i="10"/>
  <c r="N896" i="10"/>
  <c r="F896" i="10"/>
  <c r="N895" i="10"/>
  <c r="F895" i="10"/>
  <c r="N894" i="10"/>
  <c r="F894" i="10"/>
  <c r="N893" i="10"/>
  <c r="F893" i="10"/>
  <c r="N892" i="10"/>
  <c r="F892" i="10"/>
  <c r="N891" i="10"/>
  <c r="F891" i="10"/>
  <c r="N890" i="10"/>
  <c r="F890" i="10"/>
  <c r="N889" i="10"/>
  <c r="F889" i="10"/>
  <c r="N888" i="10"/>
  <c r="F888" i="10"/>
  <c r="N887" i="10"/>
  <c r="F887" i="10"/>
  <c r="N886" i="10"/>
  <c r="F886" i="10"/>
  <c r="N885" i="10"/>
  <c r="F885" i="10"/>
  <c r="N884" i="10"/>
  <c r="F884" i="10"/>
  <c r="N883" i="10"/>
  <c r="F883" i="10"/>
  <c r="N882" i="10"/>
  <c r="F882" i="10"/>
  <c r="N881" i="10"/>
  <c r="F881" i="10"/>
  <c r="N880" i="10"/>
  <c r="F880" i="10"/>
  <c r="N879" i="10"/>
  <c r="F879" i="10"/>
  <c r="N878" i="10"/>
  <c r="F878" i="10"/>
  <c r="N877" i="10"/>
  <c r="F877" i="10"/>
  <c r="N876" i="10"/>
  <c r="F876" i="10"/>
  <c r="N875" i="10"/>
  <c r="F875" i="10"/>
  <c r="N874" i="10"/>
  <c r="F874" i="10"/>
  <c r="N873" i="10"/>
  <c r="F873" i="10"/>
  <c r="N872" i="10"/>
  <c r="F872" i="10"/>
  <c r="N871" i="10"/>
  <c r="F871" i="10"/>
  <c r="N870" i="10"/>
  <c r="F870" i="10"/>
  <c r="N869" i="10"/>
  <c r="F869" i="10"/>
  <c r="N868" i="10"/>
  <c r="F868" i="10"/>
  <c r="N867" i="10"/>
  <c r="F867" i="10"/>
  <c r="N866" i="10"/>
  <c r="F866" i="10"/>
  <c r="N865" i="10"/>
  <c r="F865" i="10"/>
  <c r="N864" i="10"/>
  <c r="F864" i="10"/>
  <c r="N863" i="10"/>
  <c r="F863" i="10"/>
  <c r="N862" i="10"/>
  <c r="F862" i="10"/>
  <c r="N861" i="10"/>
  <c r="F861" i="10"/>
  <c r="N860" i="10"/>
  <c r="F860" i="10"/>
  <c r="N859" i="10"/>
  <c r="F859" i="10"/>
  <c r="N858" i="10"/>
  <c r="F858" i="10"/>
  <c r="N857" i="10"/>
  <c r="F857" i="10"/>
  <c r="N856" i="10"/>
  <c r="F856" i="10"/>
  <c r="N855" i="10"/>
  <c r="F855" i="10"/>
  <c r="N854" i="10"/>
  <c r="F854" i="10"/>
  <c r="N853" i="10"/>
  <c r="F853" i="10"/>
  <c r="N852" i="10"/>
  <c r="F852" i="10"/>
  <c r="N851" i="10"/>
  <c r="F851" i="10"/>
  <c r="N850" i="10"/>
  <c r="F850" i="10"/>
  <c r="N849" i="10"/>
  <c r="F849" i="10"/>
  <c r="N848" i="10"/>
  <c r="F848" i="10"/>
  <c r="N847" i="10"/>
  <c r="F847" i="10"/>
  <c r="N846" i="10"/>
  <c r="F846" i="10"/>
  <c r="N845" i="10"/>
  <c r="F845" i="10"/>
  <c r="N844" i="10"/>
  <c r="F844" i="10"/>
  <c r="N843" i="10"/>
  <c r="F843" i="10"/>
  <c r="N842" i="10"/>
  <c r="F842" i="10"/>
  <c r="N841" i="10"/>
  <c r="F841" i="10"/>
  <c r="N840" i="10"/>
  <c r="F840" i="10"/>
  <c r="N839" i="10"/>
  <c r="F839" i="10"/>
  <c r="N838" i="10"/>
  <c r="F838" i="10"/>
  <c r="N837" i="10"/>
  <c r="F837" i="10"/>
  <c r="N836" i="10"/>
  <c r="F836" i="10"/>
  <c r="N835" i="10"/>
  <c r="F835" i="10"/>
  <c r="N834" i="10"/>
  <c r="F834" i="10"/>
  <c r="N833" i="10"/>
  <c r="F833" i="10"/>
  <c r="N832" i="10"/>
  <c r="F832" i="10"/>
  <c r="N831" i="10"/>
  <c r="F831" i="10"/>
  <c r="N830" i="10"/>
  <c r="F830" i="10"/>
  <c r="N829" i="10"/>
  <c r="F829" i="10"/>
  <c r="N828" i="10"/>
  <c r="F828" i="10"/>
  <c r="N827" i="10"/>
  <c r="F827" i="10"/>
  <c r="N826" i="10"/>
  <c r="F826" i="10"/>
  <c r="N825" i="10"/>
  <c r="F825" i="10"/>
  <c r="N824" i="10"/>
  <c r="F824" i="10"/>
  <c r="N823" i="10"/>
  <c r="F823" i="10"/>
  <c r="N822" i="10"/>
  <c r="F822" i="10"/>
  <c r="N821" i="10"/>
  <c r="F821" i="10"/>
  <c r="N820" i="10"/>
  <c r="F820" i="10"/>
  <c r="N819" i="10"/>
  <c r="F819" i="10"/>
  <c r="N818" i="10"/>
  <c r="F818" i="10"/>
  <c r="N817" i="10"/>
  <c r="F817" i="10"/>
  <c r="N816" i="10"/>
  <c r="F816" i="10"/>
  <c r="N815" i="10"/>
  <c r="F815" i="10"/>
  <c r="N814" i="10"/>
  <c r="F814" i="10"/>
  <c r="N813" i="10"/>
  <c r="F813" i="10"/>
  <c r="N812" i="10"/>
  <c r="F812" i="10"/>
  <c r="N811" i="10"/>
  <c r="F811" i="10"/>
  <c r="N810" i="10"/>
  <c r="F810" i="10"/>
  <c r="N809" i="10"/>
  <c r="F809" i="10"/>
  <c r="N808" i="10"/>
  <c r="F808" i="10"/>
  <c r="N807" i="10"/>
  <c r="F807" i="10"/>
  <c r="N806" i="10"/>
  <c r="F806" i="10"/>
  <c r="N805" i="10"/>
  <c r="F805" i="10"/>
  <c r="N804" i="10"/>
  <c r="F804" i="10"/>
  <c r="N803" i="10"/>
  <c r="F803" i="10"/>
  <c r="N802" i="10"/>
  <c r="F802" i="10"/>
  <c r="N801" i="10"/>
  <c r="F801" i="10"/>
  <c r="N800" i="10"/>
  <c r="F800" i="10"/>
  <c r="N799" i="10"/>
  <c r="F799" i="10"/>
  <c r="N798" i="10"/>
  <c r="F798" i="10"/>
  <c r="N797" i="10"/>
  <c r="F797" i="10"/>
  <c r="N796" i="10"/>
  <c r="F796" i="10"/>
  <c r="N795" i="10"/>
  <c r="F795" i="10"/>
  <c r="N794" i="10"/>
  <c r="F794" i="10"/>
  <c r="N793" i="10"/>
  <c r="F793" i="10"/>
  <c r="N792" i="10"/>
  <c r="F792" i="10"/>
  <c r="N791" i="10"/>
  <c r="F791" i="10"/>
  <c r="N790" i="10"/>
  <c r="F790" i="10"/>
  <c r="N789" i="10"/>
  <c r="F789" i="10"/>
  <c r="N788" i="10"/>
  <c r="F788" i="10"/>
  <c r="N787" i="10"/>
  <c r="F787" i="10"/>
  <c r="N786" i="10"/>
  <c r="F786" i="10"/>
  <c r="N785" i="10"/>
  <c r="F785" i="10"/>
  <c r="N784" i="10"/>
  <c r="F784" i="10"/>
  <c r="N783" i="10"/>
  <c r="F783" i="10"/>
  <c r="N782" i="10"/>
  <c r="F782" i="10"/>
  <c r="N781" i="10"/>
  <c r="F781" i="10"/>
  <c r="N780" i="10"/>
  <c r="F780" i="10"/>
  <c r="N779" i="10"/>
  <c r="F779" i="10"/>
  <c r="N778" i="10"/>
  <c r="F778" i="10"/>
  <c r="N777" i="10"/>
  <c r="F777" i="10"/>
  <c r="N776" i="10"/>
  <c r="F776" i="10"/>
  <c r="N775" i="10"/>
  <c r="F775" i="10"/>
  <c r="N774" i="10"/>
  <c r="F774" i="10"/>
  <c r="N773" i="10"/>
  <c r="F773" i="10"/>
  <c r="N772" i="10"/>
  <c r="F772" i="10"/>
  <c r="N771" i="10"/>
  <c r="F771" i="10"/>
  <c r="N770" i="10"/>
  <c r="F770" i="10"/>
  <c r="N769" i="10"/>
  <c r="F769" i="10"/>
  <c r="N768" i="10"/>
  <c r="F768" i="10"/>
  <c r="N767" i="10"/>
  <c r="F767" i="10"/>
  <c r="N766" i="10"/>
  <c r="F766" i="10"/>
  <c r="N765" i="10"/>
  <c r="F765" i="10"/>
  <c r="N764" i="10"/>
  <c r="F764" i="10"/>
  <c r="N763" i="10"/>
  <c r="F763" i="10"/>
  <c r="N762" i="10"/>
  <c r="F762" i="10"/>
  <c r="N761" i="10"/>
  <c r="F761" i="10"/>
  <c r="N760" i="10"/>
  <c r="F760" i="10"/>
  <c r="N759" i="10"/>
  <c r="F759" i="10"/>
  <c r="N758" i="10"/>
  <c r="F758" i="10"/>
  <c r="N757" i="10"/>
  <c r="F757" i="10"/>
  <c r="N756" i="10"/>
  <c r="F756" i="10"/>
  <c r="N755" i="10"/>
  <c r="F755" i="10"/>
  <c r="N754" i="10"/>
  <c r="F754" i="10"/>
  <c r="N753" i="10"/>
  <c r="F753" i="10"/>
  <c r="N752" i="10"/>
  <c r="F752" i="10"/>
  <c r="N751" i="10"/>
  <c r="F751" i="10"/>
  <c r="N750" i="10"/>
  <c r="F750" i="10"/>
  <c r="N749" i="10"/>
  <c r="F749" i="10"/>
  <c r="N748" i="10"/>
  <c r="F748" i="10"/>
  <c r="N747" i="10"/>
  <c r="F747" i="10"/>
  <c r="N746" i="10"/>
  <c r="F746" i="10"/>
  <c r="N745" i="10"/>
  <c r="F745" i="10"/>
  <c r="N744" i="10"/>
  <c r="F744" i="10"/>
  <c r="N743" i="10"/>
  <c r="F743" i="10"/>
  <c r="N742" i="10"/>
  <c r="F742" i="10"/>
  <c r="N741" i="10"/>
  <c r="F741" i="10"/>
  <c r="N740" i="10"/>
  <c r="F740" i="10"/>
  <c r="N739" i="10"/>
  <c r="F739" i="10"/>
  <c r="N738" i="10"/>
  <c r="F738" i="10"/>
  <c r="N737" i="10"/>
  <c r="F737" i="10"/>
  <c r="N736" i="10"/>
  <c r="F736" i="10"/>
  <c r="N735" i="10"/>
  <c r="F735" i="10"/>
  <c r="N734" i="10"/>
  <c r="F734" i="10"/>
  <c r="N733" i="10"/>
  <c r="F733" i="10"/>
  <c r="N732" i="10"/>
  <c r="F732" i="10"/>
  <c r="N731" i="10"/>
  <c r="F731" i="10"/>
  <c r="N730" i="10"/>
  <c r="F730" i="10"/>
  <c r="N729" i="10"/>
  <c r="F729" i="10"/>
  <c r="N728" i="10"/>
  <c r="F728" i="10"/>
  <c r="N727" i="10"/>
  <c r="F727" i="10"/>
  <c r="N726" i="10"/>
  <c r="F726" i="10"/>
  <c r="N725" i="10"/>
  <c r="F725" i="10"/>
  <c r="N724" i="10"/>
  <c r="F724" i="10"/>
  <c r="N723" i="10"/>
  <c r="F723" i="10"/>
  <c r="N722" i="10"/>
  <c r="F722" i="10"/>
  <c r="N721" i="10"/>
  <c r="F721" i="10"/>
  <c r="N720" i="10"/>
  <c r="F720" i="10"/>
  <c r="N719" i="10"/>
  <c r="F719" i="10"/>
  <c r="N718" i="10"/>
  <c r="F718" i="10"/>
  <c r="N717" i="10"/>
  <c r="F717" i="10"/>
  <c r="N716" i="10"/>
  <c r="F716" i="10"/>
  <c r="N715" i="10"/>
  <c r="F715" i="10"/>
  <c r="N714" i="10"/>
  <c r="F714" i="10"/>
  <c r="N713" i="10"/>
  <c r="F713" i="10"/>
  <c r="N712" i="10"/>
  <c r="F712" i="10"/>
  <c r="N711" i="10"/>
  <c r="F711" i="10"/>
  <c r="N710" i="10"/>
  <c r="F710" i="10"/>
  <c r="N709" i="10"/>
  <c r="F709" i="10"/>
  <c r="N708" i="10"/>
  <c r="F708" i="10"/>
  <c r="N707" i="10"/>
  <c r="F707" i="10"/>
  <c r="N706" i="10"/>
  <c r="F706" i="10"/>
  <c r="N705" i="10"/>
  <c r="F705" i="10"/>
  <c r="N704" i="10"/>
  <c r="F704" i="10"/>
  <c r="N703" i="10"/>
  <c r="F703" i="10"/>
  <c r="N702" i="10"/>
  <c r="F702" i="10"/>
  <c r="N701" i="10"/>
  <c r="F701" i="10"/>
  <c r="N700" i="10"/>
  <c r="F700" i="10"/>
  <c r="N699" i="10"/>
  <c r="F699" i="10"/>
  <c r="N698" i="10"/>
  <c r="F698" i="10"/>
  <c r="N697" i="10"/>
  <c r="F697" i="10"/>
  <c r="N696" i="10"/>
  <c r="F696" i="10"/>
  <c r="N695" i="10"/>
  <c r="F695" i="10"/>
  <c r="N694" i="10"/>
  <c r="F694" i="10"/>
  <c r="N693" i="10"/>
  <c r="F693" i="10"/>
  <c r="N692" i="10"/>
  <c r="F692" i="10"/>
  <c r="N691" i="10"/>
  <c r="F691" i="10"/>
  <c r="N690" i="10"/>
  <c r="F690" i="10"/>
  <c r="N689" i="10"/>
  <c r="F689" i="10"/>
  <c r="N688" i="10"/>
  <c r="F688" i="10"/>
  <c r="N687" i="10"/>
  <c r="F687" i="10"/>
  <c r="N686" i="10"/>
  <c r="F686" i="10"/>
  <c r="N685" i="10"/>
  <c r="F685" i="10"/>
  <c r="N684" i="10"/>
  <c r="F684" i="10"/>
  <c r="N683" i="10"/>
  <c r="F683" i="10"/>
  <c r="N682" i="10"/>
  <c r="F682" i="10"/>
  <c r="N681" i="10"/>
  <c r="F681" i="10"/>
  <c r="N680" i="10"/>
  <c r="F680" i="10"/>
  <c r="N679" i="10"/>
  <c r="F679" i="10"/>
  <c r="N678" i="10"/>
  <c r="F678" i="10"/>
  <c r="N677" i="10"/>
  <c r="F677" i="10"/>
  <c r="N676" i="10"/>
  <c r="F676" i="10"/>
  <c r="N675" i="10"/>
  <c r="F675" i="10"/>
  <c r="N674" i="10"/>
  <c r="F674" i="10"/>
  <c r="N673" i="10"/>
  <c r="F673" i="10"/>
  <c r="N672" i="10"/>
  <c r="F672" i="10"/>
  <c r="N671" i="10"/>
  <c r="F671" i="10"/>
  <c r="N670" i="10"/>
  <c r="F670" i="10"/>
  <c r="N669" i="10"/>
  <c r="F669" i="10"/>
  <c r="N668" i="10"/>
  <c r="F668" i="10"/>
  <c r="N667" i="10"/>
  <c r="F667" i="10"/>
  <c r="N666" i="10"/>
  <c r="F666" i="10"/>
  <c r="N665" i="10"/>
  <c r="F665" i="10"/>
  <c r="N664" i="10"/>
  <c r="F664" i="10"/>
  <c r="N663" i="10"/>
  <c r="F663" i="10"/>
  <c r="N662" i="10"/>
  <c r="F662" i="10"/>
  <c r="N661" i="10"/>
  <c r="F661" i="10"/>
  <c r="N660" i="10"/>
  <c r="F660" i="10"/>
  <c r="N659" i="10"/>
  <c r="F659" i="10"/>
  <c r="N658" i="10"/>
  <c r="F658" i="10"/>
  <c r="N657" i="10"/>
  <c r="F657" i="10"/>
  <c r="N656" i="10"/>
  <c r="F656" i="10"/>
  <c r="N655" i="10"/>
  <c r="F655" i="10"/>
  <c r="N654" i="10"/>
  <c r="F654" i="10"/>
  <c r="N653" i="10"/>
  <c r="F653" i="10"/>
  <c r="N652" i="10"/>
  <c r="F652" i="10"/>
  <c r="N651" i="10"/>
  <c r="F651" i="10"/>
  <c r="N650" i="10"/>
  <c r="F650" i="10"/>
  <c r="N649" i="10"/>
  <c r="F649" i="10"/>
  <c r="N648" i="10"/>
  <c r="F648" i="10"/>
  <c r="N647" i="10"/>
  <c r="F647" i="10"/>
  <c r="N646" i="10"/>
  <c r="F646" i="10"/>
  <c r="N645" i="10"/>
  <c r="F645" i="10"/>
  <c r="N644" i="10"/>
  <c r="F644" i="10"/>
  <c r="N643" i="10"/>
  <c r="F643" i="10"/>
  <c r="N642" i="10"/>
  <c r="F642" i="10"/>
  <c r="N641" i="10"/>
  <c r="F641" i="10"/>
  <c r="N640" i="10"/>
  <c r="F640" i="10"/>
  <c r="N639" i="10"/>
  <c r="F639" i="10"/>
  <c r="N638" i="10"/>
  <c r="F638" i="10"/>
  <c r="N637" i="10"/>
  <c r="F637" i="10"/>
  <c r="N636" i="10"/>
  <c r="F636" i="10"/>
  <c r="N635" i="10"/>
  <c r="F635" i="10"/>
  <c r="N634" i="10"/>
  <c r="F634" i="10"/>
  <c r="N633" i="10"/>
  <c r="F633" i="10"/>
  <c r="N632" i="10"/>
  <c r="F632" i="10"/>
  <c r="N631" i="10"/>
  <c r="F631" i="10"/>
  <c r="N630" i="10"/>
  <c r="F630" i="10"/>
  <c r="N629" i="10"/>
  <c r="F629" i="10"/>
  <c r="N628" i="10"/>
  <c r="F628" i="10"/>
  <c r="N627" i="10"/>
  <c r="F627" i="10"/>
  <c r="N626" i="10"/>
  <c r="F626" i="10"/>
  <c r="N625" i="10"/>
  <c r="F625" i="10"/>
  <c r="N624" i="10"/>
  <c r="F624" i="10"/>
  <c r="N623" i="10"/>
  <c r="F623" i="10"/>
  <c r="N622" i="10"/>
  <c r="F622" i="10"/>
  <c r="N621" i="10"/>
  <c r="F621" i="10"/>
  <c r="N620" i="10"/>
  <c r="F620" i="10"/>
  <c r="N619" i="10"/>
  <c r="F619" i="10"/>
  <c r="N618" i="10"/>
  <c r="F618" i="10"/>
  <c r="N617" i="10"/>
  <c r="F617" i="10"/>
  <c r="N616" i="10"/>
  <c r="F616" i="10"/>
  <c r="N615" i="10"/>
  <c r="F615" i="10"/>
  <c r="N614" i="10"/>
  <c r="F614" i="10"/>
  <c r="N613" i="10"/>
  <c r="F613" i="10"/>
  <c r="N612" i="10"/>
  <c r="F612" i="10"/>
  <c r="N611" i="10"/>
  <c r="F611" i="10"/>
  <c r="N610" i="10"/>
  <c r="F610" i="10"/>
  <c r="N609" i="10"/>
  <c r="F609" i="10"/>
  <c r="N608" i="10"/>
  <c r="F608" i="10"/>
  <c r="N607" i="10"/>
  <c r="F607" i="10"/>
  <c r="N606" i="10"/>
  <c r="F606" i="10"/>
  <c r="N605" i="10"/>
  <c r="F605" i="10"/>
  <c r="N604" i="10"/>
  <c r="F604" i="10"/>
  <c r="N603" i="10"/>
  <c r="F603" i="10"/>
  <c r="N602" i="10"/>
  <c r="F602" i="10"/>
  <c r="N601" i="10"/>
  <c r="F601" i="10"/>
  <c r="N600" i="10"/>
  <c r="F600" i="10"/>
  <c r="N599" i="10"/>
  <c r="F599" i="10"/>
  <c r="N598" i="10"/>
  <c r="F598" i="10"/>
  <c r="N597" i="10"/>
  <c r="F597" i="10"/>
  <c r="N596" i="10"/>
  <c r="F596" i="10"/>
  <c r="N595" i="10"/>
  <c r="F595" i="10"/>
  <c r="N594" i="10"/>
  <c r="F594" i="10"/>
  <c r="N593" i="10"/>
  <c r="F593" i="10"/>
  <c r="N592" i="10"/>
  <c r="F592" i="10"/>
  <c r="N591" i="10"/>
  <c r="F591" i="10"/>
  <c r="N590" i="10"/>
  <c r="F590" i="10"/>
  <c r="N589" i="10"/>
  <c r="F589" i="10"/>
  <c r="N588" i="10"/>
  <c r="F588" i="10"/>
  <c r="N587" i="10"/>
  <c r="F587" i="10"/>
  <c r="N586" i="10"/>
  <c r="F586" i="10"/>
  <c r="N585" i="10"/>
  <c r="F585" i="10"/>
  <c r="N584" i="10"/>
  <c r="F584" i="10"/>
  <c r="N583" i="10"/>
  <c r="F583" i="10"/>
  <c r="N582" i="10"/>
  <c r="F582" i="10"/>
  <c r="N581" i="10"/>
  <c r="F581" i="10"/>
  <c r="N580" i="10"/>
  <c r="F580" i="10"/>
  <c r="N579" i="10"/>
  <c r="F579" i="10"/>
  <c r="N578" i="10"/>
  <c r="F578" i="10"/>
  <c r="N577" i="10"/>
  <c r="F577" i="10"/>
  <c r="N576" i="10"/>
  <c r="F576" i="10"/>
  <c r="N575" i="10"/>
  <c r="F575" i="10"/>
  <c r="N574" i="10"/>
  <c r="F574" i="10"/>
  <c r="N573" i="10"/>
  <c r="F573" i="10"/>
  <c r="N572" i="10"/>
  <c r="F572" i="10"/>
  <c r="N571" i="10"/>
  <c r="F571" i="10"/>
  <c r="N570" i="10"/>
  <c r="F570" i="10"/>
  <c r="N569" i="10"/>
  <c r="F569" i="10"/>
  <c r="N568" i="10"/>
  <c r="F568" i="10"/>
  <c r="N567" i="10"/>
  <c r="F567" i="10"/>
  <c r="N566" i="10"/>
  <c r="F566" i="10"/>
  <c r="N565" i="10"/>
  <c r="F565" i="10"/>
  <c r="N564" i="10"/>
  <c r="F564" i="10"/>
  <c r="N563" i="10"/>
  <c r="F563" i="10"/>
  <c r="N562" i="10"/>
  <c r="F562" i="10"/>
  <c r="N561" i="10"/>
  <c r="F561" i="10"/>
  <c r="N560" i="10"/>
  <c r="F560" i="10"/>
  <c r="N559" i="10"/>
  <c r="F559" i="10"/>
  <c r="N558" i="10"/>
  <c r="F558" i="10"/>
  <c r="N557" i="10"/>
  <c r="F557" i="10"/>
  <c r="N556" i="10"/>
  <c r="F556" i="10"/>
  <c r="N555" i="10"/>
  <c r="F555" i="10"/>
  <c r="N554" i="10"/>
  <c r="F554" i="10"/>
  <c r="N553" i="10"/>
  <c r="F553" i="10"/>
  <c r="N552" i="10"/>
  <c r="F552" i="10"/>
  <c r="N551" i="10"/>
  <c r="F551" i="10"/>
  <c r="N550" i="10"/>
  <c r="F550" i="10"/>
  <c r="N549" i="10"/>
  <c r="F549" i="10"/>
  <c r="N548" i="10"/>
  <c r="F548" i="10"/>
  <c r="N547" i="10"/>
  <c r="F547" i="10"/>
  <c r="N546" i="10"/>
  <c r="F546" i="10"/>
  <c r="N545" i="10"/>
  <c r="F545" i="10"/>
  <c r="N544" i="10"/>
  <c r="F544" i="10"/>
  <c r="N543" i="10"/>
  <c r="F543" i="10"/>
  <c r="N542" i="10"/>
  <c r="F542" i="10"/>
  <c r="N541" i="10"/>
  <c r="F541" i="10"/>
  <c r="N540" i="10"/>
  <c r="F540" i="10"/>
  <c r="N539" i="10"/>
  <c r="F539" i="10"/>
  <c r="N538" i="10"/>
  <c r="F538" i="10"/>
  <c r="N537" i="10"/>
  <c r="F537" i="10"/>
  <c r="N536" i="10"/>
  <c r="F536" i="10"/>
  <c r="N535" i="10"/>
  <c r="F535" i="10"/>
  <c r="N534" i="10"/>
  <c r="F534" i="10"/>
  <c r="N533" i="10"/>
  <c r="F533" i="10"/>
  <c r="N532" i="10"/>
  <c r="F532" i="10"/>
  <c r="N531" i="10"/>
  <c r="F531" i="10"/>
  <c r="N530" i="10"/>
  <c r="F530" i="10"/>
  <c r="N529" i="10"/>
  <c r="F529" i="10"/>
  <c r="N528" i="10"/>
  <c r="F528" i="10"/>
  <c r="N527" i="10"/>
  <c r="F527" i="10"/>
  <c r="N526" i="10"/>
  <c r="F526" i="10"/>
  <c r="N525" i="10"/>
  <c r="F525" i="10"/>
  <c r="N524" i="10"/>
  <c r="F524" i="10"/>
  <c r="N523" i="10"/>
  <c r="F523" i="10"/>
  <c r="N522" i="10"/>
  <c r="F522" i="10"/>
  <c r="N521" i="10"/>
  <c r="F521" i="10"/>
  <c r="N520" i="10"/>
  <c r="F520" i="10"/>
  <c r="N519" i="10"/>
  <c r="F519" i="10"/>
  <c r="N518" i="10"/>
  <c r="F518" i="10"/>
  <c r="N517" i="10"/>
  <c r="F517" i="10"/>
  <c r="N516" i="10"/>
  <c r="F516" i="10"/>
  <c r="N515" i="10"/>
  <c r="F515" i="10"/>
  <c r="N514" i="10"/>
  <c r="F514" i="10"/>
  <c r="N513" i="10"/>
  <c r="F513" i="10"/>
  <c r="N512" i="10"/>
  <c r="F512" i="10"/>
  <c r="N511" i="10"/>
  <c r="F511" i="10"/>
  <c r="N510" i="10"/>
  <c r="F510" i="10"/>
  <c r="N509" i="10"/>
  <c r="F509" i="10"/>
  <c r="N508" i="10"/>
  <c r="F508" i="10"/>
  <c r="N507" i="10"/>
  <c r="F507" i="10"/>
  <c r="N506" i="10"/>
  <c r="F506" i="10"/>
  <c r="N505" i="10"/>
  <c r="F505" i="10"/>
  <c r="N504" i="10"/>
  <c r="F504" i="10"/>
  <c r="N503" i="10"/>
  <c r="F503" i="10"/>
  <c r="N502" i="10"/>
  <c r="F502" i="10"/>
  <c r="N501" i="10"/>
  <c r="F501" i="10"/>
  <c r="N500" i="10"/>
  <c r="F500" i="10"/>
  <c r="N499" i="10"/>
  <c r="F499" i="10"/>
  <c r="N498" i="10"/>
  <c r="F498" i="10"/>
  <c r="N497" i="10"/>
  <c r="F497" i="10"/>
  <c r="N496" i="10"/>
  <c r="F496" i="10"/>
  <c r="N495" i="10"/>
  <c r="F495" i="10"/>
  <c r="N494" i="10"/>
  <c r="F494" i="10"/>
  <c r="N493" i="10"/>
  <c r="F493" i="10"/>
  <c r="N492" i="10"/>
  <c r="F492" i="10"/>
  <c r="N491" i="10"/>
  <c r="F491" i="10"/>
  <c r="N490" i="10"/>
  <c r="F490" i="10"/>
  <c r="N489" i="10"/>
  <c r="F489" i="10"/>
  <c r="N488" i="10"/>
  <c r="F488" i="10"/>
  <c r="N487" i="10"/>
  <c r="F487" i="10"/>
  <c r="N486" i="10"/>
  <c r="F486" i="10"/>
  <c r="N485" i="10"/>
  <c r="F485" i="10"/>
  <c r="N484" i="10"/>
  <c r="F484" i="10"/>
  <c r="N483" i="10"/>
  <c r="F483" i="10"/>
  <c r="N482" i="10"/>
  <c r="F482" i="10"/>
  <c r="N481" i="10"/>
  <c r="F481" i="10"/>
  <c r="N480" i="10"/>
  <c r="F480" i="10"/>
  <c r="N479" i="10"/>
  <c r="F479" i="10"/>
  <c r="N478" i="10"/>
  <c r="F478" i="10"/>
  <c r="N477" i="10"/>
  <c r="F477" i="10"/>
  <c r="N476" i="10"/>
  <c r="F476" i="10"/>
  <c r="N475" i="10"/>
  <c r="F475" i="10"/>
  <c r="N474" i="10"/>
  <c r="F474" i="10"/>
  <c r="N473" i="10"/>
  <c r="F473" i="10"/>
  <c r="N472" i="10"/>
  <c r="F472" i="10"/>
  <c r="N471" i="10"/>
  <c r="F471" i="10"/>
  <c r="N470" i="10"/>
  <c r="F470" i="10"/>
  <c r="N469" i="10"/>
  <c r="F469" i="10"/>
  <c r="N468" i="10"/>
  <c r="F468" i="10"/>
  <c r="N467" i="10"/>
  <c r="F467" i="10"/>
  <c r="N466" i="10"/>
  <c r="F466" i="10"/>
  <c r="N465" i="10"/>
  <c r="F465" i="10"/>
  <c r="N464" i="10"/>
  <c r="F464" i="10"/>
  <c r="N463" i="10"/>
  <c r="F463" i="10"/>
  <c r="N462" i="10"/>
  <c r="F462" i="10"/>
  <c r="N461" i="10"/>
  <c r="F461" i="10"/>
  <c r="N460" i="10"/>
  <c r="F460" i="10"/>
  <c r="N459" i="10"/>
  <c r="F459" i="10"/>
  <c r="N458" i="10"/>
  <c r="F458" i="10"/>
  <c r="N457" i="10"/>
  <c r="F457" i="10"/>
  <c r="N456" i="10"/>
  <c r="F456" i="10"/>
  <c r="N455" i="10"/>
  <c r="F455" i="10"/>
  <c r="N454" i="10"/>
  <c r="F454" i="10"/>
  <c r="N453" i="10"/>
  <c r="F453" i="10"/>
  <c r="N452" i="10"/>
  <c r="F452" i="10"/>
  <c r="N451" i="10"/>
  <c r="F451" i="10"/>
  <c r="N450" i="10"/>
  <c r="F450" i="10"/>
  <c r="N449" i="10"/>
  <c r="F449" i="10"/>
  <c r="N448" i="10"/>
  <c r="F448" i="10"/>
  <c r="N447" i="10"/>
  <c r="F447" i="10"/>
  <c r="N446" i="10"/>
  <c r="F446" i="10"/>
  <c r="N445" i="10"/>
  <c r="F445" i="10"/>
  <c r="N444" i="10"/>
  <c r="F444" i="10"/>
  <c r="N443" i="10"/>
  <c r="F443" i="10"/>
  <c r="N442" i="10"/>
  <c r="F442" i="10"/>
  <c r="N441" i="10"/>
  <c r="F441" i="10"/>
  <c r="N440" i="10"/>
  <c r="F440" i="10"/>
  <c r="N439" i="10"/>
  <c r="F439" i="10"/>
  <c r="N438" i="10"/>
  <c r="F438" i="10"/>
  <c r="N437" i="10"/>
  <c r="F437" i="10"/>
  <c r="N436" i="10"/>
  <c r="F436" i="10"/>
  <c r="N435" i="10"/>
  <c r="F435" i="10"/>
  <c r="N434" i="10"/>
  <c r="F434" i="10"/>
  <c r="N433" i="10"/>
  <c r="F433" i="10"/>
  <c r="N432" i="10"/>
  <c r="F432" i="10"/>
  <c r="N431" i="10"/>
  <c r="F431" i="10"/>
  <c r="N430" i="10"/>
  <c r="F430" i="10"/>
  <c r="N429" i="10"/>
  <c r="F429" i="10"/>
  <c r="N428" i="10"/>
  <c r="F428" i="10"/>
  <c r="N427" i="10"/>
  <c r="F427" i="10"/>
  <c r="N426" i="10"/>
  <c r="F426" i="10"/>
  <c r="N425" i="10"/>
  <c r="F425" i="10"/>
  <c r="N424" i="10"/>
  <c r="F424" i="10"/>
  <c r="N423" i="10"/>
  <c r="F423" i="10"/>
  <c r="N422" i="10"/>
  <c r="F422" i="10"/>
  <c r="N421" i="10"/>
  <c r="F421" i="10"/>
  <c r="N420" i="10"/>
  <c r="F420" i="10"/>
  <c r="N419" i="10"/>
  <c r="F419" i="10"/>
  <c r="N418" i="10"/>
  <c r="F418" i="10"/>
  <c r="N417" i="10"/>
  <c r="F417" i="10"/>
  <c r="N416" i="10"/>
  <c r="F416" i="10"/>
  <c r="N415" i="10"/>
  <c r="F415" i="10"/>
  <c r="N414" i="10"/>
  <c r="F414" i="10"/>
  <c r="N413" i="10"/>
  <c r="F413" i="10"/>
  <c r="N412" i="10"/>
  <c r="F412" i="10"/>
  <c r="N411" i="10"/>
  <c r="F411" i="10"/>
  <c r="N410" i="10"/>
  <c r="F410" i="10"/>
  <c r="N409" i="10"/>
  <c r="F409" i="10"/>
  <c r="N408" i="10"/>
  <c r="F408" i="10"/>
  <c r="N407" i="10"/>
  <c r="F407" i="10"/>
  <c r="N406" i="10"/>
  <c r="F406" i="10"/>
  <c r="N405" i="10"/>
  <c r="F405" i="10"/>
  <c r="N404" i="10"/>
  <c r="F404" i="10"/>
  <c r="N403" i="10"/>
  <c r="F403" i="10"/>
  <c r="N402" i="10"/>
  <c r="F402" i="10"/>
  <c r="N401" i="10"/>
  <c r="F401" i="10"/>
  <c r="N400" i="10"/>
  <c r="F400" i="10"/>
  <c r="N399" i="10"/>
  <c r="F399" i="10"/>
  <c r="N398" i="10"/>
  <c r="F398" i="10"/>
  <c r="N397" i="10"/>
  <c r="F397" i="10"/>
  <c r="N396" i="10"/>
  <c r="F396" i="10"/>
  <c r="N395" i="10"/>
  <c r="F395" i="10"/>
  <c r="N394" i="10"/>
  <c r="F394" i="10"/>
  <c r="N393" i="10"/>
  <c r="F393" i="10"/>
  <c r="N392" i="10"/>
  <c r="F392" i="10"/>
  <c r="N391" i="10"/>
  <c r="F391" i="10"/>
  <c r="N390" i="10"/>
  <c r="F390" i="10"/>
  <c r="N389" i="10"/>
  <c r="F389" i="10"/>
  <c r="N388" i="10"/>
  <c r="F388" i="10"/>
  <c r="N387" i="10"/>
  <c r="F387" i="10"/>
  <c r="N386" i="10"/>
  <c r="F386" i="10"/>
  <c r="N385" i="10"/>
  <c r="F385" i="10"/>
  <c r="N384" i="10"/>
  <c r="F384" i="10"/>
  <c r="N383" i="10"/>
  <c r="F383" i="10"/>
  <c r="N382" i="10"/>
  <c r="F382" i="10"/>
  <c r="N381" i="10"/>
  <c r="F381" i="10"/>
  <c r="N380" i="10"/>
  <c r="F380" i="10"/>
  <c r="N379" i="10"/>
  <c r="F379" i="10"/>
  <c r="N378" i="10"/>
  <c r="F378" i="10"/>
  <c r="N377" i="10"/>
  <c r="F377" i="10"/>
  <c r="N376" i="10"/>
  <c r="F376" i="10"/>
  <c r="N375" i="10"/>
  <c r="F375" i="10"/>
  <c r="N374" i="10"/>
  <c r="F374" i="10"/>
  <c r="N373" i="10"/>
  <c r="F373" i="10"/>
  <c r="N372" i="10"/>
  <c r="F372" i="10"/>
  <c r="N371" i="10"/>
  <c r="F371" i="10"/>
  <c r="N370" i="10"/>
  <c r="F370" i="10"/>
  <c r="N369" i="10"/>
  <c r="F369" i="10"/>
  <c r="N368" i="10"/>
  <c r="F368" i="10"/>
  <c r="N367" i="10"/>
  <c r="F367" i="10"/>
  <c r="N366" i="10"/>
  <c r="F366" i="10"/>
  <c r="N365" i="10"/>
  <c r="F365" i="10"/>
  <c r="N364" i="10"/>
  <c r="F364" i="10"/>
  <c r="N363" i="10"/>
  <c r="F363" i="10"/>
  <c r="N362" i="10"/>
  <c r="F362" i="10"/>
  <c r="N361" i="10"/>
  <c r="F361" i="10"/>
  <c r="N360" i="10"/>
  <c r="F360" i="10"/>
  <c r="N359" i="10"/>
  <c r="F359" i="10"/>
  <c r="N358" i="10"/>
  <c r="F358" i="10"/>
  <c r="N357" i="10"/>
  <c r="F357" i="10"/>
  <c r="N356" i="10"/>
  <c r="F356" i="10"/>
  <c r="N355" i="10"/>
  <c r="F355" i="10"/>
  <c r="N354" i="10"/>
  <c r="F354" i="10"/>
  <c r="N353" i="10"/>
  <c r="F353" i="10"/>
  <c r="N352" i="10"/>
  <c r="F352" i="10"/>
  <c r="N351" i="10"/>
  <c r="F351" i="10"/>
  <c r="N350" i="10"/>
  <c r="F350" i="10"/>
  <c r="N349" i="10"/>
  <c r="F349" i="10"/>
  <c r="N348" i="10"/>
  <c r="F348" i="10"/>
  <c r="N347" i="10"/>
  <c r="F347" i="10"/>
  <c r="N346" i="10"/>
  <c r="F346" i="10"/>
  <c r="N345" i="10"/>
  <c r="F345" i="10"/>
  <c r="N344" i="10"/>
  <c r="F344" i="10"/>
  <c r="N343" i="10"/>
  <c r="F343" i="10"/>
  <c r="N342" i="10"/>
  <c r="F342" i="10"/>
  <c r="N341" i="10"/>
  <c r="F341" i="10"/>
  <c r="N340" i="10"/>
  <c r="F340" i="10"/>
  <c r="N339" i="10"/>
  <c r="F339" i="10"/>
  <c r="N338" i="10"/>
  <c r="F338" i="10"/>
  <c r="N337" i="10"/>
  <c r="F337" i="10"/>
  <c r="N336" i="10"/>
  <c r="F336" i="10"/>
  <c r="N335" i="10"/>
  <c r="F335" i="10"/>
  <c r="N334" i="10"/>
  <c r="F334" i="10"/>
  <c r="N333" i="10"/>
  <c r="F333" i="10"/>
  <c r="N332" i="10"/>
  <c r="F332" i="10"/>
  <c r="N331" i="10"/>
  <c r="F331" i="10"/>
  <c r="N330" i="10"/>
  <c r="F330" i="10"/>
  <c r="N329" i="10"/>
  <c r="F329" i="10"/>
  <c r="N328" i="10"/>
  <c r="F328" i="10"/>
  <c r="N327" i="10"/>
  <c r="F327" i="10"/>
  <c r="N326" i="10"/>
  <c r="F326" i="10"/>
  <c r="N325" i="10"/>
  <c r="F325" i="10"/>
  <c r="N324" i="10"/>
  <c r="F324" i="10"/>
  <c r="N323" i="10"/>
  <c r="F323" i="10"/>
  <c r="N322" i="10"/>
  <c r="F322" i="10"/>
  <c r="N321" i="10"/>
  <c r="F321" i="10"/>
  <c r="N320" i="10"/>
  <c r="F320" i="10"/>
  <c r="N319" i="10"/>
  <c r="F319" i="10"/>
  <c r="N318" i="10"/>
  <c r="F318" i="10"/>
  <c r="N317" i="10"/>
  <c r="F317" i="10"/>
  <c r="N316" i="10"/>
  <c r="F316" i="10"/>
  <c r="N315" i="10"/>
  <c r="F315" i="10"/>
  <c r="N314" i="10"/>
  <c r="F314" i="10"/>
  <c r="N313" i="10"/>
  <c r="F313" i="10"/>
  <c r="N312" i="10"/>
  <c r="F312" i="10"/>
  <c r="N311" i="10"/>
  <c r="F311" i="10"/>
  <c r="N310" i="10"/>
  <c r="F310" i="10"/>
  <c r="N309" i="10"/>
  <c r="F309" i="10"/>
  <c r="N308" i="10"/>
  <c r="F308" i="10"/>
  <c r="N307" i="10"/>
  <c r="F307" i="10"/>
  <c r="N306" i="10"/>
  <c r="F306" i="10"/>
  <c r="N305" i="10"/>
  <c r="F305" i="10"/>
  <c r="N304" i="10"/>
  <c r="F304" i="10"/>
  <c r="N303" i="10"/>
  <c r="F303" i="10"/>
  <c r="N302" i="10"/>
  <c r="F302" i="10"/>
  <c r="N301" i="10"/>
  <c r="F301" i="10"/>
  <c r="N300" i="10"/>
  <c r="F300" i="10"/>
  <c r="N299" i="10"/>
  <c r="F299" i="10"/>
  <c r="N298" i="10"/>
  <c r="F298" i="10"/>
  <c r="N297" i="10"/>
  <c r="F297" i="10"/>
  <c r="N296" i="10"/>
  <c r="F296" i="10"/>
  <c r="N295" i="10"/>
  <c r="F295" i="10"/>
  <c r="N294" i="10"/>
  <c r="F294" i="10"/>
  <c r="N293" i="10"/>
  <c r="F293" i="10"/>
  <c r="N292" i="10"/>
  <c r="F292" i="10"/>
  <c r="N291" i="10"/>
  <c r="F291" i="10"/>
  <c r="N290" i="10"/>
  <c r="F290" i="10"/>
  <c r="N289" i="10"/>
  <c r="F289" i="10"/>
  <c r="N288" i="10"/>
  <c r="F288" i="10"/>
  <c r="N287" i="10"/>
  <c r="F287" i="10"/>
  <c r="D9" i="10"/>
  <c r="N2" i="10"/>
  <c r="N2042" i="1"/>
  <c r="N2041" i="1"/>
  <c r="N2040" i="1"/>
  <c r="N2039" i="1"/>
  <c r="N2038" i="1"/>
  <c r="N2037" i="1"/>
  <c r="N2036" i="1"/>
  <c r="N2035" i="1"/>
  <c r="N2034" i="1"/>
  <c r="N2033" i="1"/>
  <c r="N2032" i="1"/>
  <c r="N2031" i="1"/>
  <c r="N2030" i="1"/>
  <c r="N2029" i="1"/>
  <c r="N2028" i="1"/>
  <c r="N2027" i="1"/>
  <c r="N2026" i="1"/>
  <c r="N2025" i="1"/>
  <c r="N2024" i="1"/>
  <c r="N2023" i="1"/>
  <c r="N2022" i="1"/>
  <c r="N2021" i="1"/>
  <c r="N2020" i="1"/>
  <c r="N2019" i="1"/>
  <c r="N2018" i="1"/>
  <c r="N2017" i="1"/>
  <c r="N2016" i="1"/>
  <c r="N2015" i="1"/>
  <c r="N2014" i="1"/>
  <c r="N2013" i="1"/>
  <c r="N2012" i="1"/>
  <c r="N2011" i="1"/>
  <c r="N2010" i="1"/>
  <c r="N2009" i="1"/>
  <c r="N2008" i="1"/>
  <c r="N2007" i="1"/>
  <c r="N2006" i="1"/>
  <c r="N2005" i="1"/>
  <c r="N2004" i="1"/>
  <c r="N2003" i="1"/>
  <c r="N2002" i="1"/>
  <c r="N2001" i="1"/>
  <c r="N2000" i="1"/>
  <c r="N1999" i="1"/>
  <c r="N1998" i="1"/>
  <c r="N1997" i="1"/>
  <c r="N1996" i="1"/>
  <c r="N1995" i="1"/>
  <c r="N1994" i="1"/>
  <c r="N1993" i="1"/>
  <c r="N1992" i="1"/>
  <c r="N1991" i="1"/>
  <c r="N1990" i="1"/>
  <c r="N1989" i="1"/>
  <c r="N1988" i="1"/>
  <c r="N1987" i="1"/>
  <c r="N1986" i="1"/>
  <c r="N1985" i="1"/>
  <c r="N1984" i="1"/>
  <c r="N1983" i="1"/>
  <c r="N1982" i="1"/>
  <c r="N1981" i="1"/>
  <c r="N1980" i="1"/>
  <c r="N1979" i="1"/>
  <c r="N1978" i="1"/>
  <c r="N1977" i="1"/>
  <c r="N1976" i="1"/>
  <c r="N1975" i="1"/>
  <c r="N1974" i="1"/>
  <c r="N1973" i="1"/>
  <c r="N1972" i="1"/>
  <c r="N1971" i="1"/>
  <c r="N1970" i="1"/>
  <c r="N1969" i="1"/>
  <c r="N1968" i="1"/>
  <c r="N1967" i="1"/>
  <c r="N1966" i="1"/>
  <c r="N1965" i="1"/>
  <c r="N1964" i="1"/>
  <c r="N1963" i="1"/>
  <c r="N1962" i="1"/>
  <c r="N1961" i="1"/>
  <c r="N1960" i="1"/>
  <c r="N1959" i="1"/>
  <c r="N1958" i="1"/>
  <c r="N1957" i="1"/>
  <c r="N1956" i="1"/>
  <c r="N1955" i="1"/>
  <c r="N1954" i="1"/>
  <c r="N1953" i="1"/>
  <c r="N1952" i="1"/>
  <c r="N1951" i="1"/>
  <c r="N1950" i="1"/>
  <c r="N1949" i="1"/>
  <c r="N1948" i="1"/>
  <c r="N1947" i="1"/>
  <c r="N1946" i="1"/>
  <c r="N1945" i="1"/>
  <c r="N1944" i="1"/>
  <c r="N1943" i="1"/>
  <c r="N1942" i="1"/>
  <c r="N1941" i="1"/>
  <c r="N1940" i="1"/>
  <c r="N1939" i="1"/>
  <c r="N1938" i="1"/>
  <c r="N1937" i="1"/>
  <c r="N1936" i="1"/>
  <c r="N1935" i="1"/>
  <c r="N1934" i="1"/>
  <c r="N1933" i="1"/>
  <c r="N1932" i="1"/>
  <c r="N1931" i="1"/>
  <c r="N1930" i="1"/>
  <c r="N1929" i="1"/>
  <c r="N1928" i="1"/>
  <c r="N1927" i="1"/>
  <c r="N1926" i="1"/>
  <c r="N1925" i="1"/>
  <c r="N1924" i="1"/>
  <c r="N1923" i="1"/>
  <c r="N1922" i="1"/>
  <c r="N1921" i="1"/>
  <c r="N1920" i="1"/>
  <c r="N1919" i="1"/>
  <c r="N1918" i="1"/>
  <c r="N1917" i="1"/>
  <c r="N1916" i="1"/>
  <c r="N1915" i="1"/>
  <c r="N1914" i="1"/>
  <c r="N1913" i="1"/>
  <c r="N1912" i="1"/>
  <c r="N1911" i="1"/>
  <c r="N1910" i="1"/>
  <c r="N1909" i="1"/>
  <c r="N1908" i="1"/>
  <c r="N1907" i="1"/>
  <c r="N1906" i="1"/>
  <c r="N1905" i="1"/>
  <c r="N1904" i="1"/>
  <c r="N1903" i="1"/>
  <c r="N1902" i="1"/>
  <c r="N1901" i="1"/>
  <c r="N1900" i="1"/>
  <c r="N1899" i="1"/>
  <c r="N1898" i="1"/>
  <c r="N1897" i="1"/>
  <c r="N1896" i="1"/>
  <c r="N1895" i="1"/>
  <c r="N1894" i="1"/>
  <c r="N1893" i="1"/>
  <c r="N1892" i="1"/>
  <c r="N1891" i="1"/>
  <c r="N1890" i="1"/>
  <c r="N1889" i="1"/>
  <c r="N1888" i="1"/>
  <c r="N1887" i="1"/>
  <c r="N1886" i="1"/>
  <c r="N1885" i="1"/>
  <c r="N1884" i="1"/>
  <c r="N1883" i="1"/>
  <c r="N1882" i="1"/>
  <c r="N1881" i="1"/>
  <c r="N1880" i="1"/>
  <c r="N1879" i="1"/>
  <c r="N1878" i="1"/>
  <c r="N1877" i="1"/>
  <c r="N1876" i="1"/>
  <c r="N1875" i="1"/>
  <c r="N1874" i="1"/>
  <c r="N1873" i="1"/>
  <c r="N1872" i="1"/>
  <c r="N1871" i="1"/>
  <c r="N1870" i="1"/>
  <c r="N1869" i="1"/>
  <c r="N1868" i="1"/>
  <c r="N1867" i="1"/>
  <c r="N1866" i="1"/>
  <c r="N1865" i="1"/>
  <c r="N1864" i="1"/>
  <c r="N1863" i="1"/>
  <c r="N1862" i="1"/>
  <c r="N1861" i="1"/>
  <c r="N1860" i="1"/>
  <c r="N1859" i="1"/>
  <c r="N1858" i="1"/>
  <c r="N1857" i="1"/>
  <c r="N1856" i="1"/>
  <c r="N1855" i="1"/>
  <c r="N1854" i="1"/>
  <c r="N1853" i="1"/>
  <c r="N1852" i="1"/>
  <c r="N1851" i="1"/>
  <c r="N1850" i="1"/>
  <c r="N1849" i="1"/>
  <c r="N1848" i="1"/>
  <c r="N1847" i="1"/>
  <c r="N1846" i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N1829" i="1"/>
  <c r="N1828" i="1"/>
  <c r="N1827" i="1"/>
  <c r="N1826" i="1"/>
  <c r="N1825" i="1"/>
  <c r="N1824" i="1"/>
  <c r="N1823" i="1"/>
  <c r="N1822" i="1"/>
  <c r="N1821" i="1"/>
  <c r="N1820" i="1"/>
  <c r="N1819" i="1"/>
  <c r="N1818" i="1"/>
  <c r="N1817" i="1"/>
  <c r="N1816" i="1"/>
  <c r="N1815" i="1"/>
  <c r="N1814" i="1"/>
  <c r="N1813" i="1"/>
  <c r="N1812" i="1"/>
  <c r="N1811" i="1"/>
  <c r="N1810" i="1"/>
  <c r="N1809" i="1"/>
  <c r="N1808" i="1"/>
  <c r="N1807" i="1"/>
  <c r="N1806" i="1"/>
  <c r="N1805" i="1"/>
  <c r="N1804" i="1"/>
  <c r="N1803" i="1"/>
  <c r="N1802" i="1"/>
  <c r="N1801" i="1"/>
  <c r="N1800" i="1"/>
  <c r="N1799" i="1"/>
  <c r="N1798" i="1"/>
  <c r="N1797" i="1"/>
  <c r="N1796" i="1"/>
  <c r="N1795" i="1"/>
  <c r="N1794" i="1"/>
  <c r="N1793" i="1"/>
  <c r="N1792" i="1"/>
  <c r="N1791" i="1"/>
  <c r="N1790" i="1"/>
  <c r="N1789" i="1"/>
  <c r="N1788" i="1"/>
  <c r="N1787" i="1"/>
  <c r="N1786" i="1"/>
  <c r="N1785" i="1"/>
  <c r="N1784" i="1"/>
  <c r="N1783" i="1"/>
  <c r="N1782" i="1"/>
  <c r="N1781" i="1"/>
  <c r="N1780" i="1"/>
  <c r="N1779" i="1"/>
  <c r="N1778" i="1"/>
  <c r="N1777" i="1"/>
  <c r="N1776" i="1"/>
  <c r="N1775" i="1"/>
  <c r="N1774" i="1"/>
  <c r="N1773" i="1"/>
  <c r="N1772" i="1"/>
  <c r="N1771" i="1"/>
  <c r="N1770" i="1"/>
  <c r="N1769" i="1"/>
  <c r="N1768" i="1"/>
  <c r="N1767" i="1"/>
  <c r="N1766" i="1"/>
  <c r="N1765" i="1"/>
  <c r="N1764" i="1"/>
  <c r="N1763" i="1"/>
  <c r="N1762" i="1"/>
  <c r="N1761" i="1"/>
  <c r="N1760" i="1"/>
  <c r="N1759" i="1"/>
  <c r="N1758" i="1"/>
  <c r="N1757" i="1"/>
  <c r="N1756" i="1"/>
  <c r="N1755" i="1"/>
  <c r="N1754" i="1"/>
  <c r="N1753" i="1"/>
  <c r="N1752" i="1"/>
  <c r="N1751" i="1"/>
  <c r="N1750" i="1"/>
  <c r="N1749" i="1"/>
  <c r="N1748" i="1"/>
  <c r="N1747" i="1"/>
  <c r="N1746" i="1"/>
  <c r="N1745" i="1"/>
  <c r="N1744" i="1"/>
  <c r="N1743" i="1"/>
  <c r="N1742" i="1"/>
  <c r="N1741" i="1"/>
  <c r="N1740" i="1"/>
  <c r="N1739" i="1"/>
  <c r="N1738" i="1"/>
  <c r="N1737" i="1"/>
  <c r="N1736" i="1"/>
  <c r="N1735" i="1"/>
  <c r="N1734" i="1"/>
  <c r="N1733" i="1"/>
  <c r="N1732" i="1"/>
  <c r="N1731" i="1"/>
  <c r="N1730" i="1"/>
  <c r="N1729" i="1"/>
  <c r="N1728" i="1"/>
  <c r="N1727" i="1"/>
  <c r="N1726" i="1"/>
  <c r="N1725" i="1"/>
  <c r="N1724" i="1"/>
  <c r="N1723" i="1"/>
  <c r="N1722" i="1"/>
  <c r="N1721" i="1"/>
  <c r="N1720" i="1"/>
  <c r="N1719" i="1"/>
  <c r="N1718" i="1"/>
  <c r="N1717" i="1"/>
  <c r="N1716" i="1"/>
  <c r="N1715" i="1"/>
  <c r="N1714" i="1"/>
  <c r="N1713" i="1"/>
  <c r="N1712" i="1"/>
  <c r="N1711" i="1"/>
  <c r="N1710" i="1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N1640" i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3" i="1"/>
  <c r="N191" i="1"/>
  <c r="N296" i="1"/>
  <c r="N295" i="1"/>
  <c r="N294" i="1"/>
  <c r="N292" i="1"/>
  <c r="N287" i="1"/>
  <c r="N284" i="1"/>
  <c r="N283" i="1"/>
  <c r="N282" i="1"/>
  <c r="N278" i="1"/>
  <c r="N276" i="1"/>
  <c r="N273" i="1"/>
  <c r="N266" i="1"/>
  <c r="N265" i="1"/>
  <c r="N263" i="1"/>
  <c r="N262" i="1"/>
  <c r="N261" i="1"/>
  <c r="N256" i="1"/>
  <c r="N255" i="1"/>
  <c r="N254" i="1"/>
  <c r="N253" i="1"/>
  <c r="N252" i="1"/>
  <c r="N250" i="1"/>
  <c r="N249" i="1"/>
  <c r="N244" i="1"/>
  <c r="N243" i="1"/>
  <c r="N241" i="1"/>
  <c r="N240" i="1"/>
  <c r="N239" i="1"/>
  <c r="N236" i="1"/>
  <c r="N235" i="1"/>
  <c r="N234" i="1"/>
  <c r="N231" i="1"/>
  <c r="N227" i="1"/>
  <c r="N226" i="1"/>
  <c r="N225" i="1"/>
  <c r="N221" i="1"/>
  <c r="N216" i="1"/>
  <c r="N215" i="1"/>
  <c r="N212" i="1"/>
  <c r="N211" i="1"/>
  <c r="N210" i="1"/>
  <c r="N207" i="1"/>
  <c r="N206" i="1"/>
  <c r="N205" i="1"/>
  <c r="N197" i="1"/>
  <c r="N291" i="1"/>
  <c r="N290" i="1"/>
  <c r="N289" i="1"/>
  <c r="N288" i="1"/>
  <c r="N286" i="1"/>
  <c r="N285" i="1"/>
  <c r="N281" i="1"/>
  <c r="N280" i="1"/>
  <c r="N279" i="1"/>
  <c r="N277" i="1"/>
  <c r="N275" i="1"/>
  <c r="N274" i="1"/>
  <c r="N272" i="1"/>
  <c r="N271" i="1"/>
  <c r="N270" i="1"/>
  <c r="N269" i="1"/>
  <c r="N268" i="1"/>
  <c r="N267" i="1"/>
  <c r="N264" i="1"/>
  <c r="N260" i="1"/>
  <c r="N259" i="1"/>
  <c r="N258" i="1"/>
  <c r="N257" i="1"/>
  <c r="N251" i="1"/>
  <c r="N248" i="1"/>
  <c r="N247" i="1"/>
  <c r="N246" i="1"/>
  <c r="N245" i="1"/>
  <c r="N242" i="1"/>
  <c r="N238" i="1"/>
  <c r="N237" i="1"/>
  <c r="N233" i="1"/>
  <c r="N232" i="1"/>
  <c r="N230" i="1"/>
  <c r="N229" i="1"/>
  <c r="N228" i="1"/>
  <c r="N224" i="1"/>
  <c r="N223" i="1"/>
  <c r="N222" i="1"/>
  <c r="N220" i="1"/>
  <c r="N219" i="1"/>
  <c r="N218" i="1"/>
  <c r="N217" i="1"/>
  <c r="N214" i="1"/>
  <c r="N213" i="1"/>
  <c r="N209" i="1"/>
  <c r="N208" i="1"/>
  <c r="N204" i="1"/>
  <c r="N203" i="1"/>
  <c r="N202" i="1"/>
  <c r="N201" i="1"/>
  <c r="N200" i="1"/>
  <c r="N199" i="1"/>
  <c r="N198" i="1"/>
  <c r="N196" i="1"/>
  <c r="N195" i="1"/>
  <c r="N194" i="1"/>
  <c r="N193" i="1"/>
  <c r="N192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F13" i="3"/>
  <c r="F2" i="1"/>
  <c r="D9" i="1"/>
  <c r="D9" i="7"/>
  <c r="N49" i="1"/>
  <c r="B8" i="11" l="1"/>
  <c r="B4" i="10"/>
  <c r="B2" i="11"/>
  <c r="B3" i="11"/>
  <c r="B4" i="11"/>
  <c r="B5" i="11"/>
  <c r="B6" i="11"/>
  <c r="B7" i="11"/>
  <c r="B8" i="10"/>
  <c r="N17" i="10"/>
  <c r="N19" i="10"/>
  <c r="N11" i="10"/>
  <c r="N16" i="10"/>
  <c r="N18" i="10"/>
  <c r="N25" i="10"/>
  <c r="N28" i="10"/>
  <c r="N12" i="10"/>
  <c r="N20" i="10"/>
  <c r="N29" i="10"/>
  <c r="N13" i="10"/>
  <c r="N22" i="10"/>
  <c r="N27" i="10"/>
  <c r="N31" i="10"/>
  <c r="B2" i="10"/>
  <c r="B3" i="10"/>
  <c r="B5" i="10"/>
  <c r="B6" i="10"/>
  <c r="B7" i="10"/>
  <c r="N50" i="1"/>
  <c r="B10" i="11" l="1"/>
  <c r="B10" i="10"/>
  <c r="N32" i="1"/>
  <c r="F3" i="1" l="1"/>
  <c r="F4" i="1"/>
  <c r="F6" i="1"/>
  <c r="F7" i="1"/>
  <c r="F8" i="1"/>
  <c r="F9" i="1"/>
  <c r="F16" i="1"/>
  <c r="F17" i="1"/>
  <c r="F5" i="1"/>
  <c r="F10" i="1"/>
  <c r="F11" i="1"/>
  <c r="F12" i="1"/>
  <c r="F13" i="1"/>
  <c r="F14" i="1"/>
  <c r="F15" i="1"/>
  <c r="F18" i="1"/>
  <c r="F19" i="1"/>
  <c r="F20" i="1"/>
  <c r="F21" i="1"/>
  <c r="F24" i="1"/>
  <c r="F25" i="1"/>
  <c r="F30" i="1"/>
  <c r="F29" i="1"/>
  <c r="F31" i="1"/>
  <c r="F32" i="1"/>
  <c r="F35" i="1"/>
  <c r="F36" i="1"/>
  <c r="F37" i="1"/>
  <c r="F22" i="1"/>
  <c r="F23" i="1"/>
  <c r="F33" i="1"/>
  <c r="F27" i="1"/>
  <c r="F34" i="1"/>
  <c r="F39" i="1"/>
  <c r="F41" i="1"/>
  <c r="F28" i="1"/>
  <c r="F26" i="1"/>
  <c r="F38" i="1"/>
  <c r="F42" i="1"/>
  <c r="F50" i="1"/>
  <c r="F43" i="1"/>
  <c r="F44" i="1"/>
  <c r="F40" i="1"/>
  <c r="F45" i="1"/>
  <c r="F46" i="1"/>
  <c r="F47" i="1"/>
  <c r="F48" i="1"/>
  <c r="F49" i="1"/>
  <c r="F51" i="1"/>
  <c r="F52" i="1"/>
  <c r="F53" i="1"/>
  <c r="F55" i="1"/>
  <c r="F56" i="1"/>
  <c r="F57" i="1"/>
  <c r="F58" i="1"/>
  <c r="F54" i="1"/>
  <c r="F59" i="1"/>
  <c r="F60" i="1"/>
  <c r="F61" i="1"/>
  <c r="F64" i="1"/>
  <c r="F65" i="1"/>
  <c r="F66" i="1"/>
  <c r="F67" i="1"/>
  <c r="F70" i="1"/>
  <c r="F71" i="1"/>
  <c r="F79" i="1"/>
  <c r="F80" i="1"/>
  <c r="F83" i="1"/>
  <c r="F94" i="1"/>
  <c r="F95" i="1"/>
  <c r="F96" i="1"/>
  <c r="F97" i="1"/>
  <c r="F115" i="1"/>
  <c r="F117" i="1"/>
  <c r="F114" i="1"/>
  <c r="F118" i="1"/>
  <c r="F123" i="1"/>
  <c r="F124" i="1"/>
  <c r="F2013" i="1"/>
  <c r="F2014" i="1"/>
  <c r="F2016" i="1"/>
  <c r="F2017" i="1"/>
  <c r="F2018" i="1"/>
  <c r="F2020" i="1"/>
  <c r="F2021" i="1"/>
  <c r="F2026" i="1"/>
  <c r="F2027" i="1"/>
  <c r="F62" i="1"/>
  <c r="F68" i="1"/>
  <c r="F63" i="1"/>
  <c r="F69" i="1"/>
  <c r="F72" i="1"/>
  <c r="F73" i="1"/>
  <c r="F74" i="1"/>
  <c r="F75" i="1"/>
  <c r="F76" i="1"/>
  <c r="F77" i="1"/>
  <c r="F78" i="1"/>
  <c r="F81" i="1"/>
  <c r="F82" i="1"/>
  <c r="F84" i="1"/>
  <c r="F85" i="1"/>
  <c r="F86" i="1"/>
  <c r="F87" i="1"/>
  <c r="F88" i="1"/>
  <c r="F89" i="1"/>
  <c r="F90" i="1"/>
  <c r="F91" i="1"/>
  <c r="F92" i="1"/>
  <c r="F93" i="1"/>
  <c r="F106" i="1"/>
  <c r="F107" i="1"/>
  <c r="F111" i="1"/>
  <c r="F108" i="1"/>
  <c r="F110" i="1"/>
  <c r="F113" i="1"/>
  <c r="F2012" i="1"/>
  <c r="F2015" i="1"/>
  <c r="F2019" i="1"/>
  <c r="F2022" i="1"/>
  <c r="F2023" i="1"/>
  <c r="F2024" i="1"/>
  <c r="F2025" i="1"/>
  <c r="F2028" i="1"/>
  <c r="F98" i="1"/>
  <c r="F99" i="1"/>
  <c r="F103" i="1"/>
  <c r="F100" i="1"/>
  <c r="F101" i="1"/>
  <c r="F102" i="1"/>
  <c r="F104" i="1"/>
  <c r="F105" i="1"/>
  <c r="F109" i="1"/>
  <c r="F112" i="1"/>
  <c r="F116" i="1"/>
  <c r="F119" i="1"/>
  <c r="F120" i="1"/>
  <c r="F121" i="1"/>
  <c r="F122" i="1"/>
  <c r="F125" i="1"/>
  <c r="F126" i="1"/>
  <c r="F128" i="1"/>
  <c r="F130" i="1"/>
  <c r="F131" i="1"/>
  <c r="F132" i="1"/>
  <c r="F133" i="1"/>
  <c r="F134" i="1"/>
  <c r="F138" i="1"/>
  <c r="F127" i="1"/>
  <c r="F129" i="1"/>
  <c r="F135" i="1"/>
  <c r="F136" i="1"/>
  <c r="F137" i="1"/>
  <c r="F139" i="1"/>
  <c r="F140" i="1"/>
  <c r="F141" i="1"/>
  <c r="F142" i="1"/>
  <c r="F143" i="1"/>
  <c r="F145" i="1"/>
  <c r="F146" i="1"/>
  <c r="F147" i="1"/>
  <c r="F149" i="1"/>
  <c r="F151" i="1"/>
  <c r="F161" i="1"/>
  <c r="F166" i="1"/>
  <c r="F171" i="1"/>
  <c r="F173" i="1"/>
  <c r="F174" i="1"/>
  <c r="F175" i="1"/>
  <c r="F176" i="1"/>
  <c r="F177" i="1"/>
  <c r="F179" i="1"/>
  <c r="F2003" i="1"/>
  <c r="F2004" i="1"/>
  <c r="F2005" i="1"/>
  <c r="F2006" i="1"/>
  <c r="F2007" i="1"/>
  <c r="F2008" i="1"/>
  <c r="F2009" i="1"/>
  <c r="F2010" i="1"/>
  <c r="F2011" i="1"/>
  <c r="F180" i="1"/>
  <c r="F181" i="1"/>
  <c r="F183" i="1"/>
  <c r="F185" i="1"/>
  <c r="F189" i="1"/>
  <c r="F190" i="1"/>
  <c r="F144" i="1"/>
  <c r="F148" i="1"/>
  <c r="F150" i="1"/>
  <c r="F152" i="1"/>
  <c r="F153" i="1"/>
  <c r="F154" i="1"/>
  <c r="F155" i="1"/>
  <c r="F156" i="1"/>
  <c r="F157" i="1"/>
  <c r="F158" i="1"/>
  <c r="F159" i="1"/>
  <c r="F162" i="1"/>
  <c r="F160" i="1"/>
  <c r="F163" i="1"/>
  <c r="F164" i="1"/>
  <c r="F165" i="1"/>
  <c r="F167" i="1"/>
  <c r="F168" i="1"/>
  <c r="F169" i="1"/>
  <c r="F170" i="1"/>
  <c r="F172" i="1"/>
  <c r="F178" i="1"/>
  <c r="F182" i="1"/>
  <c r="F184" i="1"/>
  <c r="F186" i="1"/>
  <c r="F187" i="1"/>
  <c r="F188" i="1"/>
  <c r="F194" i="1"/>
  <c r="F199" i="1"/>
  <c r="F195" i="1"/>
  <c r="F200" i="1"/>
  <c r="F201" i="1"/>
  <c r="F202" i="1"/>
  <c r="F203" i="1"/>
  <c r="F204" i="1"/>
  <c r="F208" i="1"/>
  <c r="F218" i="1"/>
  <c r="F222" i="1"/>
  <c r="F224" i="1"/>
  <c r="F228" i="1"/>
  <c r="F229" i="1"/>
  <c r="F233" i="1"/>
  <c r="F237" i="1"/>
  <c r="F238" i="1"/>
  <c r="F242" i="1"/>
  <c r="F245" i="1"/>
  <c r="F257" i="1"/>
  <c r="F258" i="1"/>
  <c r="F260" i="1"/>
  <c r="F264" i="1"/>
  <c r="F267" i="1"/>
  <c r="F270" i="1"/>
  <c r="F271" i="1"/>
  <c r="F192" i="1"/>
  <c r="F193" i="1"/>
  <c r="F196" i="1"/>
  <c r="F198" i="1"/>
  <c r="F209" i="1"/>
  <c r="F213" i="1"/>
  <c r="F214" i="1"/>
  <c r="F217" i="1"/>
  <c r="F219" i="1"/>
  <c r="F220" i="1"/>
  <c r="F223" i="1"/>
  <c r="F230" i="1"/>
  <c r="F232" i="1"/>
  <c r="F246" i="1"/>
  <c r="F247" i="1"/>
  <c r="F248" i="1"/>
  <c r="F251" i="1"/>
  <c r="F259" i="1"/>
  <c r="F268" i="1"/>
  <c r="F269" i="1"/>
  <c r="F272" i="1"/>
  <c r="F274" i="1"/>
  <c r="F275" i="1"/>
  <c r="F277" i="1"/>
  <c r="F279" i="1"/>
  <c r="F280" i="1"/>
  <c r="F281" i="1"/>
  <c r="F285" i="1"/>
  <c r="F286" i="1"/>
  <c r="F288" i="1"/>
  <c r="F289" i="1"/>
  <c r="F290" i="1"/>
  <c r="F291" i="1"/>
  <c r="F197" i="1"/>
  <c r="F205" i="1"/>
  <c r="F206" i="1"/>
  <c r="F207" i="1"/>
  <c r="F210" i="1"/>
  <c r="F211" i="1"/>
  <c r="F212" i="1"/>
  <c r="F215" i="1"/>
  <c r="F216" i="1"/>
  <c r="F221" i="1"/>
  <c r="F225" i="1"/>
  <c r="F226" i="1"/>
  <c r="F227" i="1"/>
  <c r="F231" i="1"/>
  <c r="F234" i="1"/>
  <c r="F235" i="1"/>
  <c r="F236" i="1"/>
  <c r="F239" i="1"/>
  <c r="F240" i="1"/>
  <c r="F241" i="1"/>
  <c r="F243" i="1"/>
  <c r="F244" i="1"/>
  <c r="F249" i="1"/>
  <c r="F250" i="1"/>
  <c r="F252" i="1"/>
  <c r="F253" i="1"/>
  <c r="F254" i="1"/>
  <c r="F255" i="1"/>
  <c r="F256" i="1"/>
  <c r="F261" i="1"/>
  <c r="F262" i="1"/>
  <c r="F263" i="1"/>
  <c r="F265" i="1"/>
  <c r="F266" i="1"/>
  <c r="F273" i="1"/>
  <c r="F276" i="1"/>
  <c r="F278" i="1"/>
  <c r="F282" i="1"/>
  <c r="F283" i="1"/>
  <c r="F284" i="1"/>
  <c r="F287" i="1"/>
  <c r="F292" i="1"/>
  <c r="F294" i="1"/>
  <c r="F295" i="1"/>
  <c r="F296" i="1"/>
  <c r="F191" i="1"/>
  <c r="F293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B4" i="1" l="1"/>
  <c r="B8" i="1"/>
  <c r="B6" i="1"/>
  <c r="B5" i="1"/>
  <c r="B3" i="1"/>
  <c r="B2" i="1"/>
  <c r="B7" i="1"/>
  <c r="B2" i="7"/>
  <c r="B3" i="7"/>
  <c r="B4" i="7"/>
  <c r="B5" i="7"/>
  <c r="B8" i="7"/>
  <c r="B7" i="7"/>
  <c r="B6" i="7"/>
  <c r="B10" i="1" l="1"/>
  <c r="B10" i="7"/>
  <c r="M3" i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l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M438" i="1" s="1"/>
  <c r="M439" i="1" s="1"/>
  <c r="M440" i="1" s="1"/>
  <c r="M441" i="1" s="1"/>
  <c r="M442" i="1" s="1"/>
  <c r="M443" i="1" s="1"/>
  <c r="M444" i="1" s="1"/>
  <c r="M445" i="1" s="1"/>
  <c r="M446" i="1" s="1"/>
  <c r="M447" i="1" s="1"/>
  <c r="M448" i="1" s="1"/>
  <c r="M449" i="1" s="1"/>
  <c r="M450" i="1" s="1"/>
  <c r="M451" i="1" s="1"/>
  <c r="M452" i="1" s="1"/>
  <c r="M453" i="1" s="1"/>
  <c r="M454" i="1" s="1"/>
  <c r="M455" i="1" s="1"/>
  <c r="M456" i="1" s="1"/>
  <c r="M457" i="1" s="1"/>
  <c r="M458" i="1" s="1"/>
  <c r="M459" i="1" s="1"/>
  <c r="M460" i="1" s="1"/>
  <c r="M461" i="1" s="1"/>
  <c r="M462" i="1" s="1"/>
  <c r="M463" i="1" s="1"/>
  <c r="M464" i="1" s="1"/>
  <c r="M465" i="1" s="1"/>
  <c r="M466" i="1" s="1"/>
  <c r="M467" i="1" s="1"/>
  <c r="M468" i="1" s="1"/>
  <c r="M469" i="1" s="1"/>
  <c r="M470" i="1" s="1"/>
  <c r="M471" i="1" s="1"/>
  <c r="M472" i="1" s="1"/>
  <c r="M473" i="1" s="1"/>
  <c r="M474" i="1" s="1"/>
  <c r="M475" i="1" s="1"/>
  <c r="M476" i="1" s="1"/>
  <c r="M477" i="1" s="1"/>
  <c r="M478" i="1" s="1"/>
  <c r="M479" i="1" s="1"/>
  <c r="M480" i="1" s="1"/>
  <c r="M481" i="1" s="1"/>
  <c r="M482" i="1" s="1"/>
  <c r="M483" i="1" s="1"/>
  <c r="M484" i="1" s="1"/>
  <c r="M485" i="1" s="1"/>
  <c r="M486" i="1" s="1"/>
  <c r="M487" i="1" s="1"/>
  <c r="M488" i="1" s="1"/>
  <c r="M489" i="1" s="1"/>
  <c r="M490" i="1" s="1"/>
  <c r="M491" i="1" s="1"/>
  <c r="M492" i="1" s="1"/>
  <c r="M493" i="1" s="1"/>
  <c r="M494" i="1" s="1"/>
  <c r="M495" i="1" s="1"/>
  <c r="M496" i="1" s="1"/>
  <c r="M497" i="1" s="1"/>
  <c r="M498" i="1" s="1"/>
  <c r="M499" i="1" s="1"/>
  <c r="M500" i="1" s="1"/>
  <c r="M501" i="1" s="1"/>
  <c r="M502" i="1" s="1"/>
  <c r="M503" i="1" s="1"/>
  <c r="M504" i="1" s="1"/>
  <c r="M505" i="1" s="1"/>
  <c r="M506" i="1" s="1"/>
  <c r="M507" i="1" s="1"/>
  <c r="M508" i="1" s="1"/>
  <c r="M509" i="1" s="1"/>
  <c r="M510" i="1" s="1"/>
  <c r="M511" i="1" s="1"/>
  <c r="M512" i="1" s="1"/>
  <c r="M513" i="1" s="1"/>
  <c r="M514" i="1" s="1"/>
  <c r="M515" i="1" s="1"/>
  <c r="M516" i="1" s="1"/>
  <c r="M517" i="1" s="1"/>
  <c r="M518" i="1" s="1"/>
  <c r="M519" i="1" s="1"/>
  <c r="M520" i="1" s="1"/>
  <c r="M521" i="1" s="1"/>
  <c r="M522" i="1" s="1"/>
  <c r="M523" i="1" s="1"/>
  <c r="M524" i="1" s="1"/>
  <c r="M525" i="1" s="1"/>
  <c r="M526" i="1" s="1"/>
  <c r="M527" i="1" s="1"/>
  <c r="M528" i="1" s="1"/>
  <c r="M529" i="1" s="1"/>
  <c r="M530" i="1" s="1"/>
  <c r="M531" i="1" s="1"/>
  <c r="M532" i="1" s="1"/>
  <c r="M533" i="1" s="1"/>
  <c r="M534" i="1" s="1"/>
  <c r="M535" i="1" s="1"/>
  <c r="M536" i="1" s="1"/>
  <c r="M537" i="1" s="1"/>
  <c r="M538" i="1" s="1"/>
  <c r="M539" i="1" s="1"/>
  <c r="M540" i="1" s="1"/>
  <c r="M541" i="1" s="1"/>
  <c r="M542" i="1" s="1"/>
  <c r="M543" i="1" s="1"/>
  <c r="M544" i="1" s="1"/>
  <c r="M545" i="1" s="1"/>
  <c r="M546" i="1" s="1"/>
  <c r="M547" i="1" s="1"/>
  <c r="M548" i="1" s="1"/>
  <c r="M549" i="1" s="1"/>
  <c r="M550" i="1" s="1"/>
  <c r="M551" i="1" s="1"/>
  <c r="M552" i="1" s="1"/>
  <c r="M553" i="1" s="1"/>
  <c r="M554" i="1" s="1"/>
  <c r="M555" i="1" s="1"/>
  <c r="M556" i="1" s="1"/>
  <c r="M557" i="1" s="1"/>
  <c r="M558" i="1" s="1"/>
  <c r="M559" i="1" s="1"/>
  <c r="M560" i="1" s="1"/>
  <c r="M561" i="1" s="1"/>
  <c r="M562" i="1" s="1"/>
  <c r="M563" i="1" s="1"/>
  <c r="M564" i="1" s="1"/>
  <c r="M565" i="1" s="1"/>
  <c r="M566" i="1" s="1"/>
  <c r="M567" i="1" s="1"/>
  <c r="M568" i="1" s="1"/>
  <c r="M569" i="1" s="1"/>
  <c r="M570" i="1" s="1"/>
  <c r="M571" i="1" s="1"/>
  <c r="M572" i="1" s="1"/>
  <c r="M573" i="1" s="1"/>
  <c r="M574" i="1" s="1"/>
  <c r="M575" i="1" s="1"/>
  <c r="M576" i="1" s="1"/>
  <c r="M577" i="1" s="1"/>
  <c r="M578" i="1" s="1"/>
  <c r="M579" i="1" s="1"/>
  <c r="M580" i="1" s="1"/>
  <c r="M581" i="1" s="1"/>
  <c r="M582" i="1" s="1"/>
  <c r="M583" i="1" s="1"/>
  <c r="M584" i="1" s="1"/>
  <c r="M585" i="1" s="1"/>
  <c r="M586" i="1" s="1"/>
  <c r="M587" i="1" s="1"/>
  <c r="M588" i="1" s="1"/>
  <c r="M589" i="1" s="1"/>
  <c r="M590" i="1" s="1"/>
  <c r="M591" i="1" s="1"/>
  <c r="M592" i="1" s="1"/>
  <c r="M593" i="1" s="1"/>
  <c r="M594" i="1" s="1"/>
  <c r="M595" i="1" s="1"/>
  <c r="M596" i="1" s="1"/>
  <c r="M597" i="1" s="1"/>
  <c r="M598" i="1" s="1"/>
  <c r="M599" i="1" s="1"/>
  <c r="M600" i="1" s="1"/>
  <c r="M601" i="1" s="1"/>
  <c r="M602" i="1" s="1"/>
  <c r="M603" i="1" s="1"/>
  <c r="M604" i="1" s="1"/>
  <c r="M605" i="1" s="1"/>
  <c r="M606" i="1" s="1"/>
  <c r="M607" i="1" s="1"/>
  <c r="M608" i="1" s="1"/>
  <c r="M609" i="1" s="1"/>
  <c r="M610" i="1" s="1"/>
  <c r="M611" i="1" s="1"/>
  <c r="M612" i="1" s="1"/>
  <c r="M613" i="1" s="1"/>
  <c r="M614" i="1" s="1"/>
  <c r="M615" i="1" s="1"/>
  <c r="M616" i="1" s="1"/>
  <c r="M617" i="1" s="1"/>
  <c r="M618" i="1" s="1"/>
  <c r="M619" i="1" s="1"/>
  <c r="M620" i="1" s="1"/>
  <c r="M621" i="1" s="1"/>
  <c r="M622" i="1" s="1"/>
  <c r="M623" i="1" s="1"/>
  <c r="M624" i="1" s="1"/>
  <c r="M625" i="1" s="1"/>
  <c r="M626" i="1" s="1"/>
  <c r="M627" i="1" s="1"/>
  <c r="M628" i="1" s="1"/>
  <c r="M629" i="1" s="1"/>
  <c r="M630" i="1" s="1"/>
  <c r="M631" i="1" s="1"/>
  <c r="M632" i="1" s="1"/>
  <c r="M633" i="1" s="1"/>
  <c r="M634" i="1" s="1"/>
  <c r="M635" i="1" s="1"/>
  <c r="M636" i="1" s="1"/>
  <c r="M637" i="1" s="1"/>
  <c r="M638" i="1" s="1"/>
  <c r="M639" i="1" s="1"/>
  <c r="M640" i="1" s="1"/>
  <c r="M641" i="1" s="1"/>
  <c r="M642" i="1" s="1"/>
  <c r="M643" i="1" s="1"/>
  <c r="M644" i="1" s="1"/>
  <c r="M645" i="1" s="1"/>
  <c r="M646" i="1" s="1"/>
  <c r="M647" i="1" s="1"/>
  <c r="M648" i="1" s="1"/>
  <c r="M649" i="1" s="1"/>
  <c r="M650" i="1" s="1"/>
  <c r="M651" i="1" s="1"/>
  <c r="M652" i="1" s="1"/>
  <c r="M653" i="1" s="1"/>
  <c r="M654" i="1" s="1"/>
  <c r="M655" i="1" s="1"/>
  <c r="M656" i="1" s="1"/>
  <c r="M657" i="1" s="1"/>
  <c r="M658" i="1" s="1"/>
  <c r="M659" i="1" s="1"/>
  <c r="M660" i="1" s="1"/>
  <c r="M661" i="1" s="1"/>
  <c r="M662" i="1" s="1"/>
  <c r="M663" i="1" s="1"/>
  <c r="M664" i="1" s="1"/>
  <c r="M665" i="1" s="1"/>
  <c r="M666" i="1" s="1"/>
  <c r="M667" i="1" s="1"/>
  <c r="M668" i="1" s="1"/>
  <c r="M669" i="1" s="1"/>
  <c r="M670" i="1" s="1"/>
  <c r="M671" i="1" s="1"/>
  <c r="M672" i="1" s="1"/>
  <c r="M673" i="1" s="1"/>
  <c r="M674" i="1" s="1"/>
  <c r="M675" i="1" s="1"/>
  <c r="M676" i="1" s="1"/>
  <c r="M677" i="1" s="1"/>
  <c r="M678" i="1" s="1"/>
  <c r="M679" i="1" s="1"/>
  <c r="M680" i="1" s="1"/>
  <c r="M681" i="1" s="1"/>
  <c r="M682" i="1" s="1"/>
  <c r="M683" i="1" s="1"/>
  <c r="M684" i="1" s="1"/>
  <c r="M685" i="1" s="1"/>
  <c r="M686" i="1" s="1"/>
  <c r="M687" i="1" s="1"/>
  <c r="M688" i="1" s="1"/>
  <c r="M689" i="1" s="1"/>
  <c r="M690" i="1" s="1"/>
  <c r="M691" i="1" s="1"/>
  <c r="M692" i="1" s="1"/>
  <c r="M693" i="1" s="1"/>
  <c r="M694" i="1" s="1"/>
  <c r="M695" i="1" s="1"/>
  <c r="M696" i="1" s="1"/>
  <c r="M697" i="1" s="1"/>
  <c r="M698" i="1" s="1"/>
  <c r="M699" i="1" s="1"/>
  <c r="M700" i="1" s="1"/>
  <c r="M701" i="1" s="1"/>
  <c r="M702" i="1" s="1"/>
  <c r="M703" i="1" s="1"/>
  <c r="M704" i="1" s="1"/>
  <c r="M705" i="1" s="1"/>
  <c r="M706" i="1" s="1"/>
  <c r="M707" i="1" s="1"/>
  <c r="M708" i="1" s="1"/>
  <c r="M709" i="1" s="1"/>
  <c r="M710" i="1" s="1"/>
  <c r="M711" i="1" s="1"/>
  <c r="M712" i="1" s="1"/>
  <c r="M713" i="1" s="1"/>
  <c r="M714" i="1" s="1"/>
  <c r="M715" i="1" s="1"/>
  <c r="M716" i="1" s="1"/>
  <c r="M717" i="1" s="1"/>
  <c r="M718" i="1" s="1"/>
  <c r="M719" i="1" s="1"/>
  <c r="M720" i="1" s="1"/>
  <c r="M721" i="1" s="1"/>
  <c r="M722" i="1" s="1"/>
  <c r="M723" i="1" s="1"/>
  <c r="M724" i="1" s="1"/>
  <c r="M725" i="1" s="1"/>
  <c r="M726" i="1" s="1"/>
  <c r="M727" i="1" s="1"/>
  <c r="M728" i="1" s="1"/>
  <c r="M729" i="1" s="1"/>
  <c r="M730" i="1" s="1"/>
  <c r="M731" i="1" s="1"/>
  <c r="M732" i="1" s="1"/>
  <c r="M733" i="1" s="1"/>
  <c r="M734" i="1" s="1"/>
  <c r="M735" i="1" s="1"/>
  <c r="M736" i="1" s="1"/>
  <c r="M737" i="1" s="1"/>
  <c r="M738" i="1" s="1"/>
  <c r="M739" i="1" s="1"/>
  <c r="M740" i="1" s="1"/>
  <c r="M741" i="1" s="1"/>
  <c r="M742" i="1" s="1"/>
  <c r="M743" i="1" s="1"/>
  <c r="M744" i="1" s="1"/>
  <c r="M745" i="1" s="1"/>
  <c r="M746" i="1" s="1"/>
  <c r="M747" i="1" s="1"/>
  <c r="M748" i="1" s="1"/>
  <c r="M749" i="1" s="1"/>
  <c r="M750" i="1" s="1"/>
  <c r="M751" i="1" s="1"/>
  <c r="M752" i="1" s="1"/>
  <c r="M753" i="1" s="1"/>
  <c r="M754" i="1" s="1"/>
  <c r="M755" i="1" s="1"/>
  <c r="M756" i="1" s="1"/>
  <c r="M757" i="1" s="1"/>
  <c r="M758" i="1" s="1"/>
  <c r="M759" i="1" s="1"/>
  <c r="M760" i="1" s="1"/>
  <c r="M761" i="1" s="1"/>
  <c r="M762" i="1" s="1"/>
  <c r="M763" i="1" s="1"/>
  <c r="M764" i="1" s="1"/>
  <c r="M765" i="1" s="1"/>
  <c r="M766" i="1" s="1"/>
  <c r="M767" i="1" s="1"/>
  <c r="M768" i="1" s="1"/>
  <c r="M769" i="1" s="1"/>
  <c r="M770" i="1" s="1"/>
  <c r="M771" i="1" s="1"/>
  <c r="M772" i="1" s="1"/>
  <c r="M773" i="1" s="1"/>
  <c r="M774" i="1" s="1"/>
  <c r="M775" i="1" s="1"/>
  <c r="M776" i="1" s="1"/>
  <c r="M777" i="1" s="1"/>
  <c r="M778" i="1" s="1"/>
  <c r="M779" i="1" s="1"/>
  <c r="M780" i="1" s="1"/>
  <c r="M781" i="1" s="1"/>
  <c r="M782" i="1" s="1"/>
  <c r="M783" i="1" s="1"/>
  <c r="M784" i="1" s="1"/>
  <c r="M785" i="1" s="1"/>
  <c r="M786" i="1" s="1"/>
  <c r="M787" i="1" s="1"/>
  <c r="M788" i="1" s="1"/>
  <c r="M789" i="1" s="1"/>
  <c r="M790" i="1" s="1"/>
  <c r="M791" i="1" s="1"/>
  <c r="M792" i="1" s="1"/>
  <c r="M793" i="1" s="1"/>
  <c r="M794" i="1" s="1"/>
  <c r="M795" i="1" s="1"/>
  <c r="M796" i="1" s="1"/>
  <c r="M797" i="1" s="1"/>
  <c r="M798" i="1" s="1"/>
  <c r="M799" i="1" s="1"/>
  <c r="M800" i="1" s="1"/>
  <c r="M801" i="1" s="1"/>
  <c r="M802" i="1" s="1"/>
  <c r="M803" i="1" s="1"/>
  <c r="M804" i="1" s="1"/>
  <c r="M805" i="1" s="1"/>
  <c r="M806" i="1" s="1"/>
  <c r="M807" i="1" s="1"/>
  <c r="M808" i="1" s="1"/>
  <c r="M809" i="1" s="1"/>
  <c r="M810" i="1" s="1"/>
  <c r="M811" i="1" s="1"/>
  <c r="M812" i="1" s="1"/>
  <c r="M813" i="1" s="1"/>
  <c r="M814" i="1" s="1"/>
  <c r="M815" i="1" s="1"/>
  <c r="M816" i="1" s="1"/>
  <c r="M817" i="1" s="1"/>
  <c r="M818" i="1" s="1"/>
  <c r="M819" i="1" s="1"/>
  <c r="M820" i="1" s="1"/>
  <c r="M821" i="1" s="1"/>
  <c r="M822" i="1" s="1"/>
  <c r="M823" i="1" s="1"/>
  <c r="M824" i="1" s="1"/>
  <c r="M825" i="1" s="1"/>
  <c r="M826" i="1" s="1"/>
  <c r="M827" i="1" s="1"/>
  <c r="M828" i="1" s="1"/>
  <c r="M829" i="1" s="1"/>
  <c r="M830" i="1" s="1"/>
  <c r="M831" i="1" s="1"/>
  <c r="M832" i="1" s="1"/>
  <c r="M833" i="1" s="1"/>
  <c r="M834" i="1" s="1"/>
  <c r="M835" i="1" s="1"/>
  <c r="M836" i="1" s="1"/>
  <c r="M837" i="1" s="1"/>
  <c r="M838" i="1" s="1"/>
  <c r="M839" i="1" s="1"/>
  <c r="M840" i="1" s="1"/>
  <c r="M841" i="1" s="1"/>
  <c r="M842" i="1" s="1"/>
  <c r="M843" i="1" s="1"/>
  <c r="M844" i="1" s="1"/>
  <c r="M845" i="1" s="1"/>
  <c r="M846" i="1" s="1"/>
  <c r="M847" i="1" s="1"/>
  <c r="M848" i="1" s="1"/>
  <c r="M849" i="1" s="1"/>
  <c r="M850" i="1" s="1"/>
  <c r="M851" i="1" s="1"/>
  <c r="M852" i="1" s="1"/>
  <c r="M853" i="1" s="1"/>
  <c r="M854" i="1" s="1"/>
  <c r="M855" i="1" s="1"/>
  <c r="M856" i="1" s="1"/>
  <c r="M857" i="1" s="1"/>
  <c r="M858" i="1" s="1"/>
  <c r="M859" i="1" s="1"/>
  <c r="M860" i="1" s="1"/>
  <c r="M861" i="1" s="1"/>
  <c r="M862" i="1" s="1"/>
  <c r="M863" i="1" s="1"/>
  <c r="M864" i="1" s="1"/>
  <c r="M865" i="1" s="1"/>
  <c r="M866" i="1" s="1"/>
  <c r="M867" i="1" s="1"/>
  <c r="M868" i="1" s="1"/>
  <c r="M869" i="1" s="1"/>
  <c r="M870" i="1" s="1"/>
  <c r="M871" i="1" s="1"/>
  <c r="M872" i="1" s="1"/>
  <c r="M873" i="1" s="1"/>
  <c r="M874" i="1" s="1"/>
  <c r="M875" i="1" s="1"/>
  <c r="M876" i="1" s="1"/>
  <c r="M877" i="1" s="1"/>
  <c r="M878" i="1" s="1"/>
  <c r="M879" i="1" s="1"/>
  <c r="M880" i="1" s="1"/>
  <c r="M881" i="1" s="1"/>
  <c r="M882" i="1" s="1"/>
  <c r="M883" i="1" s="1"/>
  <c r="M884" i="1" s="1"/>
  <c r="M885" i="1" s="1"/>
  <c r="M886" i="1" s="1"/>
  <c r="M887" i="1" s="1"/>
  <c r="M888" i="1" s="1"/>
  <c r="M889" i="1" s="1"/>
  <c r="M890" i="1" s="1"/>
  <c r="M891" i="1" s="1"/>
  <c r="M892" i="1" s="1"/>
  <c r="M893" i="1" s="1"/>
  <c r="M894" i="1" s="1"/>
  <c r="M895" i="1" s="1"/>
  <c r="M896" i="1" s="1"/>
  <c r="M897" i="1" s="1"/>
  <c r="M898" i="1" s="1"/>
  <c r="M899" i="1" s="1"/>
  <c r="M900" i="1" s="1"/>
  <c r="M901" i="1" s="1"/>
  <c r="M902" i="1" s="1"/>
  <c r="M903" i="1" s="1"/>
  <c r="M904" i="1" s="1"/>
  <c r="M905" i="1" s="1"/>
  <c r="M906" i="1" s="1"/>
  <c r="M907" i="1" s="1"/>
  <c r="M908" i="1" s="1"/>
  <c r="M909" i="1" s="1"/>
  <c r="M910" i="1" s="1"/>
  <c r="M911" i="1" s="1"/>
  <c r="M912" i="1" s="1"/>
  <c r="M913" i="1" s="1"/>
  <c r="M914" i="1" s="1"/>
  <c r="M915" i="1" s="1"/>
  <c r="M916" i="1" s="1"/>
  <c r="M917" i="1" s="1"/>
  <c r="M918" i="1" s="1"/>
  <c r="M919" i="1" s="1"/>
  <c r="M920" i="1" s="1"/>
  <c r="M921" i="1" s="1"/>
  <c r="M922" i="1" s="1"/>
  <c r="M923" i="1" s="1"/>
  <c r="M924" i="1" s="1"/>
  <c r="M925" i="1" s="1"/>
  <c r="M926" i="1" s="1"/>
  <c r="M927" i="1" s="1"/>
  <c r="M928" i="1" s="1"/>
  <c r="M929" i="1" s="1"/>
  <c r="M930" i="1" s="1"/>
  <c r="M931" i="1" s="1"/>
  <c r="M932" i="1" s="1"/>
  <c r="M933" i="1" s="1"/>
  <c r="M934" i="1" s="1"/>
  <c r="M935" i="1" s="1"/>
  <c r="M936" i="1" s="1"/>
  <c r="M937" i="1" s="1"/>
  <c r="M938" i="1" s="1"/>
  <c r="M939" i="1" s="1"/>
  <c r="M940" i="1" s="1"/>
  <c r="M941" i="1" s="1"/>
  <c r="M942" i="1" s="1"/>
  <c r="M943" i="1" s="1"/>
  <c r="M944" i="1" s="1"/>
  <c r="M945" i="1" s="1"/>
  <c r="M946" i="1" s="1"/>
  <c r="M947" i="1" s="1"/>
  <c r="M948" i="1" s="1"/>
  <c r="M949" i="1" s="1"/>
  <c r="M950" i="1" s="1"/>
  <c r="M951" i="1" s="1"/>
  <c r="M952" i="1" s="1"/>
  <c r="M953" i="1" s="1"/>
  <c r="M954" i="1" s="1"/>
  <c r="M955" i="1" s="1"/>
  <c r="M956" i="1" s="1"/>
  <c r="M957" i="1" s="1"/>
  <c r="M958" i="1" s="1"/>
  <c r="M959" i="1" s="1"/>
  <c r="M960" i="1" s="1"/>
  <c r="M961" i="1" s="1"/>
  <c r="M962" i="1" s="1"/>
  <c r="M963" i="1" s="1"/>
  <c r="M964" i="1" s="1"/>
  <c r="M965" i="1" s="1"/>
  <c r="M966" i="1" s="1"/>
  <c r="M967" i="1" s="1"/>
  <c r="M968" i="1" s="1"/>
  <c r="M969" i="1" s="1"/>
  <c r="M970" i="1" s="1"/>
  <c r="M971" i="1" s="1"/>
  <c r="M972" i="1" s="1"/>
  <c r="M973" i="1" s="1"/>
  <c r="M974" i="1" s="1"/>
  <c r="M975" i="1" s="1"/>
  <c r="M976" i="1" s="1"/>
  <c r="M977" i="1" s="1"/>
  <c r="M978" i="1" s="1"/>
  <c r="M979" i="1" s="1"/>
  <c r="M980" i="1" s="1"/>
  <c r="M981" i="1" s="1"/>
  <c r="M982" i="1" s="1"/>
  <c r="M983" i="1" s="1"/>
  <c r="M984" i="1" s="1"/>
  <c r="M985" i="1" s="1"/>
  <c r="M986" i="1" s="1"/>
  <c r="M987" i="1" s="1"/>
  <c r="M988" i="1" s="1"/>
  <c r="M989" i="1" s="1"/>
  <c r="M990" i="1" s="1"/>
  <c r="M991" i="1" s="1"/>
  <c r="M992" i="1" s="1"/>
  <c r="M993" i="1" s="1"/>
  <c r="M994" i="1" s="1"/>
  <c r="M995" i="1" s="1"/>
  <c r="M996" i="1" s="1"/>
  <c r="M997" i="1" s="1"/>
  <c r="M998" i="1" s="1"/>
  <c r="M999" i="1" s="1"/>
  <c r="M1000" i="1" s="1"/>
  <c r="M1001" i="1" s="1"/>
  <c r="M1002" i="1" s="1"/>
  <c r="M1003" i="1" s="1"/>
  <c r="M1004" i="1" s="1"/>
  <c r="M1005" i="1" s="1"/>
  <c r="M1006" i="1" s="1"/>
  <c r="M1007" i="1" s="1"/>
  <c r="M1008" i="1" s="1"/>
  <c r="M1009" i="1" s="1"/>
  <c r="M1010" i="1" s="1"/>
  <c r="M1011" i="1" s="1"/>
  <c r="M1012" i="1" s="1"/>
  <c r="M1013" i="1" s="1"/>
  <c r="M1014" i="1" s="1"/>
  <c r="M1015" i="1" s="1"/>
  <c r="M1016" i="1" s="1"/>
  <c r="M1017" i="1" s="1"/>
  <c r="M1018" i="1" s="1"/>
  <c r="M1019" i="1" s="1"/>
  <c r="M1020" i="1" s="1"/>
  <c r="M1021" i="1" s="1"/>
  <c r="M1022" i="1" s="1"/>
  <c r="M1023" i="1" s="1"/>
  <c r="M1024" i="1" s="1"/>
  <c r="M1025" i="1" s="1"/>
  <c r="M1026" i="1" s="1"/>
  <c r="M1027" i="1" s="1"/>
  <c r="M1028" i="1" s="1"/>
  <c r="M1029" i="1" s="1"/>
  <c r="M1030" i="1" s="1"/>
  <c r="M1031" i="1" s="1"/>
  <c r="M1032" i="1" s="1"/>
  <c r="M1033" i="1" s="1"/>
  <c r="M1034" i="1" s="1"/>
  <c r="M1035" i="1" s="1"/>
  <c r="M1036" i="1" s="1"/>
  <c r="M1037" i="1" s="1"/>
  <c r="M1038" i="1" s="1"/>
  <c r="M1039" i="1" s="1"/>
  <c r="M1040" i="1" s="1"/>
  <c r="M1041" i="1" s="1"/>
  <c r="M1042" i="1" s="1"/>
  <c r="M1043" i="1" s="1"/>
  <c r="M1044" i="1" s="1"/>
  <c r="M1045" i="1" s="1"/>
  <c r="M1046" i="1" s="1"/>
  <c r="M1047" i="1" s="1"/>
  <c r="M1048" i="1" s="1"/>
  <c r="M1049" i="1" s="1"/>
  <c r="M1050" i="1" s="1"/>
  <c r="M1051" i="1" s="1"/>
  <c r="M1052" i="1" s="1"/>
  <c r="M1053" i="1" s="1"/>
  <c r="M1054" i="1" s="1"/>
  <c r="M1055" i="1" s="1"/>
  <c r="M1056" i="1" s="1"/>
  <c r="M1057" i="1" s="1"/>
  <c r="M1058" i="1" s="1"/>
  <c r="M1059" i="1" s="1"/>
  <c r="M1060" i="1" s="1"/>
  <c r="M1061" i="1" s="1"/>
  <c r="M1062" i="1" s="1"/>
  <c r="M1063" i="1" s="1"/>
  <c r="M1064" i="1" s="1"/>
  <c r="M1065" i="1" s="1"/>
  <c r="M1066" i="1" s="1"/>
  <c r="M1067" i="1" s="1"/>
  <c r="M1068" i="1" s="1"/>
  <c r="M1069" i="1" s="1"/>
  <c r="M1070" i="1" s="1"/>
  <c r="M1071" i="1" s="1"/>
  <c r="M1072" i="1" s="1"/>
  <c r="M1073" i="1" s="1"/>
  <c r="M1074" i="1" s="1"/>
  <c r="M1075" i="1" s="1"/>
  <c r="M1076" i="1" s="1"/>
  <c r="M1077" i="1" s="1"/>
  <c r="M1078" i="1" s="1"/>
  <c r="M1079" i="1" s="1"/>
  <c r="M1080" i="1" s="1"/>
  <c r="M1081" i="1" s="1"/>
  <c r="M1082" i="1" s="1"/>
  <c r="M1083" i="1" s="1"/>
  <c r="M1084" i="1" s="1"/>
  <c r="M1085" i="1" s="1"/>
  <c r="M1086" i="1" s="1"/>
  <c r="M1087" i="1" s="1"/>
  <c r="M1088" i="1" s="1"/>
  <c r="M1089" i="1" s="1"/>
  <c r="M1090" i="1" s="1"/>
  <c r="M1091" i="1" s="1"/>
  <c r="M1092" i="1" s="1"/>
  <c r="M1093" i="1" s="1"/>
  <c r="M1094" i="1" s="1"/>
  <c r="M1095" i="1" s="1"/>
  <c r="M1096" i="1" s="1"/>
  <c r="M1097" i="1" s="1"/>
  <c r="M1098" i="1" s="1"/>
  <c r="M1099" i="1" s="1"/>
  <c r="M1100" i="1" s="1"/>
  <c r="M1101" i="1" s="1"/>
  <c r="M1102" i="1" s="1"/>
  <c r="M1103" i="1" s="1"/>
  <c r="M1104" i="1" s="1"/>
  <c r="M1105" i="1" s="1"/>
  <c r="M1106" i="1" s="1"/>
  <c r="M1107" i="1" s="1"/>
  <c r="M1108" i="1" s="1"/>
  <c r="M1109" i="1" s="1"/>
  <c r="M1110" i="1" s="1"/>
  <c r="M1111" i="1" s="1"/>
  <c r="M1112" i="1" s="1"/>
  <c r="M1113" i="1" s="1"/>
  <c r="M1114" i="1" s="1"/>
  <c r="M1115" i="1" s="1"/>
  <c r="M1116" i="1" s="1"/>
  <c r="M1117" i="1" s="1"/>
  <c r="M1118" i="1" s="1"/>
  <c r="M1119" i="1" s="1"/>
  <c r="M1120" i="1" s="1"/>
  <c r="M1121" i="1" s="1"/>
  <c r="M1122" i="1" s="1"/>
  <c r="M1123" i="1" s="1"/>
  <c r="M1124" i="1" s="1"/>
  <c r="M1125" i="1" s="1"/>
  <c r="M1126" i="1" s="1"/>
  <c r="M1127" i="1" s="1"/>
  <c r="M1128" i="1" s="1"/>
  <c r="M1129" i="1" s="1"/>
  <c r="M1130" i="1" s="1"/>
  <c r="M1131" i="1" s="1"/>
  <c r="M1132" i="1" s="1"/>
  <c r="M1133" i="1" s="1"/>
  <c r="M1134" i="1" s="1"/>
  <c r="M1135" i="1" s="1"/>
  <c r="M1136" i="1" s="1"/>
  <c r="M1137" i="1" s="1"/>
  <c r="M1138" i="1" s="1"/>
  <c r="M1139" i="1" s="1"/>
  <c r="M1140" i="1" s="1"/>
  <c r="M1141" i="1" s="1"/>
  <c r="M1142" i="1" s="1"/>
  <c r="M1143" i="1" s="1"/>
  <c r="M1144" i="1" s="1"/>
  <c r="M1145" i="1" s="1"/>
  <c r="M1146" i="1" s="1"/>
  <c r="M1147" i="1" s="1"/>
  <c r="M1148" i="1" s="1"/>
  <c r="M1149" i="1" s="1"/>
  <c r="M1150" i="1" s="1"/>
  <c r="M1151" i="1" s="1"/>
  <c r="M1152" i="1" s="1"/>
  <c r="M1153" i="1" s="1"/>
  <c r="M1154" i="1" s="1"/>
  <c r="M1155" i="1" s="1"/>
  <c r="M1156" i="1" s="1"/>
  <c r="M1157" i="1" s="1"/>
  <c r="M1158" i="1" s="1"/>
  <c r="M1159" i="1" s="1"/>
  <c r="M1160" i="1" s="1"/>
  <c r="M1161" i="1" s="1"/>
  <c r="M1162" i="1" s="1"/>
  <c r="M1163" i="1" s="1"/>
  <c r="M1164" i="1" s="1"/>
  <c r="M1165" i="1" s="1"/>
  <c r="M1166" i="1" s="1"/>
  <c r="M1167" i="1" s="1"/>
  <c r="M1168" i="1" s="1"/>
  <c r="M1169" i="1" s="1"/>
  <c r="M1170" i="1" s="1"/>
  <c r="M1171" i="1" s="1"/>
  <c r="M1172" i="1" s="1"/>
  <c r="M1173" i="1" s="1"/>
  <c r="M1174" i="1" s="1"/>
  <c r="M1175" i="1" s="1"/>
  <c r="M1176" i="1" s="1"/>
  <c r="M1177" i="1" s="1"/>
  <c r="M1178" i="1" s="1"/>
  <c r="M1179" i="1" s="1"/>
  <c r="M1180" i="1" s="1"/>
  <c r="M1181" i="1" s="1"/>
  <c r="M1182" i="1" s="1"/>
  <c r="M1183" i="1" s="1"/>
  <c r="M1184" i="1" s="1"/>
  <c r="M1185" i="1" s="1"/>
  <c r="M1186" i="1" s="1"/>
  <c r="M1187" i="1" s="1"/>
  <c r="M1188" i="1" s="1"/>
  <c r="M1189" i="1" s="1"/>
  <c r="M1190" i="1" s="1"/>
  <c r="M1191" i="1" s="1"/>
  <c r="M1192" i="1" s="1"/>
  <c r="M1193" i="1" s="1"/>
  <c r="M1194" i="1" s="1"/>
  <c r="M1195" i="1" s="1"/>
  <c r="M1196" i="1" s="1"/>
  <c r="M1197" i="1" s="1"/>
  <c r="M1198" i="1" s="1"/>
  <c r="M1199" i="1" s="1"/>
  <c r="M1200" i="1" s="1"/>
  <c r="M1201" i="1" s="1"/>
  <c r="M1202" i="1" s="1"/>
  <c r="M1203" i="1" s="1"/>
  <c r="M1204" i="1" s="1"/>
  <c r="M1205" i="1" s="1"/>
  <c r="M1206" i="1" s="1"/>
  <c r="M1207" i="1" s="1"/>
  <c r="M1208" i="1" s="1"/>
  <c r="M1209" i="1" s="1"/>
  <c r="M1210" i="1" s="1"/>
  <c r="M1211" i="1" s="1"/>
  <c r="M1212" i="1" s="1"/>
  <c r="M1213" i="1" s="1"/>
  <c r="M1214" i="1" s="1"/>
  <c r="M1215" i="1" s="1"/>
  <c r="M1216" i="1" s="1"/>
  <c r="M1217" i="1" s="1"/>
  <c r="M1218" i="1" s="1"/>
  <c r="M1219" i="1" s="1"/>
  <c r="M1220" i="1" s="1"/>
  <c r="M1221" i="1" s="1"/>
  <c r="M1222" i="1" s="1"/>
  <c r="M1223" i="1" s="1"/>
  <c r="M1224" i="1" s="1"/>
  <c r="M1225" i="1" s="1"/>
  <c r="M1226" i="1" s="1"/>
  <c r="M1227" i="1" s="1"/>
  <c r="M1228" i="1" s="1"/>
  <c r="M1229" i="1" s="1"/>
  <c r="M1230" i="1" s="1"/>
  <c r="M1231" i="1" s="1"/>
  <c r="M1232" i="1" s="1"/>
  <c r="M1233" i="1" s="1"/>
  <c r="M1234" i="1" s="1"/>
  <c r="M1235" i="1" s="1"/>
  <c r="M1236" i="1" s="1"/>
  <c r="M1237" i="1" s="1"/>
  <c r="M1238" i="1" s="1"/>
  <c r="M1239" i="1" s="1"/>
  <c r="M1240" i="1" s="1"/>
  <c r="M1241" i="1" s="1"/>
  <c r="M1242" i="1" s="1"/>
  <c r="M1243" i="1" s="1"/>
  <c r="M1244" i="1" s="1"/>
  <c r="M1245" i="1" s="1"/>
  <c r="M1246" i="1" s="1"/>
  <c r="M1247" i="1" s="1"/>
  <c r="M1248" i="1" s="1"/>
  <c r="M1249" i="1" s="1"/>
  <c r="M1250" i="1" s="1"/>
  <c r="M1251" i="1" s="1"/>
  <c r="M1252" i="1" s="1"/>
  <c r="M1253" i="1" s="1"/>
  <c r="M1254" i="1" s="1"/>
  <c r="M1255" i="1" s="1"/>
  <c r="M1256" i="1" s="1"/>
  <c r="M1257" i="1" s="1"/>
  <c r="M1258" i="1" s="1"/>
  <c r="M1259" i="1" s="1"/>
  <c r="M1260" i="1" s="1"/>
  <c r="M1261" i="1" s="1"/>
  <c r="M1262" i="1" s="1"/>
  <c r="M1263" i="1" s="1"/>
  <c r="M1264" i="1" s="1"/>
  <c r="M1265" i="1" s="1"/>
  <c r="M1266" i="1" s="1"/>
  <c r="M1267" i="1" s="1"/>
  <c r="M1268" i="1" s="1"/>
  <c r="M1269" i="1" s="1"/>
  <c r="M1270" i="1" s="1"/>
  <c r="M1271" i="1" s="1"/>
  <c r="M1272" i="1" s="1"/>
  <c r="M1273" i="1" s="1"/>
  <c r="M1274" i="1" s="1"/>
  <c r="M1275" i="1" s="1"/>
  <c r="M1276" i="1" s="1"/>
  <c r="M1277" i="1" s="1"/>
  <c r="M1278" i="1" s="1"/>
  <c r="M1279" i="1" s="1"/>
  <c r="M1280" i="1" s="1"/>
  <c r="M1281" i="1" s="1"/>
  <c r="M1282" i="1" s="1"/>
  <c r="M1283" i="1" s="1"/>
  <c r="M1284" i="1" s="1"/>
  <c r="M1285" i="1" s="1"/>
  <c r="M1286" i="1" s="1"/>
  <c r="M1287" i="1" s="1"/>
  <c r="M1288" i="1" s="1"/>
  <c r="M1289" i="1" s="1"/>
  <c r="M1290" i="1" s="1"/>
  <c r="M1291" i="1" s="1"/>
  <c r="M1292" i="1" s="1"/>
  <c r="M1293" i="1" s="1"/>
  <c r="M1294" i="1" s="1"/>
  <c r="M1295" i="1" s="1"/>
  <c r="M1296" i="1" s="1"/>
  <c r="M1297" i="1" s="1"/>
  <c r="M1298" i="1" s="1"/>
  <c r="M1299" i="1" s="1"/>
  <c r="M1300" i="1" s="1"/>
  <c r="M1301" i="1" s="1"/>
  <c r="M1302" i="1" s="1"/>
  <c r="M1303" i="1" s="1"/>
  <c r="M1304" i="1" s="1"/>
  <c r="M1305" i="1" s="1"/>
  <c r="M1306" i="1" s="1"/>
  <c r="M1307" i="1" s="1"/>
  <c r="M1308" i="1" s="1"/>
  <c r="M1309" i="1" s="1"/>
  <c r="M1310" i="1" s="1"/>
  <c r="M1311" i="1" s="1"/>
  <c r="M1312" i="1" s="1"/>
  <c r="M1313" i="1" s="1"/>
  <c r="M1314" i="1" s="1"/>
  <c r="M1315" i="1" s="1"/>
  <c r="M1316" i="1" s="1"/>
  <c r="M1317" i="1" s="1"/>
  <c r="M1318" i="1" s="1"/>
  <c r="M1319" i="1" s="1"/>
  <c r="M1320" i="1" s="1"/>
  <c r="M1321" i="1" s="1"/>
  <c r="M1322" i="1" s="1"/>
  <c r="M1323" i="1" s="1"/>
  <c r="M1324" i="1" s="1"/>
  <c r="M1325" i="1" s="1"/>
  <c r="M1326" i="1" s="1"/>
  <c r="M1327" i="1" s="1"/>
  <c r="M1328" i="1" s="1"/>
  <c r="M1329" i="1" s="1"/>
  <c r="M1330" i="1" s="1"/>
  <c r="M1331" i="1" s="1"/>
  <c r="M1332" i="1" s="1"/>
  <c r="M1333" i="1" s="1"/>
  <c r="M1334" i="1" s="1"/>
  <c r="M1335" i="1" s="1"/>
  <c r="M1336" i="1" s="1"/>
  <c r="M1337" i="1" s="1"/>
  <c r="M1338" i="1" s="1"/>
  <c r="M1339" i="1" s="1"/>
  <c r="M1340" i="1" s="1"/>
  <c r="M1341" i="1" s="1"/>
  <c r="M1342" i="1" s="1"/>
  <c r="M1343" i="1" s="1"/>
  <c r="M1344" i="1" s="1"/>
  <c r="M1345" i="1" s="1"/>
  <c r="M1346" i="1" s="1"/>
  <c r="M1347" i="1" s="1"/>
  <c r="M1348" i="1" s="1"/>
  <c r="M1349" i="1" s="1"/>
  <c r="M1350" i="1" s="1"/>
  <c r="M1351" i="1" s="1"/>
  <c r="M1352" i="1" s="1"/>
  <c r="M1353" i="1" s="1"/>
  <c r="M1354" i="1" s="1"/>
  <c r="M1355" i="1" s="1"/>
  <c r="M1356" i="1" s="1"/>
  <c r="M1357" i="1" s="1"/>
  <c r="M1358" i="1" s="1"/>
  <c r="M1359" i="1" s="1"/>
  <c r="M1360" i="1" s="1"/>
  <c r="M1361" i="1" s="1"/>
  <c r="M1362" i="1" s="1"/>
  <c r="M1363" i="1" s="1"/>
  <c r="M1364" i="1" s="1"/>
  <c r="M1365" i="1" s="1"/>
  <c r="M1366" i="1" s="1"/>
  <c r="M1367" i="1" s="1"/>
  <c r="M1368" i="1" s="1"/>
  <c r="M1369" i="1" s="1"/>
  <c r="M1370" i="1" s="1"/>
  <c r="M1371" i="1" s="1"/>
  <c r="M1372" i="1" s="1"/>
  <c r="M1373" i="1" s="1"/>
  <c r="M1374" i="1" s="1"/>
  <c r="M1375" i="1" s="1"/>
  <c r="M1376" i="1" s="1"/>
  <c r="M1377" i="1" s="1"/>
  <c r="M1378" i="1" s="1"/>
  <c r="M1379" i="1" s="1"/>
  <c r="M1380" i="1" s="1"/>
  <c r="M1381" i="1" s="1"/>
  <c r="M1382" i="1" s="1"/>
  <c r="M1383" i="1" s="1"/>
  <c r="M1384" i="1" s="1"/>
  <c r="M1385" i="1" s="1"/>
  <c r="M1386" i="1" s="1"/>
  <c r="M1387" i="1" s="1"/>
  <c r="M1388" i="1" s="1"/>
  <c r="M1389" i="1" s="1"/>
  <c r="M1390" i="1" s="1"/>
  <c r="M1391" i="1" s="1"/>
  <c r="M1392" i="1" s="1"/>
  <c r="M1393" i="1" s="1"/>
  <c r="M1394" i="1" s="1"/>
  <c r="M1395" i="1" s="1"/>
  <c r="M1396" i="1" s="1"/>
  <c r="M1397" i="1" s="1"/>
  <c r="M1398" i="1" s="1"/>
  <c r="M1399" i="1" s="1"/>
  <c r="M1400" i="1" s="1"/>
  <c r="M1401" i="1" s="1"/>
  <c r="M1402" i="1" s="1"/>
  <c r="M1403" i="1" s="1"/>
  <c r="M1404" i="1" s="1"/>
  <c r="M1405" i="1" s="1"/>
  <c r="M1406" i="1" s="1"/>
  <c r="M1407" i="1" s="1"/>
  <c r="M1408" i="1" s="1"/>
  <c r="M1409" i="1" s="1"/>
  <c r="M1410" i="1" s="1"/>
  <c r="M1411" i="1" s="1"/>
  <c r="M1412" i="1" s="1"/>
  <c r="M1413" i="1" s="1"/>
  <c r="M1414" i="1" s="1"/>
  <c r="M1415" i="1" s="1"/>
  <c r="M1416" i="1" s="1"/>
  <c r="M1417" i="1" s="1"/>
  <c r="M1418" i="1" s="1"/>
  <c r="M1419" i="1" s="1"/>
  <c r="M1420" i="1" s="1"/>
  <c r="M1421" i="1" s="1"/>
  <c r="M1422" i="1" s="1"/>
  <c r="M1423" i="1" s="1"/>
  <c r="M1424" i="1" s="1"/>
  <c r="M1425" i="1" s="1"/>
  <c r="M1426" i="1" s="1"/>
  <c r="M1427" i="1" s="1"/>
  <c r="M1428" i="1" s="1"/>
  <c r="M1429" i="1" s="1"/>
  <c r="M1430" i="1" s="1"/>
  <c r="M1431" i="1" s="1"/>
  <c r="M1432" i="1" s="1"/>
  <c r="M1433" i="1" s="1"/>
  <c r="M1434" i="1" s="1"/>
  <c r="M1435" i="1" s="1"/>
  <c r="M1436" i="1" s="1"/>
  <c r="M1437" i="1" s="1"/>
  <c r="M1438" i="1" s="1"/>
  <c r="M1439" i="1" s="1"/>
  <c r="M1440" i="1" s="1"/>
  <c r="M1441" i="1" s="1"/>
  <c r="M1442" i="1" s="1"/>
  <c r="M1443" i="1" s="1"/>
  <c r="M1444" i="1" s="1"/>
  <c r="M1445" i="1" s="1"/>
  <c r="M1446" i="1" s="1"/>
  <c r="M1447" i="1" s="1"/>
  <c r="M1448" i="1" s="1"/>
  <c r="M1449" i="1" s="1"/>
  <c r="M1450" i="1" s="1"/>
  <c r="M1451" i="1" s="1"/>
  <c r="M1452" i="1" s="1"/>
  <c r="M1453" i="1" s="1"/>
  <c r="M1454" i="1" s="1"/>
  <c r="M1455" i="1" s="1"/>
  <c r="M1456" i="1" s="1"/>
  <c r="M1457" i="1" s="1"/>
  <c r="M1458" i="1" s="1"/>
  <c r="M1459" i="1" s="1"/>
  <c r="M1460" i="1" s="1"/>
  <c r="M1461" i="1" s="1"/>
  <c r="M1462" i="1" s="1"/>
  <c r="M1463" i="1" s="1"/>
  <c r="M1464" i="1" s="1"/>
  <c r="M1465" i="1" s="1"/>
  <c r="M1466" i="1" s="1"/>
  <c r="M1467" i="1" s="1"/>
  <c r="M1468" i="1" s="1"/>
  <c r="M1469" i="1" s="1"/>
  <c r="M1470" i="1" s="1"/>
  <c r="M1471" i="1" s="1"/>
  <c r="M1472" i="1" s="1"/>
  <c r="M1473" i="1" s="1"/>
  <c r="M1474" i="1" s="1"/>
  <c r="M1475" i="1" s="1"/>
  <c r="M1476" i="1" s="1"/>
  <c r="M1477" i="1" s="1"/>
  <c r="M1478" i="1" s="1"/>
  <c r="M1479" i="1" s="1"/>
  <c r="M1480" i="1" s="1"/>
  <c r="M1481" i="1" s="1"/>
  <c r="M1482" i="1" s="1"/>
  <c r="M1483" i="1" s="1"/>
  <c r="M1484" i="1" s="1"/>
  <c r="M1485" i="1" s="1"/>
  <c r="M1486" i="1" s="1"/>
  <c r="M1487" i="1" s="1"/>
  <c r="M1488" i="1" s="1"/>
  <c r="M1489" i="1" s="1"/>
  <c r="M1490" i="1" s="1"/>
  <c r="M1491" i="1" s="1"/>
  <c r="M1492" i="1" s="1"/>
  <c r="M1493" i="1" s="1"/>
  <c r="M1494" i="1" s="1"/>
  <c r="M1495" i="1" s="1"/>
  <c r="M1496" i="1" s="1"/>
  <c r="M1497" i="1" s="1"/>
  <c r="M1498" i="1" s="1"/>
  <c r="M1499" i="1" s="1"/>
  <c r="M1500" i="1" s="1"/>
  <c r="M1501" i="1" s="1"/>
  <c r="M1502" i="1" s="1"/>
  <c r="M1503" i="1" s="1"/>
  <c r="M1504" i="1" s="1"/>
  <c r="M1505" i="1" s="1"/>
  <c r="M1506" i="1" s="1"/>
  <c r="M1507" i="1" s="1"/>
  <c r="M1508" i="1" s="1"/>
  <c r="M1509" i="1" s="1"/>
  <c r="M1510" i="1" s="1"/>
  <c r="M1511" i="1" s="1"/>
  <c r="M1512" i="1" s="1"/>
  <c r="M1513" i="1" s="1"/>
  <c r="M1514" i="1" s="1"/>
  <c r="M1515" i="1" s="1"/>
  <c r="M1516" i="1" s="1"/>
  <c r="M1517" i="1" s="1"/>
  <c r="M1518" i="1" s="1"/>
  <c r="M1519" i="1" s="1"/>
  <c r="M1520" i="1" s="1"/>
  <c r="M1521" i="1" s="1"/>
  <c r="M1522" i="1" s="1"/>
  <c r="M1523" i="1" s="1"/>
  <c r="M1524" i="1" s="1"/>
  <c r="M1525" i="1" s="1"/>
  <c r="M1526" i="1" s="1"/>
  <c r="M1527" i="1" s="1"/>
  <c r="M1528" i="1" s="1"/>
  <c r="M1529" i="1" s="1"/>
  <c r="M1530" i="1" s="1"/>
  <c r="M1531" i="1" s="1"/>
  <c r="M1532" i="1" s="1"/>
  <c r="M1533" i="1" s="1"/>
  <c r="M1534" i="1" s="1"/>
  <c r="M1535" i="1" s="1"/>
  <c r="M1536" i="1" s="1"/>
  <c r="M1537" i="1" s="1"/>
  <c r="M1538" i="1" s="1"/>
  <c r="M1539" i="1" s="1"/>
  <c r="M1540" i="1" s="1"/>
  <c r="M1541" i="1" s="1"/>
  <c r="M1542" i="1" s="1"/>
  <c r="M1543" i="1" s="1"/>
  <c r="M1544" i="1" s="1"/>
  <c r="M1545" i="1" s="1"/>
  <c r="M1546" i="1" s="1"/>
  <c r="M1547" i="1" s="1"/>
  <c r="M1548" i="1" s="1"/>
  <c r="M1549" i="1" s="1"/>
  <c r="M1550" i="1" s="1"/>
  <c r="M1551" i="1" s="1"/>
  <c r="M1552" i="1" s="1"/>
  <c r="M1553" i="1" s="1"/>
  <c r="M1554" i="1" s="1"/>
  <c r="M1555" i="1" s="1"/>
  <c r="M1556" i="1" s="1"/>
  <c r="M1557" i="1" s="1"/>
  <c r="M1558" i="1" s="1"/>
  <c r="M1559" i="1" s="1"/>
  <c r="M1560" i="1" s="1"/>
  <c r="M1561" i="1" s="1"/>
  <c r="M1562" i="1" s="1"/>
  <c r="M1563" i="1" s="1"/>
  <c r="M1564" i="1" s="1"/>
  <c r="M1565" i="1" s="1"/>
  <c r="M1566" i="1" s="1"/>
  <c r="M1567" i="1" s="1"/>
  <c r="M1568" i="1" s="1"/>
  <c r="M1569" i="1" s="1"/>
  <c r="M1570" i="1" s="1"/>
  <c r="M1571" i="1" s="1"/>
  <c r="M1572" i="1" s="1"/>
  <c r="M1573" i="1" s="1"/>
  <c r="M1574" i="1" s="1"/>
  <c r="M1575" i="1" s="1"/>
  <c r="M1576" i="1" s="1"/>
  <c r="M1577" i="1" s="1"/>
  <c r="M1578" i="1" s="1"/>
  <c r="M1579" i="1" s="1"/>
  <c r="M1580" i="1" s="1"/>
  <c r="M1581" i="1" s="1"/>
  <c r="M1582" i="1" s="1"/>
  <c r="M1583" i="1" s="1"/>
  <c r="M1584" i="1" s="1"/>
  <c r="M1585" i="1" s="1"/>
  <c r="M1586" i="1" s="1"/>
  <c r="M1587" i="1" s="1"/>
  <c r="M1588" i="1" s="1"/>
  <c r="M1589" i="1" s="1"/>
  <c r="M1590" i="1" s="1"/>
  <c r="M1591" i="1" s="1"/>
  <c r="M1592" i="1" s="1"/>
  <c r="M1593" i="1" s="1"/>
  <c r="M1594" i="1" s="1"/>
  <c r="M1595" i="1" s="1"/>
  <c r="M1596" i="1" s="1"/>
  <c r="M1597" i="1" s="1"/>
  <c r="M1598" i="1" s="1"/>
  <c r="M1599" i="1" s="1"/>
  <c r="M1600" i="1" s="1"/>
  <c r="M1601" i="1" s="1"/>
  <c r="M1602" i="1" s="1"/>
  <c r="M1603" i="1" s="1"/>
  <c r="M1604" i="1" s="1"/>
  <c r="M1605" i="1" s="1"/>
  <c r="M1606" i="1" s="1"/>
  <c r="M1607" i="1" s="1"/>
  <c r="M1608" i="1" s="1"/>
  <c r="M1609" i="1" s="1"/>
  <c r="M1610" i="1" s="1"/>
  <c r="M1611" i="1" s="1"/>
  <c r="M1612" i="1" s="1"/>
  <c r="M1613" i="1" s="1"/>
  <c r="M1614" i="1" s="1"/>
  <c r="M1615" i="1" s="1"/>
  <c r="M1616" i="1" s="1"/>
  <c r="M1617" i="1" s="1"/>
  <c r="M1618" i="1" s="1"/>
  <c r="M1619" i="1" s="1"/>
  <c r="M1620" i="1" s="1"/>
  <c r="M1621" i="1" s="1"/>
  <c r="M1622" i="1" s="1"/>
  <c r="M1623" i="1" s="1"/>
  <c r="M1624" i="1" s="1"/>
  <c r="M1625" i="1" s="1"/>
  <c r="M1626" i="1" s="1"/>
  <c r="M1627" i="1" s="1"/>
  <c r="M1628" i="1" s="1"/>
  <c r="M1629" i="1" s="1"/>
  <c r="M1630" i="1" s="1"/>
  <c r="M1631" i="1" s="1"/>
  <c r="M1632" i="1" s="1"/>
  <c r="M1633" i="1" s="1"/>
  <c r="M1634" i="1" s="1"/>
  <c r="M1635" i="1" s="1"/>
  <c r="M1636" i="1" s="1"/>
  <c r="M1637" i="1" s="1"/>
  <c r="M1638" i="1" s="1"/>
  <c r="M1639" i="1" s="1"/>
  <c r="M1640" i="1" s="1"/>
  <c r="M1641" i="1" s="1"/>
  <c r="M1642" i="1" s="1"/>
  <c r="M1643" i="1" s="1"/>
  <c r="M1644" i="1" s="1"/>
  <c r="M1645" i="1" s="1"/>
  <c r="M1646" i="1" s="1"/>
  <c r="M1647" i="1" s="1"/>
  <c r="M1648" i="1" s="1"/>
  <c r="M1649" i="1" s="1"/>
  <c r="M1650" i="1" s="1"/>
  <c r="M1651" i="1" s="1"/>
  <c r="M1652" i="1" s="1"/>
  <c r="M1653" i="1" s="1"/>
  <c r="M1654" i="1" s="1"/>
  <c r="M1655" i="1" s="1"/>
  <c r="M1656" i="1" s="1"/>
  <c r="M1657" i="1" s="1"/>
  <c r="M1658" i="1" s="1"/>
  <c r="M1659" i="1" s="1"/>
  <c r="M1660" i="1" s="1"/>
  <c r="M1661" i="1" s="1"/>
  <c r="M1662" i="1" s="1"/>
  <c r="M1663" i="1" s="1"/>
  <c r="M1664" i="1" s="1"/>
  <c r="M1665" i="1" s="1"/>
  <c r="M1666" i="1" s="1"/>
  <c r="M1667" i="1" s="1"/>
  <c r="M1668" i="1" s="1"/>
  <c r="M1669" i="1" s="1"/>
  <c r="M1670" i="1" s="1"/>
  <c r="M1671" i="1" s="1"/>
  <c r="M1672" i="1" s="1"/>
  <c r="M1673" i="1" s="1"/>
  <c r="M1674" i="1" s="1"/>
  <c r="M1675" i="1" s="1"/>
  <c r="M1676" i="1" s="1"/>
  <c r="M1677" i="1" s="1"/>
  <c r="M1678" i="1" s="1"/>
  <c r="M1679" i="1" s="1"/>
  <c r="M1680" i="1" s="1"/>
  <c r="M1681" i="1" s="1"/>
  <c r="M1682" i="1" s="1"/>
  <c r="M1683" i="1" s="1"/>
  <c r="M1684" i="1" s="1"/>
  <c r="M1685" i="1" s="1"/>
  <c r="M1686" i="1" s="1"/>
  <c r="M1687" i="1" s="1"/>
  <c r="M1688" i="1" s="1"/>
  <c r="M1689" i="1" s="1"/>
  <c r="M1690" i="1" s="1"/>
  <c r="M1691" i="1" s="1"/>
  <c r="M1692" i="1" s="1"/>
  <c r="M1693" i="1" s="1"/>
  <c r="M1694" i="1" s="1"/>
  <c r="M1695" i="1" s="1"/>
  <c r="M1696" i="1" s="1"/>
  <c r="M1697" i="1" s="1"/>
  <c r="M1698" i="1" s="1"/>
  <c r="M1699" i="1" s="1"/>
  <c r="M1700" i="1" s="1"/>
  <c r="M1701" i="1" s="1"/>
  <c r="M1702" i="1" s="1"/>
  <c r="M1703" i="1" s="1"/>
  <c r="M1704" i="1" s="1"/>
  <c r="M1705" i="1" s="1"/>
  <c r="M1706" i="1" s="1"/>
  <c r="M1707" i="1" s="1"/>
  <c r="M1708" i="1" s="1"/>
  <c r="M1709" i="1" s="1"/>
  <c r="M1710" i="1" s="1"/>
  <c r="M1711" i="1" s="1"/>
  <c r="M1712" i="1" s="1"/>
  <c r="M1713" i="1" s="1"/>
  <c r="M1714" i="1" s="1"/>
  <c r="M1715" i="1" s="1"/>
  <c r="M1716" i="1" s="1"/>
  <c r="M1717" i="1" s="1"/>
  <c r="M1718" i="1" s="1"/>
  <c r="M1719" i="1" s="1"/>
  <c r="M1720" i="1" s="1"/>
  <c r="M1721" i="1" s="1"/>
  <c r="M1722" i="1" s="1"/>
  <c r="M1723" i="1" s="1"/>
  <c r="M1724" i="1" s="1"/>
  <c r="M1725" i="1" s="1"/>
  <c r="M1726" i="1" s="1"/>
  <c r="M1727" i="1" s="1"/>
  <c r="M1728" i="1" s="1"/>
  <c r="M1729" i="1" s="1"/>
  <c r="M1730" i="1" s="1"/>
  <c r="M1731" i="1" s="1"/>
  <c r="M1732" i="1" s="1"/>
  <c r="M1733" i="1" s="1"/>
  <c r="M1734" i="1" s="1"/>
  <c r="M1735" i="1" s="1"/>
  <c r="M1736" i="1" s="1"/>
  <c r="M1737" i="1" s="1"/>
  <c r="M1738" i="1" s="1"/>
  <c r="M1739" i="1" s="1"/>
  <c r="M1740" i="1" s="1"/>
  <c r="M1741" i="1" s="1"/>
  <c r="M1742" i="1" s="1"/>
  <c r="M1743" i="1" s="1"/>
  <c r="M1744" i="1" s="1"/>
  <c r="M1745" i="1" s="1"/>
  <c r="M1746" i="1" s="1"/>
  <c r="M1747" i="1" s="1"/>
  <c r="M1748" i="1" s="1"/>
  <c r="M1749" i="1" s="1"/>
  <c r="M1750" i="1" s="1"/>
  <c r="M1751" i="1" s="1"/>
  <c r="M1752" i="1" s="1"/>
  <c r="M1753" i="1" s="1"/>
  <c r="M1754" i="1" s="1"/>
  <c r="M1755" i="1" s="1"/>
  <c r="M1756" i="1" s="1"/>
  <c r="M1757" i="1" s="1"/>
  <c r="M1758" i="1" s="1"/>
  <c r="M1759" i="1" s="1"/>
  <c r="M1760" i="1" s="1"/>
  <c r="M1761" i="1" s="1"/>
  <c r="M1762" i="1" s="1"/>
  <c r="M1763" i="1" s="1"/>
  <c r="M1764" i="1" s="1"/>
  <c r="M1765" i="1" s="1"/>
  <c r="M1766" i="1" s="1"/>
  <c r="M1767" i="1" s="1"/>
  <c r="M1768" i="1" s="1"/>
  <c r="M1769" i="1" s="1"/>
  <c r="M1770" i="1" s="1"/>
  <c r="M1771" i="1" s="1"/>
  <c r="M1772" i="1" s="1"/>
  <c r="M1773" i="1" s="1"/>
  <c r="M1774" i="1" s="1"/>
  <c r="M1775" i="1" s="1"/>
  <c r="M1776" i="1" s="1"/>
  <c r="M1777" i="1" s="1"/>
  <c r="M1778" i="1" s="1"/>
  <c r="M1779" i="1" s="1"/>
  <c r="M1780" i="1" s="1"/>
  <c r="M1781" i="1" s="1"/>
  <c r="M1782" i="1" s="1"/>
  <c r="M1783" i="1" s="1"/>
  <c r="M1784" i="1" s="1"/>
  <c r="M1785" i="1" s="1"/>
  <c r="M1786" i="1" s="1"/>
  <c r="M1787" i="1" s="1"/>
  <c r="M1788" i="1" s="1"/>
  <c r="M1789" i="1" s="1"/>
  <c r="M1790" i="1" s="1"/>
  <c r="M1791" i="1" s="1"/>
  <c r="M1792" i="1" s="1"/>
  <c r="M1793" i="1" s="1"/>
  <c r="M1794" i="1" s="1"/>
  <c r="M1795" i="1" s="1"/>
  <c r="M1796" i="1" s="1"/>
  <c r="M1797" i="1" s="1"/>
  <c r="M1798" i="1" s="1"/>
  <c r="M1799" i="1" s="1"/>
  <c r="M1800" i="1" s="1"/>
  <c r="M1801" i="1" s="1"/>
  <c r="M1802" i="1" s="1"/>
  <c r="M1803" i="1" s="1"/>
  <c r="M1804" i="1" s="1"/>
  <c r="M1805" i="1" s="1"/>
  <c r="M1806" i="1" s="1"/>
  <c r="M1807" i="1" s="1"/>
  <c r="M1808" i="1" s="1"/>
  <c r="M1809" i="1" s="1"/>
  <c r="M1810" i="1" s="1"/>
  <c r="M1811" i="1" s="1"/>
  <c r="M1812" i="1" s="1"/>
  <c r="M1813" i="1" s="1"/>
  <c r="M1814" i="1" s="1"/>
  <c r="M1815" i="1" s="1"/>
  <c r="M1816" i="1" s="1"/>
  <c r="M1817" i="1" s="1"/>
  <c r="M1818" i="1" s="1"/>
  <c r="M1819" i="1" s="1"/>
  <c r="M1820" i="1" s="1"/>
  <c r="M1821" i="1" s="1"/>
  <c r="M1822" i="1" s="1"/>
  <c r="M1823" i="1" s="1"/>
  <c r="M1824" i="1" s="1"/>
  <c r="M1825" i="1" s="1"/>
  <c r="M1826" i="1" s="1"/>
  <c r="M1827" i="1" s="1"/>
  <c r="M1828" i="1" s="1"/>
  <c r="M1829" i="1" s="1"/>
  <c r="M1830" i="1" s="1"/>
  <c r="M1831" i="1" s="1"/>
  <c r="M1832" i="1" s="1"/>
  <c r="M1833" i="1" s="1"/>
  <c r="M1834" i="1" s="1"/>
  <c r="M1835" i="1" s="1"/>
  <c r="M1836" i="1" s="1"/>
  <c r="M1837" i="1" s="1"/>
  <c r="M1838" i="1" s="1"/>
  <c r="M1839" i="1" s="1"/>
  <c r="M1840" i="1" s="1"/>
  <c r="M1841" i="1" s="1"/>
  <c r="M1842" i="1" s="1"/>
  <c r="M1843" i="1" s="1"/>
  <c r="M1844" i="1" s="1"/>
  <c r="M1845" i="1" s="1"/>
  <c r="M1846" i="1" s="1"/>
  <c r="M1847" i="1" s="1"/>
  <c r="M1848" i="1" s="1"/>
  <c r="M1849" i="1" s="1"/>
  <c r="M1850" i="1" s="1"/>
  <c r="M1851" i="1" s="1"/>
  <c r="M1852" i="1" s="1"/>
  <c r="M1853" i="1" s="1"/>
  <c r="M1854" i="1" s="1"/>
  <c r="M1855" i="1" s="1"/>
  <c r="M1856" i="1" s="1"/>
  <c r="M1857" i="1" s="1"/>
  <c r="M1858" i="1" s="1"/>
  <c r="M1859" i="1" s="1"/>
  <c r="M1860" i="1" s="1"/>
  <c r="M1861" i="1" s="1"/>
  <c r="M1862" i="1" s="1"/>
  <c r="M1863" i="1" s="1"/>
  <c r="M1864" i="1" s="1"/>
  <c r="M1865" i="1" s="1"/>
  <c r="M1866" i="1" s="1"/>
  <c r="M1867" i="1" s="1"/>
  <c r="M1868" i="1" s="1"/>
  <c r="M1869" i="1" s="1"/>
  <c r="M1870" i="1" s="1"/>
  <c r="M1871" i="1" s="1"/>
  <c r="M1872" i="1" s="1"/>
  <c r="M1873" i="1" s="1"/>
  <c r="M1874" i="1" s="1"/>
  <c r="M1875" i="1" s="1"/>
  <c r="M1876" i="1" s="1"/>
  <c r="M1877" i="1" s="1"/>
  <c r="M1878" i="1" s="1"/>
  <c r="M1879" i="1" s="1"/>
  <c r="M1880" i="1" s="1"/>
  <c r="M1881" i="1" s="1"/>
  <c r="M1882" i="1" s="1"/>
  <c r="M1883" i="1" s="1"/>
  <c r="M1884" i="1" s="1"/>
  <c r="M1885" i="1" s="1"/>
  <c r="M1886" i="1" s="1"/>
  <c r="M1887" i="1" s="1"/>
  <c r="M1888" i="1" s="1"/>
  <c r="M1889" i="1" s="1"/>
  <c r="M1890" i="1" s="1"/>
  <c r="M1891" i="1" s="1"/>
  <c r="M1892" i="1" s="1"/>
  <c r="M1893" i="1" s="1"/>
  <c r="M1894" i="1" s="1"/>
  <c r="M1895" i="1" s="1"/>
  <c r="M1896" i="1" s="1"/>
  <c r="M1897" i="1" s="1"/>
  <c r="M1898" i="1" s="1"/>
  <c r="M1899" i="1" s="1"/>
  <c r="M1900" i="1" s="1"/>
  <c r="M1901" i="1" s="1"/>
  <c r="M1902" i="1" s="1"/>
  <c r="M1903" i="1" s="1"/>
  <c r="M1904" i="1" s="1"/>
  <c r="M1905" i="1" s="1"/>
  <c r="M1906" i="1" s="1"/>
  <c r="M1907" i="1" s="1"/>
  <c r="M1908" i="1" s="1"/>
  <c r="M1909" i="1" s="1"/>
  <c r="M1910" i="1" s="1"/>
  <c r="M1911" i="1" s="1"/>
  <c r="M1912" i="1" s="1"/>
  <c r="M1913" i="1" s="1"/>
  <c r="M1914" i="1" s="1"/>
  <c r="M1915" i="1" s="1"/>
  <c r="M1916" i="1" s="1"/>
  <c r="M1917" i="1" s="1"/>
  <c r="M1918" i="1" s="1"/>
  <c r="M1919" i="1" s="1"/>
  <c r="M1920" i="1" s="1"/>
  <c r="M1921" i="1" s="1"/>
  <c r="M1922" i="1" s="1"/>
  <c r="M1923" i="1" s="1"/>
  <c r="M1924" i="1" s="1"/>
  <c r="M1925" i="1" s="1"/>
  <c r="M1926" i="1" s="1"/>
  <c r="M1927" i="1" s="1"/>
  <c r="M1928" i="1" s="1"/>
  <c r="M1929" i="1" s="1"/>
  <c r="M1930" i="1" s="1"/>
  <c r="M1931" i="1" s="1"/>
  <c r="M1932" i="1" s="1"/>
  <c r="M1933" i="1" s="1"/>
  <c r="M1934" i="1" s="1"/>
  <c r="M1935" i="1" s="1"/>
  <c r="M1936" i="1" s="1"/>
  <c r="M1937" i="1" s="1"/>
  <c r="M1938" i="1" s="1"/>
  <c r="M1939" i="1" s="1"/>
  <c r="M1940" i="1" s="1"/>
  <c r="M1941" i="1" s="1"/>
  <c r="M1942" i="1" s="1"/>
  <c r="M1943" i="1" s="1"/>
  <c r="M1944" i="1" s="1"/>
  <c r="M1945" i="1" s="1"/>
  <c r="M1946" i="1" s="1"/>
  <c r="M1947" i="1" s="1"/>
  <c r="M1948" i="1" s="1"/>
  <c r="M1949" i="1" s="1"/>
  <c r="M1950" i="1" s="1"/>
  <c r="M1951" i="1" s="1"/>
  <c r="M1952" i="1" s="1"/>
  <c r="M1953" i="1" s="1"/>
  <c r="M1954" i="1" s="1"/>
  <c r="M1955" i="1" s="1"/>
  <c r="M1956" i="1" s="1"/>
  <c r="M1957" i="1" s="1"/>
  <c r="M1958" i="1" s="1"/>
  <c r="M1959" i="1" s="1"/>
  <c r="M1960" i="1" s="1"/>
  <c r="M1961" i="1" s="1"/>
  <c r="M1962" i="1" s="1"/>
  <c r="M1963" i="1" s="1"/>
  <c r="M1964" i="1" s="1"/>
  <c r="M1965" i="1" s="1"/>
  <c r="M1966" i="1" s="1"/>
  <c r="M1967" i="1" s="1"/>
  <c r="M1968" i="1" s="1"/>
  <c r="M1969" i="1" s="1"/>
  <c r="M1970" i="1" s="1"/>
  <c r="M1971" i="1" s="1"/>
  <c r="M1972" i="1" s="1"/>
  <c r="M1973" i="1" s="1"/>
  <c r="M1974" i="1" s="1"/>
  <c r="M1975" i="1" s="1"/>
  <c r="M1976" i="1" s="1"/>
  <c r="M1977" i="1" s="1"/>
  <c r="M1978" i="1" s="1"/>
  <c r="M1979" i="1" s="1"/>
  <c r="M1980" i="1" s="1"/>
  <c r="M1981" i="1" s="1"/>
  <c r="M1982" i="1" s="1"/>
  <c r="M1983" i="1" s="1"/>
  <c r="M1984" i="1" s="1"/>
  <c r="M1985" i="1" s="1"/>
  <c r="M1986" i="1" s="1"/>
  <c r="M1987" i="1" s="1"/>
  <c r="M1988" i="1" s="1"/>
  <c r="M1989" i="1" s="1"/>
  <c r="M1990" i="1" s="1"/>
  <c r="M1991" i="1" s="1"/>
  <c r="M1992" i="1" s="1"/>
  <c r="M1993" i="1" s="1"/>
  <c r="M1994" i="1" s="1"/>
  <c r="M1995" i="1" s="1"/>
  <c r="M1996" i="1" s="1"/>
  <c r="M1997" i="1" s="1"/>
  <c r="M1998" i="1" s="1"/>
  <c r="M1999" i="1" s="1"/>
  <c r="M2000" i="1" s="1"/>
  <c r="M2001" i="1" s="1"/>
  <c r="M2002" i="1" s="1"/>
  <c r="M2003" i="1" s="1"/>
  <c r="M2004" i="1" s="1"/>
  <c r="M2005" i="1" s="1"/>
  <c r="M2006" i="1" s="1"/>
  <c r="M2007" i="1" s="1"/>
  <c r="M2008" i="1" s="1"/>
  <c r="M2009" i="1" s="1"/>
  <c r="M2010" i="1" s="1"/>
  <c r="M2011" i="1" s="1"/>
  <c r="M2012" i="1" s="1"/>
  <c r="M2013" i="1" s="1"/>
  <c r="M2014" i="1" s="1"/>
  <c r="M2015" i="1" s="1"/>
  <c r="M2016" i="1" s="1"/>
  <c r="M2017" i="1" s="1"/>
  <c r="M2018" i="1" s="1"/>
  <c r="M2019" i="1" s="1"/>
  <c r="M2020" i="1" s="1"/>
  <c r="M2021" i="1" s="1"/>
  <c r="M2022" i="1" s="1"/>
  <c r="M2023" i="1" s="1"/>
  <c r="M2024" i="1" s="1"/>
  <c r="M2025" i="1" s="1"/>
  <c r="M2026" i="1" s="1"/>
  <c r="M2027" i="1" s="1"/>
  <c r="M2028" i="1" s="1"/>
  <c r="M35" i="10"/>
  <c r="M36" i="10" s="1"/>
  <c r="M37" i="10" s="1"/>
  <c r="M38" i="10" s="1"/>
  <c r="M39" i="10" s="1"/>
  <c r="M40" i="10" s="1"/>
  <c r="M41" i="10" s="1"/>
  <c r="M42" i="10" s="1"/>
  <c r="M43" i="10" s="1"/>
  <c r="M44" i="10" s="1"/>
  <c r="M45" i="10" s="1"/>
  <c r="M46" i="10" s="1"/>
  <c r="M47" i="10" s="1"/>
  <c r="M48" i="10" s="1"/>
  <c r="M49" i="10" s="1"/>
  <c r="M50" i="10" s="1"/>
  <c r="M51" i="10" s="1"/>
  <c r="M52" i="10" s="1"/>
  <c r="M53" i="10" s="1"/>
  <c r="M54" i="10" s="1"/>
  <c r="M55" i="10" s="1"/>
  <c r="M56" i="10" s="1"/>
  <c r="M57" i="10" s="1"/>
  <c r="M58" i="10" s="1"/>
  <c r="M59" i="10" s="1"/>
  <c r="M60" i="10" s="1"/>
  <c r="M61" i="10" s="1"/>
  <c r="M62" i="10" s="1"/>
  <c r="M63" i="10" s="1"/>
  <c r="M64" i="10" s="1"/>
  <c r="M65" i="10" s="1"/>
  <c r="M66" i="10" s="1"/>
  <c r="M67" i="10" s="1"/>
  <c r="M68" i="10" s="1"/>
  <c r="M69" i="10" s="1"/>
  <c r="M70" i="10" s="1"/>
  <c r="M71" i="10" s="1"/>
  <c r="M72" i="10" s="1"/>
  <c r="M73" i="10" s="1"/>
  <c r="M74" i="10" s="1"/>
  <c r="M75" i="10" s="1"/>
  <c r="M76" i="10" s="1"/>
  <c r="M77" i="10" s="1"/>
  <c r="M78" i="10" s="1"/>
  <c r="M79" i="10" s="1"/>
  <c r="M80" i="10" s="1"/>
  <c r="M81" i="10" s="1"/>
  <c r="M82" i="10" s="1"/>
  <c r="M83" i="10" s="1"/>
  <c r="M84" i="10" s="1"/>
  <c r="M85" i="10" s="1"/>
  <c r="M86" i="10" s="1"/>
  <c r="M87" i="10" s="1"/>
  <c r="M88" i="10" s="1"/>
  <c r="M89" i="10" s="1"/>
  <c r="M90" i="10" s="1"/>
  <c r="M91" i="10" s="1"/>
  <c r="M92" i="10" s="1"/>
  <c r="M93" i="10" s="1"/>
  <c r="M94" i="10" s="1"/>
  <c r="M95" i="10" s="1"/>
  <c r="M96" i="10" s="1"/>
  <c r="M97" i="10" s="1"/>
  <c r="M98" i="10" s="1"/>
  <c r="M99" i="10" s="1"/>
  <c r="M100" i="10" s="1"/>
  <c r="M101" i="10" s="1"/>
  <c r="M102" i="10" s="1"/>
  <c r="M103" i="10" s="1"/>
  <c r="M104" i="10" s="1"/>
  <c r="M105" i="10" s="1"/>
  <c r="M106" i="10" s="1"/>
  <c r="M107" i="10" s="1"/>
  <c r="M108" i="10" s="1"/>
  <c r="M109" i="10" s="1"/>
  <c r="M110" i="10" s="1"/>
  <c r="M111" i="10" s="1"/>
  <c r="M112" i="10" s="1"/>
  <c r="M113" i="10" s="1"/>
  <c r="M114" i="10" s="1"/>
  <c r="M115" i="10" s="1"/>
  <c r="M116" i="10" s="1"/>
  <c r="M117" i="10" s="1"/>
  <c r="M118" i="10" s="1"/>
  <c r="M119" i="10" s="1"/>
  <c r="M120" i="10" s="1"/>
  <c r="M121" i="10" s="1"/>
  <c r="M122" i="10" s="1"/>
  <c r="M123" i="10" s="1"/>
  <c r="M124" i="10" s="1"/>
  <c r="M125" i="10" s="1"/>
  <c r="M126" i="10" s="1"/>
  <c r="M127" i="10" s="1"/>
  <c r="M128" i="10" s="1"/>
  <c r="M129" i="10" s="1"/>
  <c r="M130" i="10" s="1"/>
  <c r="M131" i="10" s="1"/>
  <c r="M132" i="10" s="1"/>
  <c r="M133" i="10" s="1"/>
  <c r="M134" i="10" s="1"/>
  <c r="M135" i="10" s="1"/>
  <c r="M136" i="10" s="1"/>
  <c r="M137" i="10" s="1"/>
  <c r="M138" i="10" s="1"/>
  <c r="M139" i="10" s="1"/>
  <c r="M140" i="10" s="1"/>
  <c r="M141" i="10" s="1"/>
  <c r="M142" i="10" s="1"/>
  <c r="M143" i="10" s="1"/>
  <c r="M144" i="10" s="1"/>
  <c r="M145" i="10" s="1"/>
  <c r="M146" i="10" s="1"/>
  <c r="M147" i="10" s="1"/>
  <c r="M148" i="10" s="1"/>
  <c r="M149" i="10" s="1"/>
  <c r="M150" i="10" s="1"/>
  <c r="M151" i="10" s="1"/>
  <c r="M152" i="10" s="1"/>
  <c r="M153" i="10" s="1"/>
  <c r="M154" i="10" s="1"/>
  <c r="M155" i="10" s="1"/>
  <c r="M156" i="10" s="1"/>
  <c r="M157" i="10" s="1"/>
  <c r="M158" i="10" s="1"/>
  <c r="M159" i="10" s="1"/>
  <c r="M160" i="10" s="1"/>
  <c r="M161" i="10" s="1"/>
  <c r="M162" i="10" s="1"/>
  <c r="M163" i="10" s="1"/>
  <c r="M164" i="10" s="1"/>
  <c r="M165" i="10" s="1"/>
  <c r="M166" i="10" s="1"/>
  <c r="M167" i="10" s="1"/>
  <c r="M168" i="10" s="1"/>
  <c r="M169" i="10" s="1"/>
  <c r="M170" i="10" s="1"/>
  <c r="M171" i="10" s="1"/>
  <c r="M172" i="10" s="1"/>
  <c r="M173" i="10" s="1"/>
  <c r="M174" i="10" s="1"/>
  <c r="M175" i="10" s="1"/>
  <c r="M176" i="10" s="1"/>
  <c r="M177" i="10" s="1"/>
  <c r="M178" i="10" s="1"/>
  <c r="M179" i="10" s="1"/>
  <c r="M180" i="10" s="1"/>
  <c r="M181" i="10" s="1"/>
  <c r="M182" i="10" s="1"/>
  <c r="M183" i="10" s="1"/>
  <c r="M184" i="10" s="1"/>
  <c r="M185" i="10" s="1"/>
  <c r="M186" i="10" s="1"/>
  <c r="M187" i="10" s="1"/>
  <c r="M188" i="10" s="1"/>
  <c r="M189" i="10" s="1"/>
  <c r="M190" i="10" s="1"/>
  <c r="M191" i="10" s="1"/>
  <c r="M192" i="10" s="1"/>
  <c r="M193" i="10" s="1"/>
  <c r="M194" i="10" s="1"/>
  <c r="M195" i="10" s="1"/>
  <c r="M196" i="10" s="1"/>
  <c r="M197" i="10" s="1"/>
  <c r="M198" i="10" s="1"/>
  <c r="M199" i="10" s="1"/>
  <c r="M200" i="10" s="1"/>
  <c r="M201" i="10" s="1"/>
  <c r="M202" i="10" s="1"/>
  <c r="M203" i="10" s="1"/>
  <c r="M204" i="10" s="1"/>
  <c r="M205" i="10" s="1"/>
  <c r="M206" i="10" s="1"/>
  <c r="M207" i="10" s="1"/>
  <c r="M208" i="10" s="1"/>
  <c r="M209" i="10" s="1"/>
  <c r="M210" i="10" s="1"/>
  <c r="M211" i="10" s="1"/>
  <c r="M212" i="10" s="1"/>
  <c r="M213" i="10" s="1"/>
  <c r="M214" i="10" s="1"/>
  <c r="M215" i="10" s="1"/>
  <c r="M216" i="10" s="1"/>
  <c r="M217" i="10" s="1"/>
  <c r="M218" i="10" s="1"/>
  <c r="M219" i="10" s="1"/>
  <c r="M220" i="10" s="1"/>
  <c r="M221" i="10" s="1"/>
  <c r="M222" i="10" s="1"/>
  <c r="M223" i="10" s="1"/>
  <c r="M224" i="10" s="1"/>
  <c r="M225" i="10" s="1"/>
  <c r="M226" i="10" s="1"/>
  <c r="M227" i="10" s="1"/>
  <c r="M228" i="10" s="1"/>
  <c r="M229" i="10" s="1"/>
  <c r="M230" i="10" s="1"/>
  <c r="M231" i="10" s="1"/>
  <c r="M232" i="10" s="1"/>
  <c r="M233" i="10" s="1"/>
  <c r="M234" i="10" s="1"/>
  <c r="M235" i="10" s="1"/>
  <c r="M236" i="10" s="1"/>
  <c r="M237" i="10" s="1"/>
  <c r="M238" i="10" s="1"/>
  <c r="M239" i="10" s="1"/>
  <c r="M240" i="10" s="1"/>
  <c r="M241" i="10" s="1"/>
  <c r="M242" i="10" s="1"/>
  <c r="M243" i="10" s="1"/>
  <c r="M244" i="10" s="1"/>
  <c r="M245" i="10" s="1"/>
  <c r="M246" i="10" s="1"/>
  <c r="M247" i="10" s="1"/>
  <c r="M248" i="10" s="1"/>
  <c r="M249" i="10" s="1"/>
  <c r="M250" i="10" s="1"/>
  <c r="M251" i="10" s="1"/>
  <c r="M252" i="10" s="1"/>
  <c r="M253" i="10" s="1"/>
  <c r="M254" i="10" s="1"/>
  <c r="M255" i="10" s="1"/>
  <c r="M256" i="10" s="1"/>
  <c r="M257" i="10" s="1"/>
  <c r="M258" i="10" s="1"/>
  <c r="M259" i="10" s="1"/>
  <c r="M260" i="10" s="1"/>
  <c r="M261" i="10" s="1"/>
  <c r="M262" i="10" s="1"/>
  <c r="M263" i="10" s="1"/>
  <c r="M264" i="10" s="1"/>
  <c r="M265" i="10" s="1"/>
  <c r="M266" i="10" s="1"/>
  <c r="M267" i="10" s="1"/>
  <c r="M268" i="10" s="1"/>
  <c r="M269" i="10" s="1"/>
  <c r="M270" i="10" s="1"/>
  <c r="M271" i="10" s="1"/>
  <c r="M272" i="10" s="1"/>
  <c r="M273" i="10" s="1"/>
  <c r="M274" i="10" s="1"/>
  <c r="M275" i="10" s="1"/>
  <c r="M276" i="10" s="1"/>
  <c r="M277" i="10" s="1"/>
  <c r="M278" i="10" s="1"/>
  <c r="M279" i="10" s="1"/>
  <c r="M280" i="10" s="1"/>
  <c r="M281" i="10" s="1"/>
  <c r="M282" i="10" s="1"/>
  <c r="M283" i="10" s="1"/>
  <c r="M284" i="10" s="1"/>
  <c r="M285" i="10" s="1"/>
  <c r="M286" i="10" s="1"/>
  <c r="M287" i="10" s="1"/>
  <c r="M288" i="10" s="1"/>
  <c r="M289" i="10" s="1"/>
  <c r="M290" i="10" s="1"/>
  <c r="M291" i="10" s="1"/>
  <c r="M292" i="10" s="1"/>
  <c r="M293" i="10" s="1"/>
  <c r="M294" i="10" s="1"/>
  <c r="M295" i="10" s="1"/>
  <c r="M296" i="10" s="1"/>
  <c r="M297" i="10" s="1"/>
  <c r="M298" i="10" s="1"/>
  <c r="M299" i="10" s="1"/>
  <c r="M300" i="10" s="1"/>
  <c r="M301" i="10" s="1"/>
  <c r="M302" i="10" s="1"/>
  <c r="M303" i="10" s="1"/>
  <c r="M304" i="10" s="1"/>
  <c r="M305" i="10" s="1"/>
  <c r="M306" i="10" s="1"/>
  <c r="M307" i="10" s="1"/>
  <c r="M308" i="10" s="1"/>
  <c r="M309" i="10" s="1"/>
  <c r="M310" i="10" s="1"/>
  <c r="M311" i="10" s="1"/>
  <c r="M312" i="10" s="1"/>
  <c r="M313" i="10" s="1"/>
  <c r="M314" i="10" s="1"/>
  <c r="M315" i="10" s="1"/>
  <c r="M316" i="10" s="1"/>
  <c r="M317" i="10" s="1"/>
  <c r="M318" i="10" s="1"/>
  <c r="M319" i="10" s="1"/>
  <c r="M320" i="10" s="1"/>
  <c r="M321" i="10" s="1"/>
  <c r="M322" i="10" s="1"/>
  <c r="M323" i="10" s="1"/>
  <c r="M324" i="10" s="1"/>
  <c r="M325" i="10" s="1"/>
  <c r="M326" i="10" s="1"/>
  <c r="M327" i="10" s="1"/>
  <c r="M328" i="10" s="1"/>
  <c r="M329" i="10" s="1"/>
  <c r="M330" i="10" s="1"/>
  <c r="M331" i="10" s="1"/>
  <c r="M332" i="10" s="1"/>
  <c r="M333" i="10" s="1"/>
  <c r="M334" i="10" s="1"/>
  <c r="M335" i="10" s="1"/>
  <c r="M336" i="10" s="1"/>
  <c r="M337" i="10" s="1"/>
  <c r="M338" i="10" s="1"/>
  <c r="M339" i="10" s="1"/>
  <c r="M340" i="10" s="1"/>
  <c r="M341" i="10" s="1"/>
  <c r="M342" i="10" s="1"/>
  <c r="M343" i="10" s="1"/>
  <c r="M344" i="10" s="1"/>
  <c r="M345" i="10" s="1"/>
  <c r="M346" i="10" s="1"/>
  <c r="M347" i="10" s="1"/>
  <c r="M348" i="10" s="1"/>
  <c r="M349" i="10" s="1"/>
  <c r="M350" i="10" s="1"/>
  <c r="M351" i="10" s="1"/>
  <c r="M352" i="10" s="1"/>
  <c r="M353" i="10" s="1"/>
  <c r="M354" i="10" s="1"/>
  <c r="M355" i="10" s="1"/>
  <c r="M356" i="10" s="1"/>
  <c r="M357" i="10" s="1"/>
  <c r="M358" i="10" s="1"/>
  <c r="M359" i="10" s="1"/>
  <c r="M360" i="10" s="1"/>
  <c r="M361" i="10" s="1"/>
  <c r="M362" i="10" s="1"/>
  <c r="M363" i="10" s="1"/>
  <c r="M364" i="10" s="1"/>
  <c r="M365" i="10" s="1"/>
  <c r="M366" i="10" s="1"/>
  <c r="M367" i="10" s="1"/>
  <c r="M368" i="10" s="1"/>
  <c r="M369" i="10" s="1"/>
  <c r="M370" i="10" s="1"/>
  <c r="M371" i="10" s="1"/>
  <c r="M372" i="10" s="1"/>
  <c r="M373" i="10" s="1"/>
  <c r="M374" i="10" s="1"/>
  <c r="M375" i="10" s="1"/>
  <c r="M376" i="10" s="1"/>
  <c r="M377" i="10" s="1"/>
  <c r="M378" i="10" s="1"/>
  <c r="M379" i="10" s="1"/>
  <c r="M380" i="10" s="1"/>
  <c r="M381" i="10" s="1"/>
  <c r="M382" i="10" s="1"/>
  <c r="M383" i="10" s="1"/>
  <c r="M384" i="10" s="1"/>
  <c r="M385" i="10" s="1"/>
  <c r="M386" i="10" s="1"/>
  <c r="M387" i="10" s="1"/>
  <c r="M388" i="10" s="1"/>
  <c r="M389" i="10" s="1"/>
  <c r="M390" i="10" s="1"/>
  <c r="M391" i="10" s="1"/>
  <c r="M392" i="10" s="1"/>
  <c r="M393" i="10" s="1"/>
  <c r="M394" i="10" s="1"/>
  <c r="M395" i="10" s="1"/>
  <c r="M396" i="10" s="1"/>
  <c r="M397" i="10" s="1"/>
  <c r="M398" i="10" s="1"/>
  <c r="M399" i="10" s="1"/>
  <c r="M400" i="10" s="1"/>
  <c r="M401" i="10" s="1"/>
  <c r="M402" i="10" s="1"/>
  <c r="M403" i="10" s="1"/>
  <c r="M404" i="10" s="1"/>
  <c r="M405" i="10" s="1"/>
  <c r="M406" i="10" s="1"/>
  <c r="M407" i="10" s="1"/>
  <c r="M408" i="10" s="1"/>
  <c r="M409" i="10" s="1"/>
  <c r="M410" i="10" s="1"/>
  <c r="M411" i="10" s="1"/>
  <c r="M412" i="10" s="1"/>
  <c r="M413" i="10" s="1"/>
  <c r="M414" i="10" s="1"/>
  <c r="M415" i="10" s="1"/>
  <c r="M416" i="10" s="1"/>
  <c r="M417" i="10" s="1"/>
  <c r="M418" i="10" s="1"/>
  <c r="M419" i="10" s="1"/>
  <c r="M420" i="10" s="1"/>
  <c r="M421" i="10" s="1"/>
  <c r="M422" i="10" s="1"/>
  <c r="M423" i="10" s="1"/>
  <c r="M424" i="10" s="1"/>
  <c r="M425" i="10" s="1"/>
  <c r="M426" i="10" s="1"/>
  <c r="M427" i="10" s="1"/>
  <c r="M428" i="10" s="1"/>
  <c r="M429" i="10" s="1"/>
  <c r="M430" i="10" s="1"/>
  <c r="M431" i="10" s="1"/>
  <c r="M432" i="10" s="1"/>
  <c r="M433" i="10" s="1"/>
  <c r="M434" i="10" s="1"/>
  <c r="M435" i="10" s="1"/>
  <c r="M436" i="10" s="1"/>
  <c r="M437" i="10" s="1"/>
  <c r="M438" i="10" s="1"/>
  <c r="M439" i="10" s="1"/>
  <c r="M440" i="10" s="1"/>
  <c r="M441" i="10" s="1"/>
  <c r="M442" i="10" s="1"/>
  <c r="M443" i="10" s="1"/>
  <c r="M444" i="10" s="1"/>
  <c r="M445" i="10" s="1"/>
  <c r="M446" i="10" s="1"/>
  <c r="M447" i="10" s="1"/>
  <c r="M448" i="10" s="1"/>
  <c r="M449" i="10" s="1"/>
  <c r="M450" i="10" s="1"/>
  <c r="M451" i="10" s="1"/>
  <c r="M452" i="10" s="1"/>
  <c r="M453" i="10" s="1"/>
  <c r="M454" i="10" s="1"/>
  <c r="M455" i="10" s="1"/>
  <c r="M456" i="10" s="1"/>
  <c r="M457" i="10" s="1"/>
  <c r="M458" i="10" s="1"/>
  <c r="M459" i="10" s="1"/>
  <c r="M460" i="10" s="1"/>
  <c r="M461" i="10" s="1"/>
  <c r="M462" i="10" s="1"/>
  <c r="M463" i="10" s="1"/>
  <c r="M464" i="10" s="1"/>
  <c r="M465" i="10" s="1"/>
  <c r="M466" i="10" s="1"/>
  <c r="M467" i="10" s="1"/>
  <c r="M468" i="10" s="1"/>
  <c r="M469" i="10" s="1"/>
  <c r="M470" i="10" s="1"/>
  <c r="M471" i="10" s="1"/>
  <c r="M472" i="10" s="1"/>
  <c r="M473" i="10" s="1"/>
  <c r="M474" i="10" s="1"/>
  <c r="M475" i="10" s="1"/>
  <c r="M476" i="10" s="1"/>
  <c r="M477" i="10" s="1"/>
  <c r="M478" i="10" s="1"/>
  <c r="M479" i="10" s="1"/>
  <c r="M480" i="10" s="1"/>
  <c r="M481" i="10" s="1"/>
  <c r="M482" i="10" s="1"/>
  <c r="M483" i="10" s="1"/>
  <c r="M484" i="10" s="1"/>
  <c r="M485" i="10" s="1"/>
  <c r="M486" i="10" s="1"/>
  <c r="M487" i="10" s="1"/>
  <c r="M488" i="10" s="1"/>
  <c r="M489" i="10" s="1"/>
  <c r="M490" i="10" s="1"/>
  <c r="M491" i="10" s="1"/>
  <c r="M492" i="10" s="1"/>
  <c r="M493" i="10" s="1"/>
  <c r="M494" i="10" s="1"/>
  <c r="M495" i="10" s="1"/>
  <c r="M496" i="10" s="1"/>
  <c r="M497" i="10" s="1"/>
  <c r="M498" i="10" s="1"/>
  <c r="M499" i="10" s="1"/>
  <c r="M500" i="10" s="1"/>
  <c r="M501" i="10" s="1"/>
  <c r="M502" i="10" s="1"/>
  <c r="M503" i="10" s="1"/>
  <c r="M504" i="10" s="1"/>
  <c r="M505" i="10" s="1"/>
  <c r="M506" i="10" s="1"/>
  <c r="M507" i="10" s="1"/>
  <c r="M508" i="10" s="1"/>
  <c r="M509" i="10" s="1"/>
  <c r="M510" i="10" s="1"/>
  <c r="M511" i="10" s="1"/>
  <c r="M512" i="10" s="1"/>
  <c r="M513" i="10" s="1"/>
  <c r="M514" i="10" s="1"/>
  <c r="M515" i="10" s="1"/>
  <c r="M516" i="10" s="1"/>
  <c r="M517" i="10" s="1"/>
  <c r="M518" i="10" s="1"/>
  <c r="M519" i="10" s="1"/>
  <c r="M520" i="10" s="1"/>
  <c r="M521" i="10" s="1"/>
  <c r="M522" i="10" s="1"/>
  <c r="M523" i="10" s="1"/>
  <c r="M524" i="10" s="1"/>
  <c r="M525" i="10" s="1"/>
  <c r="M526" i="10" s="1"/>
  <c r="M527" i="10" s="1"/>
  <c r="M528" i="10" s="1"/>
  <c r="M529" i="10" s="1"/>
  <c r="M530" i="10" s="1"/>
  <c r="M531" i="10" s="1"/>
  <c r="M532" i="10" s="1"/>
  <c r="M533" i="10" s="1"/>
  <c r="M534" i="10" s="1"/>
  <c r="M535" i="10" s="1"/>
  <c r="M536" i="10" s="1"/>
  <c r="M537" i="10" s="1"/>
  <c r="M538" i="10" s="1"/>
  <c r="M539" i="10" s="1"/>
  <c r="M540" i="10" s="1"/>
  <c r="M541" i="10" s="1"/>
  <c r="M542" i="10" s="1"/>
  <c r="M543" i="10" s="1"/>
  <c r="M544" i="10" s="1"/>
  <c r="M545" i="10" s="1"/>
  <c r="M546" i="10" s="1"/>
  <c r="M547" i="10" s="1"/>
  <c r="M548" i="10" s="1"/>
  <c r="M549" i="10" s="1"/>
  <c r="M550" i="10" s="1"/>
  <c r="M551" i="10" s="1"/>
  <c r="M552" i="10" s="1"/>
  <c r="M553" i="10" s="1"/>
  <c r="M554" i="10" s="1"/>
  <c r="M555" i="10" s="1"/>
  <c r="M556" i="10" s="1"/>
  <c r="M557" i="10" s="1"/>
  <c r="M558" i="10" s="1"/>
  <c r="M559" i="10" s="1"/>
  <c r="M560" i="10" s="1"/>
  <c r="M561" i="10" s="1"/>
  <c r="M562" i="10" s="1"/>
  <c r="M563" i="10" s="1"/>
  <c r="M564" i="10" s="1"/>
  <c r="M565" i="10" s="1"/>
  <c r="M566" i="10" s="1"/>
  <c r="M567" i="10" s="1"/>
  <c r="M568" i="10" s="1"/>
  <c r="M569" i="10" s="1"/>
  <c r="M570" i="10" s="1"/>
  <c r="M571" i="10" s="1"/>
  <c r="M572" i="10" s="1"/>
  <c r="M573" i="10" s="1"/>
  <c r="M574" i="10" s="1"/>
  <c r="M575" i="10" s="1"/>
  <c r="M576" i="10" s="1"/>
  <c r="M577" i="10" s="1"/>
  <c r="M578" i="10" s="1"/>
  <c r="M579" i="10" s="1"/>
  <c r="M580" i="10" s="1"/>
  <c r="M581" i="10" s="1"/>
  <c r="M582" i="10" s="1"/>
  <c r="M583" i="10" s="1"/>
  <c r="M584" i="10" s="1"/>
  <c r="M585" i="10" s="1"/>
  <c r="M586" i="10" s="1"/>
  <c r="M587" i="10" s="1"/>
  <c r="M588" i="10" s="1"/>
  <c r="M589" i="10" s="1"/>
  <c r="M590" i="10" s="1"/>
  <c r="M591" i="10" s="1"/>
  <c r="M592" i="10" s="1"/>
  <c r="M593" i="10" s="1"/>
  <c r="M594" i="10" s="1"/>
  <c r="M595" i="10" s="1"/>
  <c r="M596" i="10" s="1"/>
  <c r="M597" i="10" s="1"/>
  <c r="M598" i="10" s="1"/>
  <c r="M599" i="10" s="1"/>
  <c r="M600" i="10" s="1"/>
  <c r="M601" i="10" s="1"/>
  <c r="M602" i="10" s="1"/>
  <c r="M603" i="10" s="1"/>
  <c r="M604" i="10" s="1"/>
  <c r="M605" i="10" s="1"/>
  <c r="M606" i="10" s="1"/>
  <c r="M607" i="10" s="1"/>
  <c r="M608" i="10" s="1"/>
  <c r="M609" i="10" s="1"/>
  <c r="M610" i="10" s="1"/>
  <c r="M611" i="10" s="1"/>
  <c r="M612" i="10" s="1"/>
  <c r="M613" i="10" s="1"/>
  <c r="M614" i="10" s="1"/>
  <c r="M615" i="10" s="1"/>
  <c r="M616" i="10" s="1"/>
  <c r="M617" i="10" s="1"/>
  <c r="M618" i="10" s="1"/>
  <c r="M619" i="10" s="1"/>
  <c r="M620" i="10" s="1"/>
  <c r="M621" i="10" s="1"/>
  <c r="M622" i="10" s="1"/>
  <c r="M623" i="10" s="1"/>
  <c r="M624" i="10" s="1"/>
  <c r="M625" i="10" s="1"/>
  <c r="M626" i="10" s="1"/>
  <c r="M627" i="10" s="1"/>
  <c r="M628" i="10" s="1"/>
  <c r="M629" i="10" s="1"/>
  <c r="M630" i="10" s="1"/>
  <c r="M631" i="10" s="1"/>
  <c r="M632" i="10" s="1"/>
  <c r="M633" i="10" s="1"/>
  <c r="M634" i="10" s="1"/>
  <c r="M635" i="10" s="1"/>
  <c r="M636" i="10" s="1"/>
  <c r="M637" i="10" s="1"/>
  <c r="M638" i="10" s="1"/>
  <c r="M639" i="10" s="1"/>
  <c r="M640" i="10" s="1"/>
  <c r="M641" i="10" s="1"/>
  <c r="M642" i="10" s="1"/>
  <c r="M643" i="10" s="1"/>
  <c r="M644" i="10" s="1"/>
  <c r="M645" i="10" s="1"/>
  <c r="M646" i="10" s="1"/>
  <c r="M647" i="10" s="1"/>
  <c r="M648" i="10" s="1"/>
  <c r="M649" i="10" s="1"/>
  <c r="M650" i="10" s="1"/>
  <c r="M651" i="10" s="1"/>
  <c r="M652" i="10" s="1"/>
  <c r="M653" i="10" s="1"/>
  <c r="M654" i="10" s="1"/>
  <c r="M655" i="10" s="1"/>
  <c r="M656" i="10" s="1"/>
  <c r="M657" i="10" s="1"/>
  <c r="M658" i="10" s="1"/>
  <c r="M659" i="10" s="1"/>
  <c r="M660" i="10" s="1"/>
  <c r="M661" i="10" s="1"/>
  <c r="M662" i="10" s="1"/>
  <c r="M663" i="10" s="1"/>
  <c r="M664" i="10" s="1"/>
  <c r="M665" i="10" s="1"/>
  <c r="M666" i="10" s="1"/>
  <c r="M667" i="10" s="1"/>
  <c r="M668" i="10" s="1"/>
  <c r="M669" i="10" s="1"/>
  <c r="M670" i="10" s="1"/>
  <c r="M671" i="10" s="1"/>
  <c r="M672" i="10" s="1"/>
  <c r="M673" i="10" s="1"/>
  <c r="M674" i="10" s="1"/>
  <c r="M675" i="10" s="1"/>
  <c r="M676" i="10" s="1"/>
  <c r="M677" i="10" s="1"/>
  <c r="M678" i="10" s="1"/>
  <c r="M679" i="10" s="1"/>
  <c r="M680" i="10" s="1"/>
  <c r="M681" i="10" s="1"/>
  <c r="M682" i="10" s="1"/>
  <c r="M683" i="10" s="1"/>
  <c r="M684" i="10" s="1"/>
  <c r="M685" i="10" s="1"/>
  <c r="M686" i="10" s="1"/>
  <c r="M687" i="10" s="1"/>
  <c r="M688" i="10" s="1"/>
  <c r="M689" i="10" s="1"/>
  <c r="M690" i="10" s="1"/>
  <c r="M691" i="10" s="1"/>
  <c r="M692" i="10" s="1"/>
  <c r="M693" i="10" s="1"/>
  <c r="M694" i="10" s="1"/>
  <c r="M695" i="10" s="1"/>
  <c r="M696" i="10" s="1"/>
  <c r="M697" i="10" s="1"/>
  <c r="M698" i="10" s="1"/>
  <c r="M699" i="10" s="1"/>
  <c r="M700" i="10" s="1"/>
  <c r="M701" i="10" s="1"/>
  <c r="M702" i="10" s="1"/>
  <c r="M703" i="10" s="1"/>
  <c r="M704" i="10" s="1"/>
  <c r="M705" i="10" s="1"/>
  <c r="M706" i="10" s="1"/>
  <c r="M707" i="10" s="1"/>
  <c r="M708" i="10" s="1"/>
  <c r="M709" i="10" s="1"/>
  <c r="M710" i="10" s="1"/>
  <c r="M711" i="10" s="1"/>
  <c r="M712" i="10" s="1"/>
  <c r="M713" i="10" s="1"/>
  <c r="M714" i="10" s="1"/>
  <c r="M715" i="10" s="1"/>
  <c r="M716" i="10" s="1"/>
  <c r="M717" i="10" s="1"/>
  <c r="M718" i="10" s="1"/>
  <c r="M719" i="10" s="1"/>
  <c r="M720" i="10" s="1"/>
  <c r="M721" i="10" s="1"/>
  <c r="M722" i="10" s="1"/>
  <c r="M723" i="10" s="1"/>
  <c r="M724" i="10" s="1"/>
  <c r="M725" i="10" s="1"/>
  <c r="M726" i="10" s="1"/>
  <c r="M727" i="10" s="1"/>
  <c r="M728" i="10" s="1"/>
  <c r="M729" i="10" s="1"/>
  <c r="M730" i="10" s="1"/>
  <c r="M731" i="10" s="1"/>
  <c r="M732" i="10" s="1"/>
  <c r="M733" i="10" s="1"/>
  <c r="M734" i="10" s="1"/>
  <c r="M735" i="10" s="1"/>
  <c r="M736" i="10" s="1"/>
  <c r="M737" i="10" s="1"/>
  <c r="M738" i="10" s="1"/>
  <c r="M739" i="10" s="1"/>
  <c r="M740" i="10" s="1"/>
  <c r="M741" i="10" s="1"/>
  <c r="M742" i="10" s="1"/>
  <c r="M743" i="10" s="1"/>
  <c r="M744" i="10" s="1"/>
  <c r="M745" i="10" s="1"/>
  <c r="M746" i="10" s="1"/>
  <c r="M747" i="10" s="1"/>
  <c r="M748" i="10" s="1"/>
  <c r="M749" i="10" s="1"/>
  <c r="M750" i="10" s="1"/>
  <c r="M751" i="10" s="1"/>
  <c r="M752" i="10" s="1"/>
  <c r="M753" i="10" s="1"/>
  <c r="M754" i="10" s="1"/>
  <c r="M755" i="10" s="1"/>
  <c r="M756" i="10" s="1"/>
  <c r="M757" i="10" s="1"/>
  <c r="M758" i="10" s="1"/>
  <c r="M759" i="10" s="1"/>
  <c r="M760" i="10" s="1"/>
  <c r="M761" i="10" s="1"/>
  <c r="M762" i="10" s="1"/>
  <c r="M763" i="10" s="1"/>
  <c r="M764" i="10" s="1"/>
  <c r="M765" i="10" s="1"/>
  <c r="M766" i="10" s="1"/>
  <c r="M767" i="10" s="1"/>
  <c r="M768" i="10" s="1"/>
  <c r="M769" i="10" s="1"/>
  <c r="M770" i="10" s="1"/>
  <c r="M771" i="10" s="1"/>
  <c r="M772" i="10" s="1"/>
  <c r="M773" i="10" s="1"/>
  <c r="M774" i="10" s="1"/>
  <c r="M775" i="10" s="1"/>
  <c r="M776" i="10" s="1"/>
  <c r="M777" i="10" s="1"/>
  <c r="M778" i="10" s="1"/>
  <c r="M779" i="10" s="1"/>
  <c r="M780" i="10" s="1"/>
  <c r="M781" i="10" s="1"/>
  <c r="M782" i="10" s="1"/>
  <c r="M783" i="10" s="1"/>
  <c r="M784" i="10" s="1"/>
  <c r="M785" i="10" s="1"/>
  <c r="M786" i="10" s="1"/>
  <c r="M787" i="10" s="1"/>
  <c r="M788" i="10" s="1"/>
  <c r="M789" i="10" s="1"/>
  <c r="M790" i="10" s="1"/>
  <c r="M791" i="10" s="1"/>
  <c r="M792" i="10" s="1"/>
  <c r="M793" i="10" s="1"/>
  <c r="M794" i="10" s="1"/>
  <c r="M795" i="10" s="1"/>
  <c r="M796" i="10" s="1"/>
  <c r="M797" i="10" s="1"/>
  <c r="M798" i="10" s="1"/>
  <c r="M799" i="10" s="1"/>
  <c r="M800" i="10" s="1"/>
  <c r="M801" i="10" s="1"/>
  <c r="M802" i="10" s="1"/>
  <c r="M803" i="10" s="1"/>
  <c r="M804" i="10" s="1"/>
  <c r="M805" i="10" s="1"/>
  <c r="M806" i="10" s="1"/>
  <c r="M807" i="10" s="1"/>
  <c r="M808" i="10" s="1"/>
  <c r="M809" i="10" s="1"/>
  <c r="M810" i="10" s="1"/>
  <c r="M811" i="10" s="1"/>
  <c r="M812" i="10" s="1"/>
  <c r="M813" i="10" s="1"/>
  <c r="M814" i="10" s="1"/>
  <c r="M815" i="10" s="1"/>
  <c r="M816" i="10" s="1"/>
  <c r="M817" i="10" s="1"/>
  <c r="M818" i="10" s="1"/>
  <c r="M819" i="10" s="1"/>
  <c r="M820" i="10" s="1"/>
  <c r="M821" i="10" s="1"/>
  <c r="M822" i="10" s="1"/>
  <c r="M823" i="10" s="1"/>
  <c r="M824" i="10" s="1"/>
  <c r="M825" i="10" s="1"/>
  <c r="M826" i="10" s="1"/>
  <c r="M827" i="10" s="1"/>
  <c r="M828" i="10" s="1"/>
  <c r="M829" i="10" s="1"/>
  <c r="M830" i="10" s="1"/>
  <c r="M831" i="10" s="1"/>
  <c r="M832" i="10" s="1"/>
  <c r="M833" i="10" s="1"/>
  <c r="M834" i="10" s="1"/>
  <c r="M835" i="10" s="1"/>
  <c r="M836" i="10" s="1"/>
  <c r="M837" i="10" s="1"/>
  <c r="M838" i="10" s="1"/>
  <c r="M839" i="10" s="1"/>
  <c r="M840" i="10" s="1"/>
  <c r="M841" i="10" s="1"/>
  <c r="M842" i="10" s="1"/>
  <c r="M843" i="10" s="1"/>
  <c r="M844" i="10" s="1"/>
  <c r="M845" i="10" s="1"/>
  <c r="M846" i="10" s="1"/>
  <c r="M847" i="10" s="1"/>
  <c r="M848" i="10" s="1"/>
  <c r="M849" i="10" s="1"/>
  <c r="M850" i="10" s="1"/>
  <c r="M851" i="10" s="1"/>
  <c r="M852" i="10" s="1"/>
  <c r="M853" i="10" s="1"/>
  <c r="M854" i="10" s="1"/>
  <c r="M855" i="10" s="1"/>
  <c r="M856" i="10" s="1"/>
  <c r="M857" i="10" s="1"/>
  <c r="M858" i="10" s="1"/>
  <c r="M859" i="10" s="1"/>
  <c r="M860" i="10" s="1"/>
  <c r="M861" i="10" s="1"/>
  <c r="M862" i="10" s="1"/>
  <c r="M863" i="10" s="1"/>
  <c r="M864" i="10" s="1"/>
  <c r="M865" i="10" s="1"/>
  <c r="M866" i="10" s="1"/>
  <c r="M867" i="10" s="1"/>
  <c r="M868" i="10" s="1"/>
  <c r="M869" i="10" s="1"/>
  <c r="M870" i="10" s="1"/>
  <c r="M871" i="10" s="1"/>
  <c r="M872" i="10" s="1"/>
  <c r="M873" i="10" s="1"/>
  <c r="M874" i="10" s="1"/>
  <c r="M875" i="10" s="1"/>
  <c r="M876" i="10" s="1"/>
  <c r="M877" i="10" s="1"/>
  <c r="M878" i="10" s="1"/>
  <c r="M879" i="10" s="1"/>
  <c r="M880" i="10" s="1"/>
  <c r="M881" i="10" s="1"/>
  <c r="M882" i="10" s="1"/>
  <c r="M883" i="10" s="1"/>
  <c r="M884" i="10" s="1"/>
  <c r="M885" i="10" s="1"/>
  <c r="M886" i="10" s="1"/>
  <c r="M887" i="10" s="1"/>
  <c r="M888" i="10" s="1"/>
  <c r="M889" i="10" s="1"/>
  <c r="M890" i="10" s="1"/>
  <c r="M891" i="10" s="1"/>
  <c r="M892" i="10" s="1"/>
  <c r="M893" i="10" s="1"/>
  <c r="M894" i="10" s="1"/>
  <c r="M895" i="10" s="1"/>
  <c r="M896" i="10" s="1"/>
  <c r="M897" i="10" s="1"/>
  <c r="M898" i="10" s="1"/>
  <c r="M899" i="10" s="1"/>
  <c r="M900" i="10" s="1"/>
  <c r="M901" i="10" s="1"/>
  <c r="M902" i="10" s="1"/>
  <c r="M903" i="10" s="1"/>
  <c r="M904" i="10" s="1"/>
  <c r="M905" i="10" s="1"/>
  <c r="M906" i="10" s="1"/>
  <c r="M907" i="10" s="1"/>
  <c r="M908" i="10" s="1"/>
  <c r="M909" i="10" s="1"/>
  <c r="M910" i="10" s="1"/>
  <c r="M911" i="10" s="1"/>
  <c r="M912" i="10" s="1"/>
  <c r="M913" i="10" s="1"/>
  <c r="M914" i="10" s="1"/>
  <c r="M915" i="10" s="1"/>
  <c r="M916" i="10" s="1"/>
  <c r="M917" i="10" s="1"/>
  <c r="M918" i="10" s="1"/>
  <c r="M919" i="10" s="1"/>
  <c r="M920" i="10" s="1"/>
  <c r="M921" i="10" s="1"/>
  <c r="M922" i="10" s="1"/>
  <c r="M923" i="10" s="1"/>
  <c r="M924" i="10" s="1"/>
  <c r="M925" i="10" s="1"/>
  <c r="M926" i="10" s="1"/>
  <c r="M927" i="10" s="1"/>
  <c r="M928" i="10" s="1"/>
  <c r="M929" i="10" s="1"/>
  <c r="M930" i="10" s="1"/>
  <c r="M931" i="10" s="1"/>
  <c r="M932" i="10" s="1"/>
  <c r="M933" i="10" s="1"/>
  <c r="M934" i="10" s="1"/>
  <c r="M935" i="10" s="1"/>
  <c r="M936" i="10" s="1"/>
  <c r="M937" i="10" s="1"/>
  <c r="M938" i="10" s="1"/>
  <c r="M939" i="10" s="1"/>
  <c r="M940" i="10" s="1"/>
  <c r="M941" i="10" s="1"/>
  <c r="M942" i="10" s="1"/>
  <c r="M943" i="10" s="1"/>
  <c r="M944" i="10" s="1"/>
  <c r="M945" i="10" s="1"/>
  <c r="M946" i="10" s="1"/>
  <c r="M947" i="10" s="1"/>
  <c r="M948" i="10" s="1"/>
  <c r="M949" i="10" s="1"/>
  <c r="M950" i="10" s="1"/>
  <c r="M951" i="10" s="1"/>
  <c r="M952" i="10" s="1"/>
  <c r="M953" i="10" s="1"/>
  <c r="M954" i="10" s="1"/>
  <c r="M955" i="10" s="1"/>
  <c r="M956" i="10" s="1"/>
  <c r="M957" i="10" s="1"/>
  <c r="M958" i="10" s="1"/>
  <c r="M959" i="10" s="1"/>
  <c r="M960" i="10" s="1"/>
  <c r="M961" i="10" s="1"/>
  <c r="M962" i="10" s="1"/>
  <c r="M963" i="10" s="1"/>
  <c r="M964" i="10" s="1"/>
  <c r="M965" i="10" s="1"/>
  <c r="M966" i="10" s="1"/>
  <c r="M967" i="10" s="1"/>
  <c r="M968" i="10" s="1"/>
  <c r="M969" i="10" s="1"/>
  <c r="M970" i="10" s="1"/>
  <c r="M971" i="10" s="1"/>
  <c r="M972" i="10" s="1"/>
  <c r="M973" i="10" s="1"/>
  <c r="M974" i="10" s="1"/>
  <c r="M975" i="10" s="1"/>
  <c r="M976" i="10" s="1"/>
  <c r="M977" i="10" s="1"/>
  <c r="M978" i="10" s="1"/>
  <c r="M979" i="10" s="1"/>
  <c r="M980" i="10" s="1"/>
  <c r="M981" i="10" s="1"/>
  <c r="M982" i="10" s="1"/>
  <c r="M983" i="10" s="1"/>
  <c r="M984" i="10" s="1"/>
  <c r="M985" i="10" s="1"/>
  <c r="M986" i="10" s="1"/>
  <c r="M987" i="10" s="1"/>
  <c r="M988" i="10" s="1"/>
  <c r="M989" i="10" s="1"/>
  <c r="M990" i="10" s="1"/>
  <c r="M991" i="10" s="1"/>
  <c r="M992" i="10" s="1"/>
  <c r="M993" i="10" s="1"/>
  <c r="M994" i="10" s="1"/>
  <c r="M995" i="10" s="1"/>
  <c r="M996" i="10" s="1"/>
  <c r="M997" i="10" s="1"/>
  <c r="M998" i="10" s="1"/>
  <c r="M999" i="10" s="1"/>
  <c r="M1000" i="10" s="1"/>
  <c r="M1001" i="10" s="1"/>
  <c r="M1002" i="10" s="1"/>
  <c r="M1003" i="10" s="1"/>
  <c r="M1004" i="10" s="1"/>
  <c r="M1005" i="10" s="1"/>
  <c r="M1006" i="10" s="1"/>
  <c r="M1007" i="10" s="1"/>
  <c r="M1008" i="10" s="1"/>
  <c r="M1009" i="10" s="1"/>
  <c r="M1010" i="10" s="1"/>
  <c r="M1011" i="10" s="1"/>
  <c r="M1012" i="10" s="1"/>
  <c r="M1013" i="10" s="1"/>
  <c r="M1014" i="10" s="1"/>
  <c r="M1015" i="10" s="1"/>
  <c r="M1016" i="10" s="1"/>
  <c r="M1017" i="10" s="1"/>
  <c r="M1018" i="10" s="1"/>
  <c r="M1019" i="10" s="1"/>
  <c r="M1020" i="10" s="1"/>
  <c r="M1021" i="10" s="1"/>
  <c r="M1022" i="10" s="1"/>
  <c r="M1023" i="10" s="1"/>
  <c r="M1024" i="10" s="1"/>
  <c r="M1025" i="10" s="1"/>
  <c r="M1026" i="10" s="1"/>
  <c r="M1027" i="10" s="1"/>
  <c r="M1028" i="10" s="1"/>
  <c r="M1029" i="10" s="1"/>
  <c r="M1030" i="10" s="1"/>
  <c r="M1031" i="10" s="1"/>
  <c r="M1032" i="10" s="1"/>
  <c r="M1033" i="10" s="1"/>
  <c r="M1034" i="10" s="1"/>
  <c r="M1035" i="10" s="1"/>
  <c r="M1036" i="10" s="1"/>
  <c r="M1037" i="10" s="1"/>
  <c r="M1038" i="10" s="1"/>
  <c r="M1039" i="10" s="1"/>
  <c r="M1040" i="10" s="1"/>
  <c r="M1041" i="10" s="1"/>
  <c r="M1042" i="10" s="1"/>
  <c r="M1043" i="10" s="1"/>
  <c r="M1044" i="10" s="1"/>
  <c r="M1045" i="10" s="1"/>
  <c r="M1046" i="10" s="1"/>
  <c r="M1047" i="10" s="1"/>
  <c r="M1048" i="10" s="1"/>
  <c r="M1049" i="10" s="1"/>
  <c r="M1050" i="10" s="1"/>
  <c r="M1051" i="10" s="1"/>
  <c r="M1052" i="10" s="1"/>
  <c r="M1053" i="10" s="1"/>
  <c r="M1054" i="10" s="1"/>
  <c r="M1055" i="10" s="1"/>
  <c r="M1056" i="10" s="1"/>
  <c r="M1057" i="10" s="1"/>
  <c r="M1058" i="10" s="1"/>
  <c r="M1059" i="10" s="1"/>
  <c r="M1060" i="10" s="1"/>
  <c r="M1061" i="10" s="1"/>
  <c r="M1062" i="10" s="1"/>
  <c r="M1063" i="10" s="1"/>
  <c r="M1064" i="10" s="1"/>
  <c r="M1065" i="10" s="1"/>
  <c r="M1066" i="10" s="1"/>
  <c r="M1067" i="10" s="1"/>
  <c r="M1068" i="10" s="1"/>
  <c r="M1069" i="10" s="1"/>
  <c r="M1070" i="10" s="1"/>
  <c r="M1071" i="10" s="1"/>
  <c r="M1072" i="10" s="1"/>
  <c r="M1073" i="10" s="1"/>
  <c r="M1074" i="10" s="1"/>
  <c r="M1075" i="10" s="1"/>
  <c r="M1076" i="10" s="1"/>
  <c r="M1077" i="10" s="1"/>
  <c r="M1078" i="10" s="1"/>
  <c r="M1079" i="10" s="1"/>
  <c r="M1080" i="10" s="1"/>
  <c r="M1081" i="10" s="1"/>
  <c r="M1082" i="10" s="1"/>
  <c r="M1083" i="10" s="1"/>
  <c r="M1084" i="10" s="1"/>
  <c r="M1085" i="10" s="1"/>
  <c r="M1086" i="10" s="1"/>
  <c r="M1087" i="10" s="1"/>
  <c r="M1088" i="10" s="1"/>
  <c r="M1089" i="10" s="1"/>
  <c r="M1090" i="10" s="1"/>
  <c r="M1091" i="10" s="1"/>
  <c r="M1092" i="10" s="1"/>
  <c r="M1093" i="10" s="1"/>
  <c r="M1094" i="10" s="1"/>
  <c r="M1095" i="10" s="1"/>
  <c r="M1096" i="10" s="1"/>
  <c r="M1097" i="10" s="1"/>
  <c r="M1098" i="10" s="1"/>
  <c r="M1099" i="10" s="1"/>
  <c r="M1100" i="10" s="1"/>
  <c r="M1101" i="10" s="1"/>
  <c r="M1102" i="10" s="1"/>
  <c r="M1103" i="10" s="1"/>
  <c r="M1104" i="10" s="1"/>
  <c r="M1105" i="10" s="1"/>
  <c r="M1106" i="10" s="1"/>
  <c r="M1107" i="10" s="1"/>
  <c r="M1108" i="10" s="1"/>
  <c r="M1109" i="10" s="1"/>
  <c r="M1110" i="10" s="1"/>
  <c r="M1111" i="10" s="1"/>
  <c r="M1112" i="10" s="1"/>
  <c r="M1113" i="10" s="1"/>
  <c r="M1114" i="10" s="1"/>
  <c r="M1115" i="10" s="1"/>
  <c r="M1116" i="10" s="1"/>
  <c r="M1117" i="10" s="1"/>
  <c r="M1118" i="10" s="1"/>
  <c r="M1119" i="10" s="1"/>
  <c r="M1120" i="10" s="1"/>
  <c r="M1121" i="10" s="1"/>
  <c r="M1122" i="10" s="1"/>
  <c r="M1123" i="10" s="1"/>
  <c r="M1124" i="10" s="1"/>
  <c r="M1125" i="10" s="1"/>
  <c r="M1126" i="10" s="1"/>
  <c r="M1127" i="10" s="1"/>
  <c r="M1128" i="10" s="1"/>
  <c r="M1129" i="10" s="1"/>
  <c r="M1130" i="10" s="1"/>
  <c r="M1131" i="10" s="1"/>
  <c r="M1132" i="10" s="1"/>
  <c r="M1133" i="10" s="1"/>
  <c r="M1134" i="10" s="1"/>
  <c r="M1135" i="10" s="1"/>
  <c r="M1136" i="10" s="1"/>
  <c r="M1137" i="10" s="1"/>
  <c r="M1138" i="10" s="1"/>
  <c r="M1139" i="10" s="1"/>
  <c r="M1140" i="10" s="1"/>
  <c r="M1141" i="10" s="1"/>
  <c r="M1142" i="10" s="1"/>
  <c r="M1143" i="10" s="1"/>
  <c r="M1144" i="10" s="1"/>
  <c r="M1145" i="10" s="1"/>
  <c r="M1146" i="10" s="1"/>
  <c r="M1147" i="10" s="1"/>
  <c r="M1148" i="10" s="1"/>
  <c r="M1149" i="10" s="1"/>
  <c r="M1150" i="10" s="1"/>
  <c r="M1151" i="10" s="1"/>
  <c r="M1152" i="10" s="1"/>
  <c r="M1153" i="10" s="1"/>
  <c r="M1154" i="10" s="1"/>
  <c r="M1155" i="10" s="1"/>
  <c r="M1156" i="10" s="1"/>
  <c r="M1157" i="10" s="1"/>
  <c r="M1158" i="10" s="1"/>
  <c r="M1159" i="10" s="1"/>
  <c r="M1160" i="10" s="1"/>
  <c r="M1161" i="10" s="1"/>
  <c r="M1162" i="10" s="1"/>
  <c r="M1163" i="10" s="1"/>
  <c r="M1164" i="10" s="1"/>
  <c r="M1165" i="10" s="1"/>
  <c r="M1166" i="10" s="1"/>
  <c r="M1167" i="10" s="1"/>
  <c r="M1168" i="10" s="1"/>
  <c r="M1169" i="10" s="1"/>
  <c r="M1170" i="10" s="1"/>
  <c r="M1171" i="10" s="1"/>
  <c r="M1172" i="10" s="1"/>
  <c r="M1173" i="10" s="1"/>
  <c r="M1174" i="10" s="1"/>
  <c r="M1175" i="10" s="1"/>
  <c r="M1176" i="10" s="1"/>
  <c r="M1177" i="10" s="1"/>
  <c r="M1178" i="10" s="1"/>
  <c r="M1179" i="10" s="1"/>
  <c r="M1180" i="10" s="1"/>
  <c r="M1181" i="10" s="1"/>
  <c r="M1182" i="10" s="1"/>
  <c r="M1183" i="10" s="1"/>
  <c r="M1184" i="10" s="1"/>
  <c r="M1185" i="10" s="1"/>
  <c r="M1186" i="10" s="1"/>
  <c r="M1187" i="10" s="1"/>
  <c r="M1188" i="10" s="1"/>
  <c r="M1189" i="10" s="1"/>
  <c r="M1190" i="10" s="1"/>
  <c r="M1191" i="10" s="1"/>
  <c r="M1192" i="10" s="1"/>
  <c r="M1193" i="10" s="1"/>
  <c r="M1194" i="10" s="1"/>
  <c r="M1195" i="10" s="1"/>
  <c r="M1196" i="10" s="1"/>
  <c r="M1197" i="10" s="1"/>
  <c r="M1198" i="10" s="1"/>
  <c r="M1199" i="10" s="1"/>
  <c r="M1200" i="10" s="1"/>
  <c r="M1201" i="10" s="1"/>
  <c r="M1202" i="10" s="1"/>
  <c r="M1203" i="10" s="1"/>
  <c r="M1204" i="10" s="1"/>
  <c r="M1205" i="10" s="1"/>
  <c r="M1206" i="10" s="1"/>
  <c r="M1207" i="10" s="1"/>
  <c r="M1208" i="10" s="1"/>
  <c r="M1209" i="10" s="1"/>
  <c r="M1210" i="10" s="1"/>
  <c r="M1211" i="10" s="1"/>
  <c r="M1212" i="10" s="1"/>
  <c r="M1213" i="10" s="1"/>
  <c r="M1214" i="10" s="1"/>
  <c r="M1215" i="10" s="1"/>
  <c r="M1216" i="10" s="1"/>
  <c r="M1217" i="10" s="1"/>
  <c r="M1218" i="10" s="1"/>
  <c r="M1219" i="10" s="1"/>
  <c r="M1220" i="10" s="1"/>
  <c r="M1221" i="10" s="1"/>
  <c r="M1222" i="10" s="1"/>
  <c r="M1223" i="10" s="1"/>
  <c r="M1224" i="10" s="1"/>
  <c r="M1225" i="10" s="1"/>
  <c r="M1226" i="10" s="1"/>
  <c r="M1227" i="10" s="1"/>
  <c r="M1228" i="10" s="1"/>
  <c r="M1229" i="10" s="1"/>
  <c r="M1230" i="10" s="1"/>
  <c r="M1231" i="10" s="1"/>
  <c r="M1232" i="10" s="1"/>
  <c r="M1233" i="10" s="1"/>
  <c r="M1234" i="10" s="1"/>
  <c r="M1235" i="10" s="1"/>
  <c r="M1236" i="10" s="1"/>
  <c r="M1237" i="10" s="1"/>
  <c r="M1238" i="10" s="1"/>
  <c r="M1239" i="10" s="1"/>
  <c r="M1240" i="10" s="1"/>
  <c r="M1241" i="10" s="1"/>
  <c r="M1242" i="10" s="1"/>
  <c r="M1243" i="10" s="1"/>
  <c r="M1244" i="10" s="1"/>
  <c r="M1245" i="10" s="1"/>
  <c r="M1246" i="10" s="1"/>
  <c r="M1247" i="10" s="1"/>
  <c r="M1248" i="10" s="1"/>
  <c r="M1249" i="10" s="1"/>
  <c r="M1250" i="10" s="1"/>
  <c r="M1251" i="10" s="1"/>
  <c r="M1252" i="10" s="1"/>
  <c r="M1253" i="10" s="1"/>
  <c r="M1254" i="10" s="1"/>
  <c r="M1255" i="10" s="1"/>
  <c r="M1256" i="10" s="1"/>
  <c r="M1257" i="10" s="1"/>
  <c r="M1258" i="10" s="1"/>
  <c r="M1259" i="10" s="1"/>
  <c r="M1260" i="10" s="1"/>
  <c r="M1261" i="10" s="1"/>
  <c r="M1262" i="10" s="1"/>
  <c r="M1263" i="10" s="1"/>
  <c r="M1264" i="10" s="1"/>
  <c r="M1265" i="10" s="1"/>
  <c r="M1266" i="10" s="1"/>
  <c r="M1267" i="10" s="1"/>
  <c r="M1268" i="10" s="1"/>
  <c r="M1269" i="10" s="1"/>
  <c r="M1270" i="10" s="1"/>
  <c r="M1271" i="10" s="1"/>
  <c r="M1272" i="10" s="1"/>
  <c r="M1273" i="10" s="1"/>
  <c r="M1274" i="10" s="1"/>
  <c r="M1275" i="10" s="1"/>
  <c r="M1276" i="10" s="1"/>
  <c r="M1277" i="10" s="1"/>
  <c r="M1278" i="10" s="1"/>
  <c r="M1279" i="10" s="1"/>
  <c r="M1280" i="10" s="1"/>
  <c r="M1281" i="10" s="1"/>
  <c r="M1282" i="10" s="1"/>
  <c r="M1283" i="10" s="1"/>
  <c r="M1284" i="10" s="1"/>
  <c r="M1285" i="10" s="1"/>
  <c r="M1286" i="10" s="1"/>
  <c r="M1287" i="10" s="1"/>
  <c r="M1288" i="10" s="1"/>
  <c r="M1289" i="10" s="1"/>
  <c r="M1290" i="10" s="1"/>
  <c r="M1291" i="10" s="1"/>
  <c r="M1292" i="10" s="1"/>
  <c r="M1293" i="10" s="1"/>
  <c r="M1294" i="10" s="1"/>
  <c r="M1295" i="10" s="1"/>
  <c r="M1296" i="10" s="1"/>
  <c r="M1297" i="10" s="1"/>
  <c r="M1298" i="10" s="1"/>
  <c r="M1299" i="10" s="1"/>
  <c r="M1300" i="10" s="1"/>
  <c r="M1301" i="10" s="1"/>
  <c r="M1302" i="10" s="1"/>
  <c r="M1303" i="10" s="1"/>
  <c r="M1304" i="10" s="1"/>
  <c r="M1305" i="10" s="1"/>
  <c r="M1306" i="10" s="1"/>
  <c r="M1307" i="10" s="1"/>
  <c r="M1308" i="10" s="1"/>
  <c r="M1309" i="10" s="1"/>
  <c r="M1310" i="10" s="1"/>
  <c r="M1311" i="10" s="1"/>
  <c r="M1312" i="10" s="1"/>
  <c r="M1313" i="10" s="1"/>
  <c r="M1314" i="10" s="1"/>
  <c r="M1315" i="10" s="1"/>
  <c r="M1316" i="10" s="1"/>
  <c r="M1317" i="10" s="1"/>
  <c r="M1318" i="10" s="1"/>
  <c r="M1319" i="10" s="1"/>
  <c r="M1320" i="10" s="1"/>
  <c r="M1321" i="10" s="1"/>
  <c r="M1322" i="10" s="1"/>
  <c r="M1323" i="10" s="1"/>
  <c r="M1324" i="10" s="1"/>
  <c r="M1325" i="10" s="1"/>
  <c r="M1326" i="10" s="1"/>
  <c r="M1327" i="10" s="1"/>
  <c r="M1328" i="10" s="1"/>
  <c r="M1329" i="10" s="1"/>
  <c r="M1330" i="10" s="1"/>
  <c r="M1331" i="10" s="1"/>
  <c r="M1332" i="10" s="1"/>
  <c r="M1333" i="10" s="1"/>
  <c r="M1334" i="10" s="1"/>
  <c r="M1335" i="10" s="1"/>
  <c r="M1336" i="10" s="1"/>
  <c r="M1337" i="10" s="1"/>
  <c r="M1338" i="10" s="1"/>
  <c r="M1339" i="10" s="1"/>
  <c r="M1340" i="10" s="1"/>
  <c r="M1341" i="10" s="1"/>
  <c r="M1342" i="10" s="1"/>
  <c r="M1343" i="10" s="1"/>
  <c r="M1344" i="10" s="1"/>
  <c r="M1345" i="10" s="1"/>
  <c r="M1346" i="10" s="1"/>
  <c r="M1347" i="10" s="1"/>
  <c r="M1348" i="10" s="1"/>
  <c r="M1349" i="10" s="1"/>
  <c r="M1350" i="10" s="1"/>
  <c r="M1351" i="10" s="1"/>
  <c r="M1352" i="10" s="1"/>
  <c r="M1353" i="10" s="1"/>
  <c r="M1354" i="10" s="1"/>
  <c r="M1355" i="10" s="1"/>
  <c r="M1356" i="10" s="1"/>
  <c r="M1357" i="10" s="1"/>
  <c r="M1358" i="10" s="1"/>
  <c r="M1359" i="10" s="1"/>
  <c r="M1360" i="10" s="1"/>
  <c r="M1361" i="10" s="1"/>
  <c r="M1362" i="10" s="1"/>
  <c r="M1363" i="10" s="1"/>
  <c r="M1364" i="10" s="1"/>
  <c r="M1365" i="10" s="1"/>
  <c r="M1366" i="10" s="1"/>
  <c r="M1367" i="10" s="1"/>
  <c r="M1368" i="10" s="1"/>
  <c r="M1369" i="10" s="1"/>
  <c r="M1370" i="10" s="1"/>
  <c r="M1371" i="10" s="1"/>
  <c r="M1372" i="10" s="1"/>
  <c r="M1373" i="10" s="1"/>
  <c r="M1374" i="10" s="1"/>
  <c r="M1375" i="10" s="1"/>
  <c r="M1376" i="10" s="1"/>
  <c r="M1377" i="10" s="1"/>
  <c r="M1378" i="10" s="1"/>
  <c r="M1379" i="10" s="1"/>
  <c r="M1380" i="10" s="1"/>
  <c r="M1381" i="10" s="1"/>
  <c r="M1382" i="10" s="1"/>
  <c r="M1383" i="10" s="1"/>
  <c r="M1384" i="10" s="1"/>
  <c r="M1385" i="10" s="1"/>
  <c r="M1386" i="10" s="1"/>
  <c r="M1387" i="10" s="1"/>
  <c r="M1388" i="10" s="1"/>
  <c r="M1389" i="10" s="1"/>
  <c r="M1390" i="10" s="1"/>
  <c r="M1391" i="10" s="1"/>
  <c r="M1392" i="10" s="1"/>
  <c r="M1393" i="10" s="1"/>
  <c r="M1394" i="10" s="1"/>
  <c r="M1395" i="10" s="1"/>
  <c r="M1396" i="10" s="1"/>
  <c r="M1397" i="10" s="1"/>
  <c r="M1398" i="10" s="1"/>
  <c r="M1399" i="10" s="1"/>
  <c r="M1400" i="10" s="1"/>
  <c r="M1401" i="10" s="1"/>
  <c r="M1402" i="10" s="1"/>
  <c r="M1403" i="10" s="1"/>
  <c r="M1404" i="10" s="1"/>
  <c r="M1405" i="10" s="1"/>
  <c r="M1406" i="10" s="1"/>
  <c r="M1407" i="10" s="1"/>
  <c r="M1408" i="10" s="1"/>
  <c r="M1409" i="10" s="1"/>
  <c r="M1410" i="10" s="1"/>
  <c r="M1411" i="10" s="1"/>
  <c r="M1412" i="10" s="1"/>
  <c r="M1413" i="10" s="1"/>
  <c r="M1414" i="10" s="1"/>
  <c r="M1415" i="10" s="1"/>
  <c r="M1416" i="10" s="1"/>
  <c r="M1417" i="10" s="1"/>
  <c r="M1418" i="10" s="1"/>
  <c r="M1419" i="10" s="1"/>
  <c r="M1420" i="10" s="1"/>
  <c r="M1421" i="10" s="1"/>
  <c r="M1422" i="10" s="1"/>
  <c r="M1423" i="10" s="1"/>
  <c r="M1424" i="10" s="1"/>
  <c r="M1425" i="10" s="1"/>
  <c r="M1426" i="10" s="1"/>
  <c r="M1427" i="10" s="1"/>
  <c r="M1428" i="10" s="1"/>
  <c r="M1429" i="10" s="1"/>
  <c r="M1430" i="10" s="1"/>
  <c r="M1431" i="10" s="1"/>
  <c r="M1432" i="10" s="1"/>
  <c r="M1433" i="10" s="1"/>
  <c r="M1434" i="10" s="1"/>
  <c r="M1435" i="10" s="1"/>
  <c r="M1436" i="10" s="1"/>
  <c r="M1437" i="10" s="1"/>
  <c r="M1438" i="10" s="1"/>
  <c r="M1439" i="10" s="1"/>
  <c r="M1440" i="10" s="1"/>
  <c r="M1441" i="10" s="1"/>
  <c r="M1442" i="10" s="1"/>
  <c r="M1443" i="10" s="1"/>
  <c r="M1444" i="10" s="1"/>
  <c r="M1445" i="10" s="1"/>
  <c r="M1446" i="10" s="1"/>
  <c r="M1447" i="10" s="1"/>
  <c r="M1448" i="10" s="1"/>
  <c r="M1449" i="10" s="1"/>
  <c r="M1450" i="10" s="1"/>
  <c r="M1451" i="10" s="1"/>
  <c r="M1452" i="10" s="1"/>
  <c r="M1453" i="10" s="1"/>
  <c r="M1454" i="10" s="1"/>
  <c r="M1455" i="10" s="1"/>
  <c r="M1456" i="10" s="1"/>
  <c r="M1457" i="10" s="1"/>
  <c r="M1458" i="10" s="1"/>
  <c r="M1459" i="10" s="1"/>
  <c r="M1460" i="10" s="1"/>
  <c r="M1461" i="10" s="1"/>
  <c r="M1462" i="10" s="1"/>
  <c r="M1463" i="10" s="1"/>
  <c r="M1464" i="10" s="1"/>
  <c r="M1465" i="10" s="1"/>
  <c r="M1466" i="10" s="1"/>
  <c r="M1467" i="10" s="1"/>
  <c r="M1468" i="10" s="1"/>
  <c r="M1469" i="10" s="1"/>
  <c r="M1470" i="10" s="1"/>
  <c r="M1471" i="10" s="1"/>
  <c r="M1472" i="10" s="1"/>
  <c r="M1473" i="10" s="1"/>
  <c r="M1474" i="10" s="1"/>
  <c r="M1475" i="10" s="1"/>
  <c r="M1476" i="10" s="1"/>
  <c r="M1477" i="10" s="1"/>
  <c r="M1478" i="10" s="1"/>
  <c r="M1479" i="10" s="1"/>
  <c r="M1480" i="10" s="1"/>
  <c r="M1481" i="10" s="1"/>
  <c r="M1482" i="10" s="1"/>
  <c r="M1483" i="10" s="1"/>
  <c r="M1484" i="10" s="1"/>
  <c r="M1485" i="10" s="1"/>
  <c r="M1486" i="10" s="1"/>
  <c r="M1487" i="10" s="1"/>
  <c r="M1488" i="10" s="1"/>
  <c r="M1489" i="10" s="1"/>
  <c r="M1490" i="10" s="1"/>
  <c r="M1491" i="10" s="1"/>
  <c r="M1492" i="10" s="1"/>
  <c r="M1493" i="10" s="1"/>
  <c r="M1494" i="10" s="1"/>
  <c r="M1495" i="10" s="1"/>
  <c r="M1496" i="10" s="1"/>
  <c r="M1497" i="10" s="1"/>
  <c r="M1498" i="10" s="1"/>
  <c r="M1499" i="10" s="1"/>
  <c r="M1500" i="10" s="1"/>
  <c r="M1501" i="10" s="1"/>
  <c r="M1502" i="10" s="1"/>
  <c r="M1503" i="10" s="1"/>
  <c r="M1504" i="10" s="1"/>
  <c r="M1505" i="10" s="1"/>
  <c r="M1506" i="10" s="1"/>
  <c r="M1507" i="10" s="1"/>
  <c r="M1508" i="10" s="1"/>
  <c r="M1509" i="10" s="1"/>
  <c r="M1510" i="10" s="1"/>
  <c r="M1511" i="10" s="1"/>
  <c r="M1512" i="10" s="1"/>
  <c r="M1513" i="10" s="1"/>
  <c r="M1514" i="10" s="1"/>
  <c r="M1515" i="10" s="1"/>
  <c r="M1516" i="10" s="1"/>
  <c r="M1517" i="10" s="1"/>
  <c r="M1518" i="10" s="1"/>
  <c r="M1519" i="10" s="1"/>
  <c r="M1520" i="10" s="1"/>
  <c r="M1521" i="10" s="1"/>
  <c r="M1522" i="10" s="1"/>
  <c r="M1523" i="10" s="1"/>
  <c r="M1524" i="10" s="1"/>
  <c r="M1525" i="10" s="1"/>
  <c r="M1526" i="10" s="1"/>
  <c r="M1527" i="10" s="1"/>
  <c r="M1528" i="10" s="1"/>
  <c r="M1529" i="10" s="1"/>
  <c r="M1530" i="10" s="1"/>
  <c r="M1531" i="10" s="1"/>
  <c r="M1532" i="10" s="1"/>
  <c r="M1533" i="10" s="1"/>
  <c r="M1534" i="10" s="1"/>
  <c r="M1535" i="10" s="1"/>
  <c r="M1536" i="10" s="1"/>
  <c r="M1537" i="10" s="1"/>
  <c r="M1538" i="10" s="1"/>
  <c r="M1539" i="10" s="1"/>
  <c r="M1540" i="10" s="1"/>
  <c r="M1541" i="10" s="1"/>
  <c r="M1542" i="10" s="1"/>
  <c r="M1543" i="10" s="1"/>
  <c r="M1544" i="10" s="1"/>
  <c r="M1545" i="10" s="1"/>
  <c r="M1546" i="10" s="1"/>
  <c r="M1547" i="10" s="1"/>
  <c r="M1548" i="10" s="1"/>
  <c r="M1549" i="10" s="1"/>
  <c r="M1550" i="10" s="1"/>
  <c r="M1551" i="10" s="1"/>
  <c r="M1552" i="10" s="1"/>
  <c r="M1553" i="10" s="1"/>
  <c r="M1554" i="10" s="1"/>
  <c r="M1555" i="10" s="1"/>
  <c r="M1556" i="10" s="1"/>
  <c r="M1557" i="10" s="1"/>
  <c r="M1558" i="10" s="1"/>
  <c r="M1559" i="10" s="1"/>
  <c r="M1560" i="10" s="1"/>
  <c r="M1561" i="10" s="1"/>
  <c r="M1562" i="10" s="1"/>
  <c r="M1563" i="10" s="1"/>
  <c r="M1564" i="10" s="1"/>
  <c r="M1565" i="10" s="1"/>
  <c r="M1566" i="10" s="1"/>
  <c r="M1567" i="10" s="1"/>
  <c r="M1568" i="10" s="1"/>
  <c r="M1569" i="10" s="1"/>
  <c r="M1570" i="10" s="1"/>
  <c r="M1571" i="10" s="1"/>
  <c r="M1572" i="10" s="1"/>
  <c r="M1573" i="10" s="1"/>
  <c r="M1574" i="10" s="1"/>
  <c r="M1575" i="10" s="1"/>
  <c r="M1576" i="10" s="1"/>
  <c r="M1577" i="10" s="1"/>
  <c r="M1578" i="10" s="1"/>
  <c r="M1579" i="10" s="1"/>
  <c r="M1580" i="10" s="1"/>
  <c r="M1581" i="10" s="1"/>
  <c r="M1582" i="10" s="1"/>
  <c r="M1583" i="10" s="1"/>
  <c r="M1584" i="10" s="1"/>
  <c r="M1585" i="10" s="1"/>
  <c r="M1586" i="10" s="1"/>
  <c r="M1587" i="10" s="1"/>
  <c r="M1588" i="10" s="1"/>
  <c r="M1589" i="10" s="1"/>
  <c r="M1590" i="10" s="1"/>
  <c r="M1591" i="10" s="1"/>
  <c r="M1592" i="10" s="1"/>
  <c r="M1593" i="10" s="1"/>
  <c r="M1594" i="10" s="1"/>
  <c r="M1595" i="10" s="1"/>
  <c r="M1596" i="10" s="1"/>
  <c r="M1597" i="10" s="1"/>
  <c r="M1598" i="10" s="1"/>
  <c r="M1599" i="10" s="1"/>
  <c r="M1600" i="10" s="1"/>
  <c r="M1601" i="10" s="1"/>
  <c r="M1602" i="10" s="1"/>
  <c r="M1603" i="10" s="1"/>
  <c r="M1604" i="10" s="1"/>
  <c r="M1605" i="10" s="1"/>
  <c r="M1606" i="10" s="1"/>
  <c r="M1607" i="10" s="1"/>
  <c r="M1608" i="10" s="1"/>
  <c r="M1609" i="10" s="1"/>
  <c r="M1610" i="10" s="1"/>
  <c r="M1611" i="10" s="1"/>
  <c r="M1612" i="10" s="1"/>
  <c r="M1613" i="10" s="1"/>
  <c r="M1614" i="10" s="1"/>
  <c r="M1615" i="10" s="1"/>
  <c r="M1616" i="10" s="1"/>
  <c r="M1617" i="10" s="1"/>
  <c r="M1618" i="10" s="1"/>
  <c r="M1619" i="10" s="1"/>
  <c r="M1620" i="10" s="1"/>
  <c r="M1621" i="10" s="1"/>
  <c r="M1622" i="10" s="1"/>
  <c r="M1623" i="10" s="1"/>
  <c r="M1624" i="10" s="1"/>
  <c r="M1625" i="10" s="1"/>
  <c r="M1626" i="10" s="1"/>
  <c r="M1627" i="10" s="1"/>
  <c r="M1628" i="10" s="1"/>
  <c r="M1629" i="10" s="1"/>
  <c r="M1630" i="10" s="1"/>
  <c r="M1631" i="10" s="1"/>
  <c r="M1632" i="10" s="1"/>
  <c r="M1633" i="10" s="1"/>
  <c r="M1634" i="10" s="1"/>
  <c r="M1635" i="10" s="1"/>
  <c r="M1636" i="10" s="1"/>
  <c r="M1637" i="10" s="1"/>
  <c r="M1638" i="10" s="1"/>
  <c r="M1639" i="10" s="1"/>
  <c r="M1640" i="10" s="1"/>
  <c r="M1641" i="10" s="1"/>
  <c r="M1642" i="10" s="1"/>
  <c r="M1643" i="10" s="1"/>
  <c r="M1644" i="10" s="1"/>
  <c r="M1645" i="10" s="1"/>
  <c r="M1646" i="10" s="1"/>
  <c r="M1647" i="10" s="1"/>
  <c r="M1648" i="10" s="1"/>
  <c r="M1649" i="10" s="1"/>
  <c r="M1650" i="10" s="1"/>
  <c r="M1651" i="10" s="1"/>
  <c r="M1652" i="10" s="1"/>
  <c r="M1653" i="10" s="1"/>
  <c r="M1654" i="10" s="1"/>
  <c r="M1655" i="10" s="1"/>
  <c r="M1656" i="10" s="1"/>
  <c r="M1657" i="10" s="1"/>
  <c r="M1658" i="10" s="1"/>
  <c r="M1659" i="10" s="1"/>
  <c r="M1660" i="10" s="1"/>
  <c r="M1661" i="10" s="1"/>
  <c r="M1662" i="10" s="1"/>
  <c r="M1663" i="10" s="1"/>
  <c r="M1664" i="10" s="1"/>
  <c r="M1665" i="10" s="1"/>
  <c r="M1666" i="10" s="1"/>
  <c r="M1667" i="10" s="1"/>
  <c r="M1668" i="10" s="1"/>
  <c r="M1669" i="10" s="1"/>
  <c r="M1670" i="10" s="1"/>
  <c r="M1671" i="10" s="1"/>
  <c r="M1672" i="10" s="1"/>
  <c r="M1673" i="10" s="1"/>
  <c r="M1674" i="10" s="1"/>
  <c r="M1675" i="10" s="1"/>
  <c r="M1676" i="10" s="1"/>
  <c r="M1677" i="10" s="1"/>
  <c r="M1678" i="10" s="1"/>
  <c r="M1679" i="10" s="1"/>
  <c r="M1680" i="10" s="1"/>
  <c r="M1681" i="10" s="1"/>
  <c r="M1682" i="10" s="1"/>
  <c r="M1683" i="10" s="1"/>
  <c r="M1684" i="10" s="1"/>
  <c r="M1685" i="10" s="1"/>
  <c r="M1686" i="10" s="1"/>
  <c r="M1687" i="10" s="1"/>
  <c r="M1688" i="10" s="1"/>
  <c r="M1689" i="10" s="1"/>
  <c r="M1690" i="10" s="1"/>
  <c r="M1691" i="10" s="1"/>
  <c r="M1692" i="10" s="1"/>
  <c r="M1693" i="10" s="1"/>
  <c r="M1694" i="10" s="1"/>
  <c r="M1695" i="10" s="1"/>
  <c r="M1696" i="10" s="1"/>
  <c r="M1697" i="10" s="1"/>
  <c r="M1698" i="10" s="1"/>
  <c r="M1699" i="10" s="1"/>
  <c r="M1700" i="10" s="1"/>
  <c r="M1701" i="10" s="1"/>
  <c r="M1702" i="10" s="1"/>
  <c r="M1703" i="10" s="1"/>
  <c r="M1704" i="10" s="1"/>
  <c r="M1705" i="10" s="1"/>
  <c r="M1706" i="10" s="1"/>
  <c r="M1707" i="10" s="1"/>
  <c r="M1708" i="10" s="1"/>
  <c r="M1709" i="10" s="1"/>
  <c r="M1710" i="10" s="1"/>
  <c r="M1711" i="10" s="1"/>
  <c r="M1712" i="10" s="1"/>
  <c r="M1713" i="10" s="1"/>
  <c r="M1714" i="10" s="1"/>
  <c r="M1715" i="10" s="1"/>
  <c r="M1716" i="10" s="1"/>
  <c r="M1717" i="10" s="1"/>
  <c r="M1718" i="10" s="1"/>
  <c r="M1719" i="10" s="1"/>
  <c r="M1720" i="10" s="1"/>
  <c r="M1721" i="10" s="1"/>
  <c r="M1722" i="10" s="1"/>
  <c r="M1723" i="10" s="1"/>
  <c r="M1724" i="10" s="1"/>
  <c r="M1725" i="10" s="1"/>
  <c r="M1726" i="10" s="1"/>
  <c r="M1727" i="10" s="1"/>
  <c r="M1728" i="10" s="1"/>
  <c r="M1729" i="10" s="1"/>
  <c r="M1730" i="10" s="1"/>
  <c r="M1731" i="10" s="1"/>
  <c r="M1732" i="10" s="1"/>
  <c r="M1733" i="10" s="1"/>
  <c r="M1734" i="10" s="1"/>
  <c r="M1735" i="10" s="1"/>
  <c r="M1736" i="10" s="1"/>
  <c r="M1737" i="10" s="1"/>
  <c r="M1738" i="10" s="1"/>
  <c r="M1739" i="10" s="1"/>
  <c r="M1740" i="10" s="1"/>
  <c r="M1741" i="10" s="1"/>
  <c r="M1742" i="10" s="1"/>
  <c r="M1743" i="10" s="1"/>
  <c r="M1744" i="10" s="1"/>
  <c r="M1745" i="10" s="1"/>
  <c r="M1746" i="10" s="1"/>
  <c r="M1747" i="10" s="1"/>
  <c r="M1748" i="10" s="1"/>
  <c r="M1749" i="10" s="1"/>
  <c r="M1750" i="10" s="1"/>
  <c r="M1751" i="10" s="1"/>
  <c r="M1752" i="10" s="1"/>
  <c r="M1753" i="10" s="1"/>
  <c r="M1754" i="10" s="1"/>
  <c r="M1755" i="10" s="1"/>
  <c r="M1756" i="10" s="1"/>
  <c r="M1757" i="10" s="1"/>
  <c r="M1758" i="10" s="1"/>
  <c r="M1759" i="10" s="1"/>
  <c r="M1760" i="10" s="1"/>
  <c r="M1761" i="10" s="1"/>
  <c r="M1762" i="10" s="1"/>
  <c r="M1763" i="10" s="1"/>
  <c r="M1764" i="10" s="1"/>
  <c r="M1765" i="10" s="1"/>
  <c r="M1766" i="10" s="1"/>
  <c r="M1767" i="10" s="1"/>
  <c r="M1768" i="10" s="1"/>
  <c r="M1769" i="10" s="1"/>
  <c r="M1770" i="10" s="1"/>
  <c r="M1771" i="10" s="1"/>
  <c r="M1772" i="10" s="1"/>
  <c r="M1773" i="10" s="1"/>
  <c r="M1774" i="10" s="1"/>
  <c r="M1775" i="10" s="1"/>
  <c r="M1776" i="10" s="1"/>
  <c r="M1777" i="10" s="1"/>
  <c r="M1778" i="10" s="1"/>
  <c r="M1779" i="10" s="1"/>
  <c r="M1780" i="10" s="1"/>
  <c r="M1781" i="10" s="1"/>
  <c r="M1782" i="10" s="1"/>
  <c r="M1783" i="10" s="1"/>
  <c r="M1784" i="10" s="1"/>
  <c r="M1785" i="10" s="1"/>
  <c r="M1786" i="10" s="1"/>
  <c r="M1787" i="10" s="1"/>
  <c r="M1788" i="10" s="1"/>
  <c r="M1789" i="10" s="1"/>
  <c r="M1790" i="10" s="1"/>
  <c r="M1791" i="10" s="1"/>
  <c r="M1792" i="10" s="1"/>
  <c r="M1793" i="10" s="1"/>
  <c r="M1794" i="10" s="1"/>
  <c r="M1795" i="10" s="1"/>
  <c r="M1796" i="10" s="1"/>
  <c r="M1797" i="10" s="1"/>
  <c r="M1798" i="10" s="1"/>
  <c r="M1799" i="10" s="1"/>
  <c r="M1800" i="10" s="1"/>
  <c r="M1801" i="10" s="1"/>
  <c r="M1802" i="10" s="1"/>
  <c r="M1803" i="10" s="1"/>
  <c r="M1804" i="10" s="1"/>
  <c r="M1805" i="10" s="1"/>
  <c r="M1806" i="10" s="1"/>
  <c r="M1807" i="10" s="1"/>
  <c r="M1808" i="10" s="1"/>
  <c r="M1809" i="10" s="1"/>
  <c r="M1810" i="10" s="1"/>
  <c r="M1811" i="10" s="1"/>
  <c r="M1812" i="10" s="1"/>
  <c r="M1813" i="10" s="1"/>
  <c r="M1814" i="10" s="1"/>
  <c r="M1815" i="10" s="1"/>
  <c r="M1816" i="10" s="1"/>
  <c r="M1817" i="10" s="1"/>
  <c r="M1818" i="10" s="1"/>
  <c r="M1819" i="10" s="1"/>
  <c r="M1820" i="10" s="1"/>
  <c r="M1821" i="10" s="1"/>
  <c r="M1822" i="10" s="1"/>
  <c r="M1823" i="10" s="1"/>
  <c r="M1824" i="10" s="1"/>
  <c r="M1825" i="10" s="1"/>
  <c r="M1826" i="10" s="1"/>
  <c r="M1827" i="10" s="1"/>
  <c r="M1828" i="10" s="1"/>
  <c r="M1829" i="10" s="1"/>
  <c r="M1830" i="10" s="1"/>
  <c r="M1831" i="10" s="1"/>
  <c r="M1832" i="10" s="1"/>
  <c r="M1833" i="10" s="1"/>
  <c r="M1834" i="10" s="1"/>
  <c r="M1835" i="10" s="1"/>
  <c r="M1836" i="10" s="1"/>
  <c r="M1837" i="10" s="1"/>
  <c r="M1838" i="10" s="1"/>
  <c r="M1839" i="10" s="1"/>
  <c r="M1840" i="10" s="1"/>
  <c r="M1841" i="10" s="1"/>
  <c r="M1842" i="10" s="1"/>
  <c r="M1843" i="10" s="1"/>
  <c r="M1844" i="10" s="1"/>
  <c r="M1845" i="10" s="1"/>
  <c r="M1846" i="10" s="1"/>
  <c r="M1847" i="10" s="1"/>
  <c r="M1848" i="10" s="1"/>
  <c r="M1849" i="10" s="1"/>
  <c r="M1850" i="10" s="1"/>
  <c r="M1851" i="10" s="1"/>
  <c r="M1852" i="10" s="1"/>
  <c r="M1853" i="10" s="1"/>
  <c r="M1854" i="10" s="1"/>
  <c r="M1855" i="10" s="1"/>
  <c r="M1856" i="10" s="1"/>
  <c r="M1857" i="10" s="1"/>
  <c r="M1858" i="10" s="1"/>
  <c r="M1859" i="10" s="1"/>
  <c r="M1860" i="10" s="1"/>
  <c r="M1861" i="10" s="1"/>
  <c r="M1862" i="10" s="1"/>
  <c r="M1863" i="10" s="1"/>
  <c r="M1864" i="10" s="1"/>
  <c r="M1865" i="10" s="1"/>
  <c r="M1866" i="10" s="1"/>
  <c r="M1867" i="10" s="1"/>
  <c r="M1868" i="10" s="1"/>
  <c r="M1869" i="10" s="1"/>
  <c r="M1870" i="10" s="1"/>
  <c r="M1871" i="10" s="1"/>
  <c r="M1872" i="10" s="1"/>
  <c r="M1873" i="10" s="1"/>
  <c r="M1874" i="10" s="1"/>
  <c r="M1875" i="10" s="1"/>
  <c r="M1876" i="10" s="1"/>
  <c r="M1877" i="10" s="1"/>
  <c r="M1878" i="10" s="1"/>
  <c r="M1879" i="10" s="1"/>
  <c r="M1880" i="10" s="1"/>
  <c r="M1881" i="10" s="1"/>
  <c r="M1882" i="10" s="1"/>
  <c r="M1883" i="10" s="1"/>
  <c r="M1884" i="10" s="1"/>
  <c r="M1885" i="10" s="1"/>
  <c r="M1886" i="10" s="1"/>
  <c r="M1887" i="10" s="1"/>
  <c r="M1888" i="10" s="1"/>
  <c r="M1889" i="10" s="1"/>
  <c r="M1890" i="10" s="1"/>
  <c r="M1891" i="10" s="1"/>
  <c r="M1892" i="10" s="1"/>
  <c r="M1893" i="10" s="1"/>
  <c r="M1894" i="10" s="1"/>
  <c r="M1895" i="10" s="1"/>
  <c r="M1896" i="10" s="1"/>
  <c r="M1897" i="10" s="1"/>
  <c r="M1898" i="10" s="1"/>
  <c r="M1899" i="10" s="1"/>
  <c r="M1900" i="10" s="1"/>
  <c r="M1901" i="10" s="1"/>
  <c r="M1902" i="10" s="1"/>
  <c r="M1903" i="10" s="1"/>
  <c r="M1904" i="10" s="1"/>
  <c r="M1905" i="10" s="1"/>
  <c r="M1906" i="10" s="1"/>
  <c r="M1907" i="10" s="1"/>
  <c r="M1908" i="10" s="1"/>
  <c r="M1909" i="10" s="1"/>
  <c r="M1910" i="10" s="1"/>
  <c r="M1911" i="10" s="1"/>
  <c r="M1912" i="10" s="1"/>
  <c r="M1913" i="10" s="1"/>
  <c r="M1914" i="10" s="1"/>
  <c r="M1915" i="10" s="1"/>
  <c r="M1916" i="10" s="1"/>
  <c r="M1917" i="10" s="1"/>
  <c r="M1918" i="10" s="1"/>
  <c r="M1919" i="10" s="1"/>
  <c r="M1920" i="10" s="1"/>
  <c r="M1921" i="10" s="1"/>
  <c r="M1922" i="10" s="1"/>
  <c r="M1923" i="10" s="1"/>
  <c r="M1924" i="10" s="1"/>
  <c r="M1925" i="10" s="1"/>
  <c r="M1926" i="10" s="1"/>
  <c r="M1927" i="10" s="1"/>
  <c r="M1928" i="10" s="1"/>
  <c r="M1929" i="10" s="1"/>
  <c r="M1930" i="10" s="1"/>
  <c r="M1931" i="10" s="1"/>
  <c r="M1932" i="10" s="1"/>
  <c r="M1933" i="10" s="1"/>
  <c r="M1934" i="10" s="1"/>
  <c r="M1935" i="10" s="1"/>
  <c r="M1936" i="10" s="1"/>
  <c r="M1937" i="10" s="1"/>
  <c r="M1938" i="10" s="1"/>
  <c r="M1939" i="10" s="1"/>
  <c r="M1940" i="10" s="1"/>
  <c r="M1941" i="10" s="1"/>
  <c r="M1942" i="10" s="1"/>
  <c r="M1943" i="10" s="1"/>
  <c r="M1944" i="10" s="1"/>
  <c r="M1945" i="10" s="1"/>
  <c r="M1946" i="10" s="1"/>
  <c r="M1947" i="10" s="1"/>
  <c r="M1948" i="10" s="1"/>
  <c r="M1949" i="10" s="1"/>
  <c r="M1950" i="10" s="1"/>
  <c r="M1951" i="10" s="1"/>
  <c r="M1952" i="10" s="1"/>
  <c r="M1953" i="10" s="1"/>
  <c r="M1954" i="10" s="1"/>
  <c r="M1955" i="10" s="1"/>
  <c r="M1956" i="10" s="1"/>
  <c r="M1957" i="10" s="1"/>
  <c r="M1958" i="10" s="1"/>
  <c r="M1959" i="10" s="1"/>
  <c r="M1960" i="10" s="1"/>
  <c r="M1961" i="10" s="1"/>
  <c r="M1962" i="10" s="1"/>
  <c r="M1963" i="10" s="1"/>
  <c r="M1964" i="10" s="1"/>
  <c r="M1965" i="10" s="1"/>
  <c r="M1966" i="10" s="1"/>
  <c r="M1967" i="10" s="1"/>
  <c r="M1968" i="10" s="1"/>
  <c r="M1969" i="10" s="1"/>
  <c r="M1970" i="10" s="1"/>
  <c r="M1971" i="10" s="1"/>
  <c r="M1972" i="10" s="1"/>
  <c r="M1973" i="10" s="1"/>
  <c r="M1974" i="10" s="1"/>
  <c r="M1975" i="10" s="1"/>
  <c r="M1976" i="10" s="1"/>
  <c r="M1977" i="10" s="1"/>
  <c r="M1978" i="10" s="1"/>
  <c r="M1979" i="10" s="1"/>
  <c r="M1980" i="10" s="1"/>
  <c r="M1981" i="10" s="1"/>
  <c r="M1982" i="10" s="1"/>
  <c r="M1983" i="10" s="1"/>
  <c r="M1984" i="10" s="1"/>
  <c r="M1985" i="10" s="1"/>
  <c r="M1986" i="10" s="1"/>
  <c r="M1987" i="10" s="1"/>
  <c r="M1988" i="10" s="1"/>
  <c r="M1989" i="10" s="1"/>
  <c r="M1990" i="10" s="1"/>
  <c r="M1991" i="10" s="1"/>
  <c r="M1992" i="10" s="1"/>
  <c r="M1993" i="10" s="1"/>
  <c r="M1994" i="10" s="1"/>
  <c r="M1995" i="10" s="1"/>
  <c r="M1996" i="10" s="1"/>
  <c r="M1997" i="10" s="1"/>
  <c r="M1998" i="10" s="1"/>
  <c r="M1999" i="10" s="1"/>
  <c r="M2000" i="10" s="1"/>
  <c r="M2001" i="10" s="1"/>
  <c r="M2002" i="10" s="1"/>
  <c r="M2003" i="10" s="1"/>
  <c r="M2004" i="10" s="1"/>
  <c r="M2005" i="10" s="1"/>
  <c r="M2006" i="10" s="1"/>
  <c r="M2007" i="10" s="1"/>
  <c r="M2008" i="10" s="1"/>
  <c r="M2009" i="10" s="1"/>
  <c r="M2010" i="10" s="1"/>
  <c r="M2011" i="10" s="1"/>
  <c r="M2012" i="10" s="1"/>
  <c r="M2013" i="10" s="1"/>
  <c r="M2014" i="10" s="1"/>
  <c r="M2015" i="10" s="1"/>
  <c r="M2016" i="10" s="1"/>
  <c r="M2017" i="10" s="1"/>
  <c r="M2018" i="10" s="1"/>
  <c r="M2019" i="10" s="1"/>
  <c r="M2020" i="10" s="1"/>
  <c r="M2021" i="10" s="1"/>
  <c r="M2022" i="10" s="1"/>
  <c r="M2023" i="10" s="1"/>
  <c r="M2024" i="10" s="1"/>
  <c r="M2025" i="10" s="1"/>
  <c r="M2026" i="10" s="1"/>
</calcChain>
</file>

<file path=xl/sharedStrings.xml><?xml version="1.0" encoding="utf-8"?>
<sst xmlns="http://schemas.openxmlformats.org/spreadsheetml/2006/main" count="291" uniqueCount="99">
  <si>
    <t>Month</t>
  </si>
  <si>
    <t>Description</t>
  </si>
  <si>
    <t>Category</t>
  </si>
  <si>
    <t>Income</t>
  </si>
  <si>
    <t>Debits</t>
  </si>
  <si>
    <t>Balance</t>
  </si>
  <si>
    <t>Date  (DMY)</t>
  </si>
  <si>
    <t>investment</t>
  </si>
  <si>
    <t>WAL-MART #1083 ALLISTON ON</t>
  </si>
  <si>
    <t>rent</t>
  </si>
  <si>
    <t>utilities</t>
  </si>
  <si>
    <t>transportation</t>
  </si>
  <si>
    <t>other</t>
  </si>
  <si>
    <t>budget</t>
  </si>
  <si>
    <t>Monthly Balance</t>
  </si>
  <si>
    <t>Buffer</t>
  </si>
  <si>
    <t>food</t>
  </si>
  <si>
    <t>Check</t>
  </si>
  <si>
    <t>CDN TIRE STORE #00001 ALLISTON ON</t>
  </si>
  <si>
    <t>Remove for faucet</t>
  </si>
  <si>
    <t>remove for wood</t>
  </si>
  <si>
    <t>FRESHCO #9688 ALLISTON ON</t>
  </si>
  <si>
    <t>from</t>
  </si>
  <si>
    <t>Comments</t>
  </si>
  <si>
    <t>credit</t>
  </si>
  <si>
    <t>debit</t>
  </si>
  <si>
    <t>First Bank Card</t>
  </si>
  <si>
    <t>Transaction Type</t>
  </si>
  <si>
    <t>Date Posted</t>
  </si>
  <si>
    <t xml:space="preserve"> Transaction Amount</t>
  </si>
  <si>
    <t>'5510290040323502'</t>
  </si>
  <si>
    <t>CREDIT</t>
  </si>
  <si>
    <t xml:space="preserve">[DN]HONDA OF CANADA PAY/PAY                                                    </t>
  </si>
  <si>
    <t>DEBIT</t>
  </si>
  <si>
    <t xml:space="preserve">[CW]QUESTRADE INC                                                              </t>
  </si>
  <si>
    <t xml:space="preserve">[CW]PC MC                                                                      </t>
  </si>
  <si>
    <t>format chequing can be put into one macro by simply removing transfers from original unformatted list before formating starts</t>
  </si>
  <si>
    <t>Starting balance</t>
  </si>
  <si>
    <t>TIM HORTONS #0548 ALLISTON ON</t>
  </si>
  <si>
    <t>ROGERS *905509121 888-764-3771 ON</t>
  </si>
  <si>
    <t>EUREST-23581 ALLISTON ON</t>
  </si>
  <si>
    <t>HERBERT ELSNER SHOES ALLISTON ON</t>
  </si>
  <si>
    <t>METAL SUPERMARKETS - B BARRIE ON</t>
  </si>
  <si>
    <t>ALT. ROCK BARRIE ON</t>
  </si>
  <si>
    <t>pay</t>
  </si>
  <si>
    <t xml:space="preserve">[CW]INTERAC ETRNSFR SENT     KARTIKEYA                20220301936D1F6BA        </t>
  </si>
  <si>
    <t>Following data is valid as of 20220307165957 (Year/Month/Day/Hour/Minute/Second)</t>
  </si>
  <si>
    <t xml:space="preserve">[CW]INTERAC ETRNSFR SENT     SCOTT DENNIS             202203710593F5493        </t>
  </si>
  <si>
    <t xml:space="preserve">[CW]INTERAC ETRNSFR SENT     SELIN                    20220400511764FE9        </t>
  </si>
  <si>
    <t xml:space="preserve">[CW]INTERAC ETRNSFR AD RECVD BRYAN CHI SING NG        20220411615P5AWMT        </t>
  </si>
  <si>
    <t xml:space="preserve">[CW]INTERAC ETRNSFR AD RECVD SELIN ERTAN              20220480902GJYYF6        </t>
  </si>
  <si>
    <t xml:space="preserve">[CW]INTERAC ETRNSFR SENT     SELIN                    20220490902EC192A        </t>
  </si>
  <si>
    <t xml:space="preserve">[CW]INTERAC ETRNSFR SENT     JOHN BOOTH RETIREMENT FU 20220531038E46D77        </t>
  </si>
  <si>
    <t xml:space="preserve">[CW]INTERAC ETRNSFR AD RECVD MARYAM FATIMA            20220580915UEJPAV        </t>
  </si>
  <si>
    <t xml:space="preserve">[CW]INTERAC ETRNSFR SENT     LEE CHIANG               2022064171755A5E9        </t>
  </si>
  <si>
    <t>05/02/2022</t>
  </si>
  <si>
    <t>07/02/2022</t>
  </si>
  <si>
    <t>08/02/2022</t>
  </si>
  <si>
    <t>06/02/2022</t>
  </si>
  <si>
    <t>Amazon Downloads www.Amazon.caON</t>
  </si>
  <si>
    <t>09/02/2022</t>
  </si>
  <si>
    <t>11/02/2022</t>
  </si>
  <si>
    <t>10/02/2022</t>
  </si>
  <si>
    <t>12/02/2022</t>
  </si>
  <si>
    <t>14/02/2022</t>
  </si>
  <si>
    <t>THE ROCK OASIS TORONTO ON</t>
  </si>
  <si>
    <t>16/02/2022</t>
  </si>
  <si>
    <t>17/02/2022</t>
  </si>
  <si>
    <t>BULL AND BARREL PUB BARRIE ON</t>
  </si>
  <si>
    <t>18/02/2022</t>
  </si>
  <si>
    <t>21/02/2022</t>
  </si>
  <si>
    <t>BARNSTORM BREWPUB ALLISTON ON</t>
  </si>
  <si>
    <t>19/02/2022</t>
  </si>
  <si>
    <t>22/02/2022</t>
  </si>
  <si>
    <t>20/02/2022</t>
  </si>
  <si>
    <t>23/02/2022</t>
  </si>
  <si>
    <t>24/02/2022</t>
  </si>
  <si>
    <t>MARY BROWN'S #6245 BARRIE ON</t>
  </si>
  <si>
    <t>25/02/2022</t>
  </si>
  <si>
    <t>NASH FADES ALLISTON ON</t>
  </si>
  <si>
    <t>28/02/2022</t>
  </si>
  <si>
    <t>U OF T - MIE TORONTO ON</t>
  </si>
  <si>
    <t>CHATIME BARRIE ON</t>
  </si>
  <si>
    <t>STATE &amp; MAIN BARRIE BARRIE ON</t>
  </si>
  <si>
    <t>26/02/2022</t>
  </si>
  <si>
    <t>ROBINSONS MARINA AND P Dorset ON</t>
  </si>
  <si>
    <t>ROBINSON'S GENERAL STO DORSET ON</t>
  </si>
  <si>
    <t>27/02/2022</t>
  </si>
  <si>
    <t>TIM HORTONS #0399 GRAVENHURST ON</t>
  </si>
  <si>
    <t>01/03/2022</t>
  </si>
  <si>
    <t>03/03/2022</t>
  </si>
  <si>
    <t>02/03/2022</t>
  </si>
  <si>
    <t>OSMOW'S BARRIE ON</t>
  </si>
  <si>
    <t>Amazon.ca*1W1LM6EG0 AMAZON.CA ON</t>
  </si>
  <si>
    <t>01/02/2022</t>
  </si>
  <si>
    <t>03/02/2022</t>
  </si>
  <si>
    <t>02/02/2022</t>
  </si>
  <si>
    <t>04/02/2022</t>
  </si>
  <si>
    <t>EUREST-23582 ALLISTON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</si>
</sst>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_-&quot;$&quot;* #,##0.00_-;\-&quot;$&quot;* #,##0.00_-;;_-@_-"/>
    <numFmt numFmtId="166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rgb="FFE2EFDA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8" fontId="0" fillId="0" borderId="0" xfId="0" applyNumberFormat="1"/>
    <xf numFmtId="15" fontId="0" fillId="0" borderId="0" xfId="0" applyNumberFormat="1"/>
    <xf numFmtId="0" fontId="0" fillId="0" borderId="0" xfId="0" applyFill="1"/>
    <xf numFmtId="164" fontId="0" fillId="0" borderId="0" xfId="0" applyNumberFormat="1"/>
    <xf numFmtId="0" fontId="0" fillId="0" borderId="0" xfId="0" applyNumberFormat="1"/>
    <xf numFmtId="14" fontId="0" fillId="0" borderId="0" xfId="0" applyNumberFormat="1"/>
    <xf numFmtId="44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166" fontId="0" fillId="0" borderId="0" xfId="0" applyNumberFormat="1"/>
    <xf numFmtId="165" fontId="0" fillId="2" borderId="1" xfId="1" applyNumberFormat="1" applyFont="1" applyFill="1" applyBorder="1"/>
    <xf numFmtId="165" fontId="0" fillId="3" borderId="1" xfId="1" applyNumberFormat="1" applyFont="1" applyFill="1" applyBorder="1"/>
    <xf numFmtId="165" fontId="0" fillId="2" borderId="2" xfId="1" applyNumberFormat="1" applyFont="1" applyFill="1" applyBorder="1"/>
    <xf numFmtId="164" fontId="4" fillId="4" borderId="3" xfId="0" applyNumberFormat="1" applyFont="1" applyFill="1" applyBorder="1"/>
  </cellXfs>
  <cellStyles count="2">
    <cellStyle name="Currency" xfId="1" builtinId="4"/>
    <cellStyle name="Normal" xfId="0" builtinId="0"/>
  </cellStyles>
  <dxfs count="17"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165" formatCode="_-&quot;$&quot;* #,##0.00_-;\-&quot;$&quot;* #,##0.00_-;;_-@_-"/>
    </dxf>
    <dxf>
      <numFmt numFmtId="165" formatCode="_-&quot;$&quot;* #,##0.00_-;\-&quot;$&quot;* #,##0.00_-;;_-@_-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165" formatCode="_-&quot;$&quot;* #,##0.00_-;\-&quot;$&quot;* #,##0.00_-;;_-@_-"/>
    </dxf>
    <dxf>
      <numFmt numFmtId="165" formatCode="_-&quot;$&quot;* #,##0.00_-;\-&quot;$&quot;* #,##0.00_-;;_-@_-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B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</xdr:colOff>
          <xdr:row>4</xdr:row>
          <xdr:rowOff>167640</xdr:rowOff>
        </xdr:from>
        <xdr:to>
          <xdr:col>16</xdr:col>
          <xdr:colOff>7620</xdr:colOff>
          <xdr:row>7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17</xdr:col>
          <xdr:colOff>7620</xdr:colOff>
          <xdr:row>11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Values without Deleting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Credit Card Transactions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Values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5BE958-FA72-42C8-9558-87302ED7229C}" name="Table13" displayName="Table13" ref="F1:O2040" totalsRowShown="0">
  <autoFilter ref="F1:O2040" xr:uid="{4A5D9C3D-700F-424D-A9E7-9D5764ACF261}"/>
  <sortState xmlns:xlrd2="http://schemas.microsoft.com/office/spreadsheetml/2017/richdata2" ref="F2:O2040">
    <sortCondition ref="G1:G2040"/>
  </sortState>
  <tableColumns count="10">
    <tableColumn id="1" xr3:uid="{C4788569-A144-4731-9054-1AAC4BA1E01E}" name="Month"/>
    <tableColumn id="2" xr3:uid="{6BA053AC-8DF1-45C4-A833-7F1B8C8A48C7}" name="Date  (DMY)"/>
    <tableColumn id="3" xr3:uid="{7BAA49E7-4FE8-4963-9841-AB79190B5ED5}" name="Description"/>
    <tableColumn id="4" xr3:uid="{957E92B6-727A-4AB2-B9AE-A77133F63AFD}" name="Category" dataDxfId="14"/>
    <tableColumn id="5" xr3:uid="{B0A51516-14B6-4718-A67F-8BE37ACDAA7A}" name="Debits" dataDxfId="13" dataCellStyle="Currency"/>
    <tableColumn id="6" xr3:uid="{47438C23-93E7-4A05-90E5-A2D312EE239A}" name="Income" dataDxfId="12" dataCellStyle="Currency"/>
    <tableColumn id="9" xr3:uid="{9A8104FC-EB36-49A9-86C3-EEA8F331FB0E}" name="from" dataDxfId="11"/>
    <tableColumn id="7" xr3:uid="{36CB4F71-296C-41D5-A312-510AB212080A}" name="Balance" dataDxfId="10"/>
    <tableColumn id="8" xr3:uid="{15CBACAC-5B7F-4CFC-8868-559E4688A1B5}" name="Check" dataDxfId="9">
      <calculatedColumnFormula>IF(AND(Table13[[#This Row],[Category]]="pay",NOT(Table13[[#This Row],[Debits]]=0)),"bad","good")</calculatedColumnFormula>
    </tableColumn>
    <tableColumn id="24" xr3:uid="{59456A1C-E160-43B9-91E9-B68B7E2F33E1}" name="Comments" dataDxfId="8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1C77B-E5FA-413A-9F28-CD81DCF1BDD2}" name="Table1" displayName="Table1" ref="F1:O2042" totalsRowShown="0">
  <autoFilter ref="F1:O2042" xr:uid="{4A5D9C3D-700F-424D-A9E7-9D5764ACF261}"/>
  <tableColumns count="10">
    <tableColumn id="1" xr3:uid="{7683A156-F9D2-4FAD-B751-C1EDE8153A17}" name="Month"/>
    <tableColumn id="2" xr3:uid="{703B9CAE-FDA4-426E-B8CF-AE87E40088B5}" name="Date  (DMY)"/>
    <tableColumn id="3" xr3:uid="{07BFB3DA-9F80-493D-B280-B9BC1CB24CA4}" name="Description"/>
    <tableColumn id="4" xr3:uid="{F2B762D0-A7BD-4303-A475-91D2A8E7D92A}" name="Category" dataDxfId="6"/>
    <tableColumn id="5" xr3:uid="{63AE0DC4-F102-4BF8-B95F-903A71711DCD}" name="Debits" dataDxfId="5" dataCellStyle="Currency"/>
    <tableColumn id="6" xr3:uid="{59E616B4-5D89-4CCD-9FD4-ACF677FDA6EB}" name="Income" dataDxfId="4" dataCellStyle="Currency"/>
    <tableColumn id="9" xr3:uid="{AA74D0C9-AC03-468B-9587-0394F2BA82FD}" name="from" dataDxfId="3"/>
    <tableColumn id="7" xr3:uid="{DE33D295-E057-493C-945A-D9FD07D01D39}" name="Balance" dataDxfId="2"/>
    <tableColumn id="8" xr3:uid="{B9EE7250-B6AF-4E5F-806E-7022B1351D58}" name="Check" dataDxfId="1">
      <calculatedColumnFormula>IF(AND(Table1[[#This Row],[Category]]="income",NOT(Table1[[#This Row],[Debits]]=0)),"bad","good")</calculatedColumnFormula>
    </tableColumn>
    <tableColumn id="24" xr3:uid="{EF5682DD-0B32-4EB0-8324-869655204555}" name="Comments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9CB5D-2863-44E2-96F5-D0E57AF9C587}">
  <sheetPr codeName="Sheet8"/>
  <dimension ref="A1:Q2042"/>
  <sheetViews>
    <sheetView zoomScale="95" zoomScaleNormal="100" workbookViewId="0">
      <selection activeCell="O2" sqref="O2:O825"/>
    </sheetView>
  </sheetViews>
  <sheetFormatPr defaultRowHeight="14.4" x14ac:dyDescent="0.3"/>
  <cols>
    <col min="1" max="1" width="17.21875" customWidth="1"/>
    <col min="2" max="2" width="27.44140625" customWidth="1"/>
    <col min="5" max="5" width="10.33203125" bestFit="1" customWidth="1"/>
    <col min="6" max="6" width="10.109375" customWidth="1"/>
    <col min="7" max="7" width="16.88671875" customWidth="1"/>
    <col min="8" max="8" width="50.77734375" bestFit="1" customWidth="1"/>
    <col min="9" max="9" width="10.109375" style="5" customWidth="1"/>
    <col min="10" max="10" width="12" style="8" customWidth="1"/>
    <col min="11" max="11" width="11.77734375" style="8" customWidth="1"/>
    <col min="12" max="12" width="7" style="4" customWidth="1"/>
    <col min="13" max="13" width="10.44140625" bestFit="1" customWidth="1"/>
    <col min="15" max="15" width="60.21875" customWidth="1"/>
    <col min="17" max="17" width="10.5546875" bestFit="1" customWidth="1"/>
    <col min="21" max="21" width="14.77734375" bestFit="1" customWidth="1"/>
    <col min="22" max="22" width="32.109375" customWidth="1"/>
  </cols>
  <sheetData>
    <row r="1" spans="1:15" x14ac:dyDescent="0.3">
      <c r="A1" t="s">
        <v>0</v>
      </c>
      <c r="B1">
        <v>2</v>
      </c>
      <c r="D1" t="s">
        <v>13</v>
      </c>
      <c r="F1" t="s">
        <v>0</v>
      </c>
      <c r="G1" t="s">
        <v>6</v>
      </c>
      <c r="H1" t="s">
        <v>1</v>
      </c>
      <c r="I1" s="5" t="s">
        <v>2</v>
      </c>
      <c r="J1" s="8" t="s">
        <v>4</v>
      </c>
      <c r="K1" s="8" t="s">
        <v>3</v>
      </c>
      <c r="L1" t="s">
        <v>22</v>
      </c>
      <c r="M1" s="4" t="s">
        <v>5</v>
      </c>
      <c r="N1" t="s">
        <v>17</v>
      </c>
      <c r="O1" t="s">
        <v>23</v>
      </c>
    </row>
    <row r="2" spans="1:15" x14ac:dyDescent="0.3">
      <c r="A2" t="s">
        <v>44</v>
      </c>
      <c r="B2" s="4">
        <f>SUMIFS('2022'!K:K,'2022'!F:F,$B$1,'2022'!I:I,A2)-SUMIFS('2022'!J:J,'2022'!F:F,$B$1,'2022'!I:I,A2)</f>
        <v>0</v>
      </c>
      <c r="D2">
        <v>3500</v>
      </c>
      <c r="E2" s="6"/>
      <c r="F2">
        <f>C2</f>
        <v>0</v>
      </c>
      <c r="G2" s="2">
        <v>44561</v>
      </c>
      <c r="H2" t="s">
        <v>37</v>
      </c>
      <c r="L2" s="5"/>
      <c r="M2" s="14">
        <v>2805.21</v>
      </c>
      <c r="N2" t="str">
        <f>IF(AND(Table13[[#This Row],[Category]]="pay",NOT(Table13[[#This Row],[Debits]]=0)),"bad","good")</f>
        <v>good</v>
      </c>
      <c r="O2" s="5"/>
    </row>
    <row r="3" spans="1:15" x14ac:dyDescent="0.3">
      <c r="A3" t="s">
        <v>7</v>
      </c>
      <c r="B3" s="4">
        <f>SUMIFS('2022'!J:J,'2022'!F:F,$B$1,'2022'!I:I,A3)-SUMIFS('2022'!K:K,'2022'!F:F,$B$1,'2022'!I:I,A3)</f>
        <v>0</v>
      </c>
      <c r="D3">
        <v>2000</v>
      </c>
      <c r="F3">
        <f>MONTH(Table13[[#This Row],[Date  (DMY)]])</f>
        <v>1</v>
      </c>
      <c r="G3" s="10"/>
      <c r="L3" s="5"/>
      <c r="M3" s="4">
        <f>M2-Table13[[#This Row],[Debits]]+Table13[[#This Row],[Income]]</f>
        <v>2805.21</v>
      </c>
      <c r="N3" t="str">
        <f>IF(AND(Table13[[#This Row],[Category]]="pay",NOT(Table13[[#This Row],[Debits]]=0)),"bad","good")</f>
        <v>good</v>
      </c>
      <c r="O3" s="5"/>
    </row>
    <row r="4" spans="1:15" x14ac:dyDescent="0.3">
      <c r="A4" t="s">
        <v>9</v>
      </c>
      <c r="B4" s="4">
        <f>SUMIFS('2022'!J:J,'2022'!F:F,$B$1,'2022'!I:I,A4)-SUMIFS('2022'!K:K,'2022'!F:F,$B$1,'2022'!I:I,A4)</f>
        <v>0</v>
      </c>
      <c r="D4">
        <v>700</v>
      </c>
      <c r="F4">
        <f>MONTH(Table13[[#This Row],[Date  (DMY)]])</f>
        <v>1</v>
      </c>
      <c r="G4" s="10"/>
      <c r="L4" s="5"/>
      <c r="M4" s="4">
        <f>M3-Table13[[#This Row],[Debits]]+Table13[[#This Row],[Income]]</f>
        <v>2805.21</v>
      </c>
      <c r="N4" t="str">
        <f>IF(AND(Table13[[#This Row],[Category]]="pay",NOT(Table13[[#This Row],[Debits]]=0)),"bad","good")</f>
        <v>good</v>
      </c>
      <c r="O4" s="5"/>
    </row>
    <row r="5" spans="1:15" x14ac:dyDescent="0.3">
      <c r="A5" t="s">
        <v>10</v>
      </c>
      <c r="B5" s="4">
        <f>SUMIFS('2022'!J:J,'2022'!F:F,$B$1,'2022'!I:I,A5)-SUMIFS('2022'!K:K,'2022'!F:F,$B$1,'2022'!I:I,A5)</f>
        <v>0</v>
      </c>
      <c r="D5">
        <v>120</v>
      </c>
      <c r="F5">
        <f>MONTH(Table13[[#This Row],[Date  (DMY)]])</f>
        <v>1</v>
      </c>
      <c r="G5" s="10"/>
      <c r="L5" s="5"/>
      <c r="M5" s="4">
        <f>M4-Table13[[#This Row],[Debits]]+Table13[[#This Row],[Income]]</f>
        <v>2805.21</v>
      </c>
      <c r="N5" t="str">
        <f>IF(AND(Table13[[#This Row],[Category]]="pay",NOT(Table13[[#This Row],[Debits]]=0)),"bad","good")</f>
        <v>good</v>
      </c>
      <c r="O5" s="5"/>
    </row>
    <row r="6" spans="1:15" x14ac:dyDescent="0.3">
      <c r="A6" t="s">
        <v>16</v>
      </c>
      <c r="B6" s="4">
        <f>SUMIFS('2022'!J:J,'2022'!F:F,$B$1,'2022'!I:I,A6)-SUMIFS('2022'!K:K,'2022'!F:F,$B$1,'2022'!I:I,A6)</f>
        <v>0</v>
      </c>
      <c r="D6">
        <v>200</v>
      </c>
      <c r="F6">
        <f>MONTH(Table13[[#This Row],[Date  (DMY)]])</f>
        <v>1</v>
      </c>
      <c r="G6" s="10"/>
      <c r="H6" s="5"/>
      <c r="I6"/>
      <c r="J6" s="9"/>
      <c r="K6" s="9"/>
      <c r="L6"/>
      <c r="M6" s="4">
        <f>M5-Table13[[#This Row],[Debits]]+Table13[[#This Row],[Income]]</f>
        <v>2805.21</v>
      </c>
      <c r="N6" t="str">
        <f>IF(AND(Table13[[#This Row],[Category]]="pay",NOT(Table13[[#This Row],[Debits]]=0)),"bad","good")</f>
        <v>good</v>
      </c>
      <c r="O6" s="5"/>
    </row>
    <row r="7" spans="1:15" x14ac:dyDescent="0.3">
      <c r="A7" t="s">
        <v>11</v>
      </c>
      <c r="B7">
        <f>SUMIFS('2022'!J:J,'2022'!F:F,$B$1,'2022'!I:I,A7)</f>
        <v>0</v>
      </c>
      <c r="D7">
        <v>100</v>
      </c>
      <c r="F7">
        <f>MONTH(Table13[[#This Row],[Date  (DMY)]])</f>
        <v>1</v>
      </c>
      <c r="G7" s="10"/>
      <c r="L7" s="5"/>
      <c r="M7" s="4">
        <f>M6-Table13[[#This Row],[Debits]]+Table13[[#This Row],[Income]]</f>
        <v>2805.21</v>
      </c>
      <c r="N7" t="str">
        <f>IF(AND(Table13[[#This Row],[Category]]="pay",NOT(Table13[[#This Row],[Debits]]=0)),"bad","good")</f>
        <v>good</v>
      </c>
      <c r="O7" s="5"/>
    </row>
    <row r="8" spans="1:15" x14ac:dyDescent="0.3">
      <c r="A8" t="s">
        <v>12</v>
      </c>
      <c r="B8">
        <f>SUMIFS('2022'!J:J,'2022'!F:F,$B$1,'2022'!I:I,A8)</f>
        <v>0</v>
      </c>
      <c r="D8">
        <v>400</v>
      </c>
      <c r="F8">
        <f>MONTH(Table13[[#This Row],[Date  (DMY)]])</f>
        <v>1</v>
      </c>
      <c r="G8" s="10"/>
      <c r="H8" s="5"/>
      <c r="I8"/>
      <c r="J8" s="9"/>
      <c r="K8" s="9"/>
      <c r="L8"/>
      <c r="M8" s="4">
        <f>M7-Table13[[#This Row],[Debits]]+Table13[[#This Row],[Income]]</f>
        <v>2805.21</v>
      </c>
      <c r="N8" t="str">
        <f>IF(AND(Table13[[#This Row],[Category]]="pay",NOT(Table13[[#This Row],[Debits]]=0)),"bad","good")</f>
        <v>good</v>
      </c>
      <c r="O8" s="5"/>
    </row>
    <row r="9" spans="1:15" x14ac:dyDescent="0.3">
      <c r="C9" t="s">
        <v>15</v>
      </c>
      <c r="D9">
        <f>D2-SUM(D3:D8)</f>
        <v>-20</v>
      </c>
      <c r="F9">
        <f>MONTH(Table13[[#This Row],[Date  (DMY)]])</f>
        <v>1</v>
      </c>
      <c r="G9" s="10"/>
      <c r="H9" s="5"/>
      <c r="I9"/>
      <c r="J9" s="9"/>
      <c r="K9" s="9"/>
      <c r="L9"/>
      <c r="M9" s="4">
        <f>M8-Table13[[#This Row],[Debits]]+Table13[[#This Row],[Income]]</f>
        <v>2805.21</v>
      </c>
      <c r="N9" t="str">
        <f>IF(AND(Table13[[#This Row],[Category]]="pay",NOT(Table13[[#This Row],[Debits]]=0)),"bad","good")</f>
        <v>good</v>
      </c>
      <c r="O9" s="5"/>
    </row>
    <row r="10" spans="1:15" x14ac:dyDescent="0.3">
      <c r="A10" t="s">
        <v>14</v>
      </c>
      <c r="B10">
        <f>B2-SUM(B3:B8)</f>
        <v>0</v>
      </c>
      <c r="F10">
        <f>MONTH(Table13[[#This Row],[Date  (DMY)]])</f>
        <v>1</v>
      </c>
      <c r="G10" s="10"/>
      <c r="H10" s="5"/>
      <c r="I10"/>
      <c r="J10" s="9"/>
      <c r="K10" s="9"/>
      <c r="L10"/>
      <c r="M10" s="4">
        <f>M9-Table13[[#This Row],[Debits]]+Table13[[#This Row],[Income]]</f>
        <v>2805.21</v>
      </c>
      <c r="N10" t="str">
        <f>IF(AND(Table13[[#This Row],[Category]]="pay",NOT(Table13[[#This Row],[Debits]]=0)),"bad","good")</f>
        <v>good</v>
      </c>
      <c r="O10" s="5"/>
    </row>
    <row r="11" spans="1:15" x14ac:dyDescent="0.3">
      <c r="F11">
        <f>MONTH(Table13[[#This Row],[Date  (DMY)]])</f>
        <v>1</v>
      </c>
      <c r="G11" s="2"/>
      <c r="H11" s="3"/>
      <c r="L11" s="5"/>
      <c r="M11" s="4">
        <f>M10-Table13[[#This Row],[Debits]]+Table13[[#This Row],[Income]]</f>
        <v>2805.21</v>
      </c>
      <c r="N11" t="str">
        <f>IF(AND(Table13[[#This Row],[Category]]="pay",NOT(Table13[[#This Row],[Debits]]=0)),"bad","good")</f>
        <v>good</v>
      </c>
      <c r="O11" s="5"/>
    </row>
    <row r="12" spans="1:15" x14ac:dyDescent="0.3">
      <c r="F12">
        <f>MONTH(Table13[[#This Row],[Date  (DMY)]])</f>
        <v>1</v>
      </c>
      <c r="G12" s="2"/>
      <c r="H12" s="2"/>
      <c r="L12" s="5"/>
      <c r="M12" s="4">
        <f>M11-Table13[[#This Row],[Debits]]+Table13[[#This Row],[Income]]</f>
        <v>2805.21</v>
      </c>
      <c r="N12" t="str">
        <f>IF(AND(Table13[[#This Row],[Category]]="pay",NOT(Table13[[#This Row],[Debits]]=0)),"bad","good")</f>
        <v>good</v>
      </c>
      <c r="O12" s="5"/>
    </row>
    <row r="13" spans="1:15" x14ac:dyDescent="0.3">
      <c r="F13">
        <f>MONTH(Table13[[#This Row],[Date  (DMY)]])</f>
        <v>1</v>
      </c>
      <c r="G13" s="2"/>
      <c r="L13" s="5"/>
      <c r="M13" s="4">
        <f>M12-Table13[[#This Row],[Debits]]+Table13[[#This Row],[Income]]</f>
        <v>2805.21</v>
      </c>
      <c r="N13" t="str">
        <f>IF(AND(Table13[[#This Row],[Category]]="pay",NOT(Table13[[#This Row],[Debits]]=0)),"bad","good")</f>
        <v>good</v>
      </c>
      <c r="O13" s="5"/>
    </row>
    <row r="14" spans="1:15" x14ac:dyDescent="0.3">
      <c r="F14">
        <f>MONTH(Table13[[#This Row],[Date  (DMY)]])</f>
        <v>1</v>
      </c>
      <c r="G14" s="2"/>
      <c r="H14" s="3"/>
      <c r="L14" s="5"/>
      <c r="M14" s="4">
        <f>M13-Table13[[#This Row],[Debits]]+Table13[[#This Row],[Income]]</f>
        <v>2805.21</v>
      </c>
      <c r="N14" t="str">
        <f>IF(AND(Table13[[#This Row],[Category]]="pay",NOT(Table13[[#This Row],[Debits]]=0)),"bad","good")</f>
        <v>good</v>
      </c>
      <c r="O14" s="5"/>
    </row>
    <row r="15" spans="1:15" x14ac:dyDescent="0.3">
      <c r="F15">
        <f>MONTH(Table13[[#This Row],[Date  (DMY)]])</f>
        <v>1</v>
      </c>
      <c r="G15" s="2"/>
      <c r="H15" s="3"/>
      <c r="L15" s="5"/>
      <c r="M15" s="4">
        <f>M14-Table13[[#This Row],[Debits]]+Table13[[#This Row],[Income]]</f>
        <v>2805.21</v>
      </c>
      <c r="N15" t="str">
        <f>IF(AND(Table13[[#This Row],[Category]]="pay",NOT(Table13[[#This Row],[Debits]]=0)),"bad","good")</f>
        <v>good</v>
      </c>
      <c r="O15" s="5"/>
    </row>
    <row r="16" spans="1:15" x14ac:dyDescent="0.3">
      <c r="F16">
        <f>MONTH(Table13[[#This Row],[Date  (DMY)]])</f>
        <v>1</v>
      </c>
      <c r="G16" s="2"/>
      <c r="L16" s="5"/>
      <c r="M16" s="4">
        <f>M15-Table13[[#This Row],[Debits]]+Table13[[#This Row],[Income]]</f>
        <v>2805.21</v>
      </c>
      <c r="N16" t="str">
        <f>IF(AND(Table13[[#This Row],[Category]]="pay",NOT(Table13[[#This Row],[Debits]]=0)),"bad","good")</f>
        <v>good</v>
      </c>
      <c r="O16" s="5"/>
    </row>
    <row r="17" spans="6:15" x14ac:dyDescent="0.3">
      <c r="F17">
        <f>MONTH(Table13[[#This Row],[Date  (DMY)]])</f>
        <v>1</v>
      </c>
      <c r="G17" s="2"/>
      <c r="H17" s="2"/>
      <c r="L17" s="5"/>
      <c r="M17" s="4">
        <f>M16-Table13[[#This Row],[Debits]]+Table13[[#This Row],[Income]]</f>
        <v>2805.21</v>
      </c>
      <c r="N17" t="str">
        <f>IF(AND(Table13[[#This Row],[Category]]="pay",NOT(Table13[[#This Row],[Debits]]=0)),"bad","good")</f>
        <v>good</v>
      </c>
      <c r="O17" s="5"/>
    </row>
    <row r="18" spans="6:15" x14ac:dyDescent="0.3">
      <c r="F18">
        <f>MONTH(Table13[[#This Row],[Date  (DMY)]])</f>
        <v>1</v>
      </c>
      <c r="G18" s="2"/>
      <c r="L18" s="5"/>
      <c r="M18" s="4">
        <f>M17-Table13[[#This Row],[Debits]]+Table13[[#This Row],[Income]]</f>
        <v>2805.21</v>
      </c>
      <c r="N18" t="str">
        <f>IF(AND(Table13[[#This Row],[Category]]="pay",NOT(Table13[[#This Row],[Debits]]=0)),"bad","good")</f>
        <v>good</v>
      </c>
      <c r="O18" s="5"/>
    </row>
    <row r="19" spans="6:15" x14ac:dyDescent="0.3">
      <c r="F19">
        <f>MONTH(Table13[[#This Row],[Date  (DMY)]])</f>
        <v>1</v>
      </c>
      <c r="G19" s="2"/>
      <c r="H19" s="2"/>
      <c r="L19" s="5"/>
      <c r="M19" s="4">
        <f>M18-Table13[[#This Row],[Debits]]+Table13[[#This Row],[Income]]</f>
        <v>2805.21</v>
      </c>
      <c r="N19" t="str">
        <f>IF(AND(Table13[[#This Row],[Category]]="pay",NOT(Table13[[#This Row],[Debits]]=0)),"bad","good")</f>
        <v>good</v>
      </c>
      <c r="O19" s="5"/>
    </row>
    <row r="20" spans="6:15" x14ac:dyDescent="0.3">
      <c r="F20">
        <f>MONTH(Table13[[#This Row],[Date  (DMY)]])</f>
        <v>1</v>
      </c>
      <c r="G20" s="2"/>
      <c r="L20" s="5"/>
      <c r="M20" s="4">
        <f>M19-Table13[[#This Row],[Debits]]+Table13[[#This Row],[Income]]</f>
        <v>2805.21</v>
      </c>
      <c r="N20" t="str">
        <f>IF(AND(Table13[[#This Row],[Category]]="pay",NOT(Table13[[#This Row],[Debits]]=0)),"bad","good")</f>
        <v>good</v>
      </c>
      <c r="O20" s="5"/>
    </row>
    <row r="21" spans="6:15" x14ac:dyDescent="0.3">
      <c r="F21">
        <f>MONTH(Table13[[#This Row],[Date  (DMY)]])</f>
        <v>1</v>
      </c>
      <c r="G21" s="2"/>
      <c r="H21" s="3"/>
      <c r="L21" s="5"/>
      <c r="M21" s="4">
        <f>M20-Table13[[#This Row],[Debits]]+Table13[[#This Row],[Income]]</f>
        <v>2805.21</v>
      </c>
      <c r="N21" t="str">
        <f>IF(AND(Table13[[#This Row],[Category]]="pay",NOT(Table13[[#This Row],[Debits]]=0)),"bad","good")</f>
        <v>good</v>
      </c>
      <c r="O21" s="5"/>
    </row>
    <row r="22" spans="6:15" x14ac:dyDescent="0.3">
      <c r="F22">
        <f>MONTH(Table13[[#This Row],[Date  (DMY)]])</f>
        <v>1</v>
      </c>
      <c r="G22" s="2"/>
      <c r="L22" s="5"/>
      <c r="M22" s="4">
        <f>M21-Table13[[#This Row],[Debits]]+Table13[[#This Row],[Income]]</f>
        <v>2805.21</v>
      </c>
      <c r="N22" t="str">
        <f>IF(AND(Table13[[#This Row],[Category]]="pay",NOT(Table13[[#This Row],[Debits]]=0)),"bad","good")</f>
        <v>good</v>
      </c>
      <c r="O22" s="5"/>
    </row>
    <row r="23" spans="6:15" x14ac:dyDescent="0.3">
      <c r="F23">
        <f>MONTH(Table13[[#This Row],[Date  (DMY)]])</f>
        <v>1</v>
      </c>
      <c r="G23" s="2"/>
      <c r="H23" s="3"/>
      <c r="L23" s="5"/>
      <c r="M23" s="4">
        <f>M22-Table13[[#This Row],[Debits]]+Table13[[#This Row],[Income]]</f>
        <v>2805.21</v>
      </c>
      <c r="N23" t="str">
        <f>IF(AND(Table13[[#This Row],[Category]]="pay",NOT(Table13[[#This Row],[Debits]]=0)),"bad","good")</f>
        <v>good</v>
      </c>
      <c r="O23" s="5"/>
    </row>
    <row r="24" spans="6:15" x14ac:dyDescent="0.3">
      <c r="F24">
        <f>MONTH(Table13[[#This Row],[Date  (DMY)]])</f>
        <v>1</v>
      </c>
      <c r="G24" s="2"/>
      <c r="L24" s="5"/>
      <c r="M24" s="4">
        <f>M23-Table13[[#This Row],[Debits]]+Table13[[#This Row],[Income]]</f>
        <v>2805.21</v>
      </c>
      <c r="N24" t="str">
        <f>IF(AND(Table13[[#This Row],[Category]]="pay",NOT(Table13[[#This Row],[Debits]]=0)),"bad","good")</f>
        <v>good</v>
      </c>
      <c r="O24" s="5"/>
    </row>
    <row r="25" spans="6:15" x14ac:dyDescent="0.3">
      <c r="F25">
        <f>MONTH(Table13[[#This Row],[Date  (DMY)]])</f>
        <v>1</v>
      </c>
      <c r="G25" s="2"/>
      <c r="H25" s="2"/>
      <c r="L25" s="5"/>
      <c r="M25" s="4">
        <f>M24-Table13[[#This Row],[Debits]]+Table13[[#This Row],[Income]]</f>
        <v>2805.21</v>
      </c>
      <c r="N25" t="str">
        <f>IF(AND(Table13[[#This Row],[Category]]="pay",NOT(Table13[[#This Row],[Debits]]=0)),"bad","good")</f>
        <v>good</v>
      </c>
      <c r="O25" s="5"/>
    </row>
    <row r="26" spans="6:15" x14ac:dyDescent="0.3">
      <c r="F26">
        <f>MONTH(Table13[[#This Row],[Date  (DMY)]])</f>
        <v>1</v>
      </c>
      <c r="G26" s="2"/>
      <c r="H26" s="2"/>
      <c r="L26" s="5"/>
      <c r="M26" s="4">
        <f>M25-Table13[[#This Row],[Debits]]+Table13[[#This Row],[Income]]</f>
        <v>2805.21</v>
      </c>
      <c r="N26" t="str">
        <f>IF(AND(Table13[[#This Row],[Category]]="pay",NOT(Table13[[#This Row],[Debits]]=0)),"bad","good")</f>
        <v>good</v>
      </c>
      <c r="O26" s="5"/>
    </row>
    <row r="27" spans="6:15" x14ac:dyDescent="0.3">
      <c r="F27">
        <f>MONTH(Table13[[#This Row],[Date  (DMY)]])</f>
        <v>1</v>
      </c>
      <c r="G27" s="2"/>
      <c r="H27" s="2"/>
      <c r="L27" s="5"/>
      <c r="M27" s="4">
        <f>M26-Table13[[#This Row],[Debits]]+Table13[[#This Row],[Income]]</f>
        <v>2805.21</v>
      </c>
      <c r="N27" t="str">
        <f>IF(AND(Table13[[#This Row],[Category]]="pay",NOT(Table13[[#This Row],[Debits]]=0)),"bad","good")</f>
        <v>good</v>
      </c>
      <c r="O27" s="5"/>
    </row>
    <row r="28" spans="6:15" x14ac:dyDescent="0.3">
      <c r="F28">
        <f>MONTH(Table13[[#This Row],[Date  (DMY)]])</f>
        <v>1</v>
      </c>
      <c r="G28" s="2"/>
      <c r="H28" s="2"/>
      <c r="L28" s="5"/>
      <c r="M28" s="4">
        <f>M27-Table13[[#This Row],[Debits]]+Table13[[#This Row],[Income]]</f>
        <v>2805.21</v>
      </c>
      <c r="N28" t="str">
        <f>IF(AND(Table13[[#This Row],[Category]]="pay",NOT(Table13[[#This Row],[Debits]]=0)),"bad","good")</f>
        <v>good</v>
      </c>
      <c r="O28" s="5"/>
    </row>
    <row r="29" spans="6:15" x14ac:dyDescent="0.3">
      <c r="F29">
        <f>MONTH(Table13[[#This Row],[Date  (DMY)]])</f>
        <v>1</v>
      </c>
      <c r="G29" s="2"/>
      <c r="L29" s="5"/>
      <c r="M29" s="4">
        <f>M28-Table13[[#This Row],[Debits]]+Table13[[#This Row],[Income]]</f>
        <v>2805.21</v>
      </c>
      <c r="N29" t="str">
        <f>IF(AND(Table13[[#This Row],[Category]]="pay",NOT(Table13[[#This Row],[Debits]]=0)),"bad","good")</f>
        <v>good</v>
      </c>
      <c r="O29" s="5"/>
    </row>
    <row r="30" spans="6:15" x14ac:dyDescent="0.3">
      <c r="F30">
        <f>MONTH(Table13[[#This Row],[Date  (DMY)]])</f>
        <v>1</v>
      </c>
      <c r="G30" s="2"/>
      <c r="L30" s="5"/>
      <c r="M30" s="4">
        <f>M29-Table13[[#This Row],[Debits]]+Table13[[#This Row],[Income]]</f>
        <v>2805.21</v>
      </c>
      <c r="N30" t="str">
        <f>IF(AND(Table13[[#This Row],[Category]]="pay",NOT(Table13[[#This Row],[Debits]]=0)),"bad","good")</f>
        <v>good</v>
      </c>
      <c r="O30" s="5"/>
    </row>
    <row r="31" spans="6:15" x14ac:dyDescent="0.3">
      <c r="F31">
        <f>MONTH(Table13[[#This Row],[Date  (DMY)]])</f>
        <v>1</v>
      </c>
      <c r="G31" s="2"/>
      <c r="L31" s="5"/>
      <c r="M31" s="4">
        <f>M30-Table13[[#This Row],[Debits]]+Table13[[#This Row],[Income]]</f>
        <v>2805.21</v>
      </c>
      <c r="N31" t="str">
        <f>IF(AND(Table13[[#This Row],[Category]]="pay",NOT(Table13[[#This Row],[Debits]]=0)),"bad","good")</f>
        <v>good</v>
      </c>
      <c r="O31" s="5"/>
    </row>
    <row r="32" spans="6:15" x14ac:dyDescent="0.3">
      <c r="F32">
        <f>MONTH(Table13[[#This Row],[Date  (DMY)]])</f>
        <v>1</v>
      </c>
      <c r="G32" s="2"/>
      <c r="H32" s="3"/>
      <c r="L32" s="5"/>
      <c r="M32" s="4">
        <f>M31-Table13[[#This Row],[Debits]]+Table13[[#This Row],[Income]]</f>
        <v>2805.21</v>
      </c>
      <c r="N32" t="str">
        <f>IF(AND(Table13[[#This Row],[Category]]="pay",NOT(Table13[[#This Row],[Debits]]=0)),"bad","good")</f>
        <v>good</v>
      </c>
      <c r="O32" s="5"/>
    </row>
    <row r="33" spans="6:15" x14ac:dyDescent="0.3">
      <c r="F33">
        <f>MONTH(Table13[[#This Row],[Date  (DMY)]])</f>
        <v>1</v>
      </c>
      <c r="G33" s="2"/>
      <c r="H33" s="3"/>
      <c r="L33" s="5"/>
      <c r="M33" s="4">
        <f>M32-Table13[[#This Row],[Debits]]+Table13[[#This Row],[Income]]</f>
        <v>2805.21</v>
      </c>
      <c r="N33" t="str">
        <f>IF(AND(Table13[[#This Row],[Category]]="pay",NOT(Table13[[#This Row],[Debits]]=0)),"bad","good")</f>
        <v>good</v>
      </c>
      <c r="O33" s="5"/>
    </row>
    <row r="34" spans="6:15" x14ac:dyDescent="0.3">
      <c r="F34">
        <f>MONTH(Table13[[#This Row],[Date  (DMY)]])</f>
        <v>1</v>
      </c>
      <c r="G34" s="2"/>
      <c r="L34" s="5"/>
      <c r="M34" s="4">
        <f>M33-Table13[[#This Row],[Debits]]+Table13[[#This Row],[Income]]</f>
        <v>2805.21</v>
      </c>
      <c r="N34" t="str">
        <f>IF(AND(Table13[[#This Row],[Category]]="pay",NOT(Table13[[#This Row],[Debits]]=0)),"bad","good")</f>
        <v>good</v>
      </c>
      <c r="O34" s="5"/>
    </row>
    <row r="35" spans="6:15" x14ac:dyDescent="0.3">
      <c r="F35">
        <f>MONTH(Table13[[#This Row],[Date  (DMY)]])</f>
        <v>1</v>
      </c>
      <c r="G35" s="2"/>
      <c r="L35" s="5"/>
      <c r="M35" s="4">
        <f>M34-Table13[[#This Row],[Debits]]+Table13[[#This Row],[Income]]</f>
        <v>2805.21</v>
      </c>
      <c r="N35" t="str">
        <f>IF(AND(Table13[[#This Row],[Category]]="pay",NOT(Table13[[#This Row],[Debits]]=0)),"bad","good")</f>
        <v>good</v>
      </c>
      <c r="O35" s="5"/>
    </row>
    <row r="36" spans="6:15" x14ac:dyDescent="0.3">
      <c r="F36">
        <f>MONTH(Table13[[#This Row],[Date  (DMY)]])</f>
        <v>1</v>
      </c>
      <c r="G36" s="2"/>
      <c r="L36" s="5"/>
      <c r="M36" s="4">
        <f>M35-Table13[[#This Row],[Debits]]+Table13[[#This Row],[Income]]</f>
        <v>2805.21</v>
      </c>
      <c r="N36" t="str">
        <f>IF(AND(Table13[[#This Row],[Category]]="pay",NOT(Table13[[#This Row],[Debits]]=0)),"bad","good")</f>
        <v>good</v>
      </c>
      <c r="O36" s="5"/>
    </row>
    <row r="37" spans="6:15" x14ac:dyDescent="0.3">
      <c r="F37">
        <f>MONTH(Table13[[#This Row],[Date  (DMY)]])</f>
        <v>1</v>
      </c>
      <c r="G37" s="2"/>
      <c r="L37" s="5"/>
      <c r="M37" s="4">
        <f>M36-Table13[[#This Row],[Debits]]+Table13[[#This Row],[Income]]</f>
        <v>2805.21</v>
      </c>
      <c r="N37" t="str">
        <f>IF(AND(Table13[[#This Row],[Category]]="pay",NOT(Table13[[#This Row],[Debits]]=0)),"bad","good")</f>
        <v>good</v>
      </c>
      <c r="O37" s="5"/>
    </row>
    <row r="38" spans="6:15" x14ac:dyDescent="0.3">
      <c r="F38">
        <f>MONTH(Table13[[#This Row],[Date  (DMY)]])</f>
        <v>1</v>
      </c>
      <c r="G38" s="2"/>
      <c r="L38" s="5"/>
      <c r="M38" s="4">
        <f>M37-Table13[[#This Row],[Debits]]+Table13[[#This Row],[Income]]</f>
        <v>2805.21</v>
      </c>
      <c r="N38" t="str">
        <f>IF(AND(Table13[[#This Row],[Category]]="pay",NOT(Table13[[#This Row],[Debits]]=0)),"bad","good")</f>
        <v>good</v>
      </c>
      <c r="O38" s="5"/>
    </row>
    <row r="39" spans="6:15" x14ac:dyDescent="0.3">
      <c r="F39">
        <f>MONTH(Table13[[#This Row],[Date  (DMY)]])</f>
        <v>1</v>
      </c>
      <c r="G39" s="2"/>
      <c r="H39" s="2"/>
      <c r="L39" s="5"/>
      <c r="M39" s="4">
        <f>M38-Table13[[#This Row],[Debits]]+Table13[[#This Row],[Income]]</f>
        <v>2805.21</v>
      </c>
      <c r="N39" t="str">
        <f>IF(AND(Table13[[#This Row],[Category]]="pay",NOT(Table13[[#This Row],[Debits]]=0)),"bad","good")</f>
        <v>good</v>
      </c>
      <c r="O39" s="5"/>
    </row>
    <row r="40" spans="6:15" x14ac:dyDescent="0.3">
      <c r="F40">
        <f>MONTH(Table13[[#This Row],[Date  (DMY)]])</f>
        <v>1</v>
      </c>
      <c r="G40" s="2"/>
      <c r="L40" s="5"/>
      <c r="M40" s="4">
        <f>M39-Table13[[#This Row],[Debits]]+Table13[[#This Row],[Income]]</f>
        <v>2805.21</v>
      </c>
      <c r="N40" t="str">
        <f>IF(AND(Table13[[#This Row],[Category]]="pay",NOT(Table13[[#This Row],[Debits]]=0)),"bad","good")</f>
        <v>good</v>
      </c>
      <c r="O40" s="5"/>
    </row>
    <row r="41" spans="6:15" x14ac:dyDescent="0.3">
      <c r="F41">
        <f>MONTH(Table13[[#This Row],[Date  (DMY)]])</f>
        <v>1</v>
      </c>
      <c r="G41" s="2"/>
      <c r="L41" s="5"/>
      <c r="M41" s="4">
        <f>M40-Table13[[#This Row],[Debits]]+Table13[[#This Row],[Income]]</f>
        <v>2805.21</v>
      </c>
      <c r="N41" t="str">
        <f>IF(AND(Table13[[#This Row],[Category]]="pay",NOT(Table13[[#This Row],[Debits]]=0)),"bad","good")</f>
        <v>good</v>
      </c>
      <c r="O41" s="5"/>
    </row>
    <row r="42" spans="6:15" x14ac:dyDescent="0.3">
      <c r="F42">
        <f>MONTH(Table13[[#This Row],[Date  (DMY)]])</f>
        <v>1</v>
      </c>
      <c r="G42" s="2"/>
      <c r="L42" s="5"/>
      <c r="M42" s="4">
        <f>M41-Table13[[#This Row],[Debits]]+Table13[[#This Row],[Income]]</f>
        <v>2805.21</v>
      </c>
      <c r="N42" t="str">
        <f>IF(AND(Table13[[#This Row],[Category]]="pay",NOT(Table13[[#This Row],[Debits]]=0)),"bad","good")</f>
        <v>good</v>
      </c>
      <c r="O42" s="5"/>
    </row>
    <row r="43" spans="6:15" x14ac:dyDescent="0.3">
      <c r="F43">
        <f>MONTH(Table13[[#This Row],[Date  (DMY)]])</f>
        <v>1</v>
      </c>
      <c r="G43" s="2"/>
      <c r="L43" s="5"/>
      <c r="M43" s="4">
        <f>M42-Table13[[#This Row],[Debits]]+Table13[[#This Row],[Income]]</f>
        <v>2805.21</v>
      </c>
      <c r="N43" t="str">
        <f>IF(AND(Table13[[#This Row],[Category]]="pay",NOT(Table13[[#This Row],[Debits]]=0)),"bad","good")</f>
        <v>good</v>
      </c>
      <c r="O43" s="5"/>
    </row>
    <row r="44" spans="6:15" x14ac:dyDescent="0.3">
      <c r="F44">
        <f>MONTH(Table13[[#This Row],[Date  (DMY)]])</f>
        <v>1</v>
      </c>
      <c r="G44" s="2"/>
      <c r="L44" s="5"/>
      <c r="M44" s="4">
        <f>M43-Table13[[#This Row],[Debits]]+Table13[[#This Row],[Income]]</f>
        <v>2805.21</v>
      </c>
      <c r="N44" t="str">
        <f>IF(AND(Table13[[#This Row],[Category]]="pay",NOT(Table13[[#This Row],[Debits]]=0)),"bad","good")</f>
        <v>good</v>
      </c>
      <c r="O44" s="5"/>
    </row>
    <row r="45" spans="6:15" x14ac:dyDescent="0.3">
      <c r="F45">
        <f>MONTH(Table13[[#This Row],[Date  (DMY)]])</f>
        <v>1</v>
      </c>
      <c r="G45" s="2"/>
      <c r="L45" s="5"/>
      <c r="M45" s="4">
        <f>M44-Table13[[#This Row],[Debits]]+Table13[[#This Row],[Income]]</f>
        <v>2805.21</v>
      </c>
      <c r="N45" t="str">
        <f>IF(AND(Table13[[#This Row],[Category]]="pay",NOT(Table13[[#This Row],[Debits]]=0)),"bad","good")</f>
        <v>good</v>
      </c>
      <c r="O45" s="5"/>
    </row>
    <row r="46" spans="6:15" x14ac:dyDescent="0.3">
      <c r="F46">
        <f>MONTH(Table13[[#This Row],[Date  (DMY)]])</f>
        <v>1</v>
      </c>
      <c r="G46" s="2"/>
      <c r="L46" s="5"/>
      <c r="M46" s="4">
        <f>M45-Table13[[#This Row],[Debits]]+Table13[[#This Row],[Income]]</f>
        <v>2805.21</v>
      </c>
      <c r="N46" t="str">
        <f>IF(AND(Table13[[#This Row],[Category]]="pay",NOT(Table13[[#This Row],[Debits]]=0)),"bad","good")</f>
        <v>good</v>
      </c>
      <c r="O46" s="5"/>
    </row>
    <row r="47" spans="6:15" x14ac:dyDescent="0.3">
      <c r="F47">
        <f>MONTH(Table13[[#This Row],[Date  (DMY)]])</f>
        <v>1</v>
      </c>
      <c r="G47" s="2"/>
      <c r="L47" s="5"/>
      <c r="M47" s="4">
        <f>M46-Table13[[#This Row],[Debits]]+Table13[[#This Row],[Income]]</f>
        <v>2805.21</v>
      </c>
      <c r="N47" t="str">
        <f>IF(AND(Table13[[#This Row],[Category]]="pay",NOT(Table13[[#This Row],[Debits]]=0)),"bad","good")</f>
        <v>good</v>
      </c>
      <c r="O47" s="5"/>
    </row>
    <row r="48" spans="6:15" x14ac:dyDescent="0.3">
      <c r="F48">
        <f>MONTH(Table13[[#This Row],[Date  (DMY)]])</f>
        <v>1</v>
      </c>
      <c r="G48" s="2"/>
      <c r="L48" s="5"/>
      <c r="M48" s="4">
        <f>M47-Table13[[#This Row],[Debits]]+Table13[[#This Row],[Income]]</f>
        <v>2805.21</v>
      </c>
      <c r="N48" t="str">
        <f>IF(AND(Table13[[#This Row],[Category]]="pay",NOT(Table13[[#This Row],[Debits]]=0)),"bad","good")</f>
        <v>good</v>
      </c>
      <c r="O48" s="5"/>
    </row>
    <row r="49" spans="6:15" x14ac:dyDescent="0.3">
      <c r="F49">
        <f>MONTH(Table13[[#This Row],[Date  (DMY)]])</f>
        <v>1</v>
      </c>
      <c r="G49" s="2"/>
      <c r="L49" s="5"/>
      <c r="M49" s="4">
        <f>M48-Table13[[#This Row],[Debits]]+Table13[[#This Row],[Income]]</f>
        <v>2805.21</v>
      </c>
      <c r="N49" t="str">
        <f>IF(AND(Table13[[#This Row],[Category]]="pay",NOT(Table13[[#This Row],[Debits]]=0)),"bad","good")</f>
        <v>good</v>
      </c>
      <c r="O49" s="5"/>
    </row>
    <row r="50" spans="6:15" x14ac:dyDescent="0.3">
      <c r="F50">
        <f>MONTH(Table13[[#This Row],[Date  (DMY)]])</f>
        <v>1</v>
      </c>
      <c r="G50" s="2"/>
      <c r="L50" s="5"/>
      <c r="M50" s="4">
        <f>M49-Table13[[#This Row],[Debits]]+Table13[[#This Row],[Income]]</f>
        <v>2805.21</v>
      </c>
      <c r="N50" t="str">
        <f>IF(AND(Table13[[#This Row],[Category]]="pay",NOT(Table13[[#This Row],[Debits]]=0)),"bad","good")</f>
        <v>good</v>
      </c>
      <c r="O50" s="5"/>
    </row>
    <row r="51" spans="6:15" x14ac:dyDescent="0.3">
      <c r="F51">
        <f>MONTH(Table13[[#This Row],[Date  (DMY)]])</f>
        <v>1</v>
      </c>
      <c r="G51" s="2"/>
      <c r="L51" s="5"/>
      <c r="M51" s="4">
        <f>M50-Table13[[#This Row],[Debits]]+Table13[[#This Row],[Income]]</f>
        <v>2805.21</v>
      </c>
      <c r="N51" t="str">
        <f>IF(AND(Table13[[#This Row],[Category]]="pay",NOT(Table13[[#This Row],[Debits]]=0)),"bad","good")</f>
        <v>good</v>
      </c>
      <c r="O51" s="5"/>
    </row>
    <row r="52" spans="6:15" x14ac:dyDescent="0.3">
      <c r="F52">
        <f>MONTH(Table13[[#This Row],[Date  (DMY)]])</f>
        <v>1</v>
      </c>
      <c r="G52" s="2"/>
      <c r="L52" s="5"/>
      <c r="M52" s="4">
        <f>M51-Table13[[#This Row],[Debits]]+Table13[[#This Row],[Income]]</f>
        <v>2805.21</v>
      </c>
      <c r="N52" t="str">
        <f>IF(AND(Table13[[#This Row],[Category]]="pay",NOT(Table13[[#This Row],[Debits]]=0)),"bad","good")</f>
        <v>good</v>
      </c>
      <c r="O52" s="5"/>
    </row>
    <row r="53" spans="6:15" x14ac:dyDescent="0.3">
      <c r="F53">
        <f>MONTH(Table13[[#This Row],[Date  (DMY)]])</f>
        <v>1</v>
      </c>
      <c r="G53" s="2"/>
      <c r="L53" s="5"/>
      <c r="M53" s="4">
        <f>M52-Table13[[#This Row],[Debits]]+Table13[[#This Row],[Income]]</f>
        <v>2805.21</v>
      </c>
      <c r="N53" t="str">
        <f>IF(AND(Table13[[#This Row],[Category]]="pay",NOT(Table13[[#This Row],[Debits]]=0)),"bad","good")</f>
        <v>good</v>
      </c>
      <c r="O53" s="5"/>
    </row>
    <row r="54" spans="6:15" x14ac:dyDescent="0.3">
      <c r="F54">
        <f>MONTH(Table13[[#This Row],[Date  (DMY)]])</f>
        <v>1</v>
      </c>
      <c r="G54" s="2"/>
      <c r="L54" s="5"/>
      <c r="M54" s="4">
        <f>M53-Table13[[#This Row],[Debits]]+Table13[[#This Row],[Income]]</f>
        <v>2805.21</v>
      </c>
      <c r="N54" t="str">
        <f>IF(AND(Table13[[#This Row],[Category]]="pay",NOT(Table13[[#This Row],[Debits]]=0)),"bad","good")</f>
        <v>good</v>
      </c>
      <c r="O54" s="5"/>
    </row>
    <row r="55" spans="6:15" x14ac:dyDescent="0.3">
      <c r="F55">
        <f>MONTH(Table13[[#This Row],[Date  (DMY)]])</f>
        <v>1</v>
      </c>
      <c r="G55" s="2"/>
      <c r="L55" s="5"/>
      <c r="M55" s="4">
        <f>M54-Table13[[#This Row],[Debits]]+Table13[[#This Row],[Income]]</f>
        <v>2805.21</v>
      </c>
      <c r="N55" t="str">
        <f>IF(AND(Table13[[#This Row],[Category]]="pay",NOT(Table13[[#This Row],[Debits]]=0)),"bad","good")</f>
        <v>good</v>
      </c>
      <c r="O55" s="5"/>
    </row>
    <row r="56" spans="6:15" x14ac:dyDescent="0.3">
      <c r="F56">
        <f>MONTH(Table13[[#This Row],[Date  (DMY)]])</f>
        <v>1</v>
      </c>
      <c r="G56" s="2"/>
      <c r="L56" s="5"/>
      <c r="M56" s="4">
        <f>M55-Table13[[#This Row],[Debits]]+Table13[[#This Row],[Income]]</f>
        <v>2805.21</v>
      </c>
      <c r="N56" t="str">
        <f>IF(AND(Table13[[#This Row],[Category]]="pay",NOT(Table13[[#This Row],[Debits]]=0)),"bad","good")</f>
        <v>good</v>
      </c>
      <c r="O56" s="5"/>
    </row>
    <row r="57" spans="6:15" x14ac:dyDescent="0.3">
      <c r="F57">
        <f>MONTH(Table13[[#This Row],[Date  (DMY)]])</f>
        <v>1</v>
      </c>
      <c r="G57" s="2"/>
      <c r="L57" s="5"/>
      <c r="M57" s="4">
        <f>M56-Table13[[#This Row],[Debits]]+Table13[[#This Row],[Income]]</f>
        <v>2805.21</v>
      </c>
      <c r="N57" t="str">
        <f>IF(AND(Table13[[#This Row],[Category]]="pay",NOT(Table13[[#This Row],[Debits]]=0)),"bad","good")</f>
        <v>good</v>
      </c>
      <c r="O57" s="5"/>
    </row>
    <row r="58" spans="6:15" x14ac:dyDescent="0.3">
      <c r="F58">
        <f>MONTH(Table13[[#This Row],[Date  (DMY)]])</f>
        <v>1</v>
      </c>
      <c r="G58" s="2"/>
      <c r="L58" s="5"/>
      <c r="M58" s="4">
        <f>M57-Table13[[#This Row],[Debits]]+Table13[[#This Row],[Income]]</f>
        <v>2805.21</v>
      </c>
      <c r="N58" t="str">
        <f>IF(AND(Table13[[#This Row],[Category]]="pay",NOT(Table13[[#This Row],[Debits]]=0)),"bad","good")</f>
        <v>good</v>
      </c>
      <c r="O58" s="5"/>
    </row>
    <row r="59" spans="6:15" x14ac:dyDescent="0.3">
      <c r="F59">
        <f>MONTH(Table13[[#This Row],[Date  (DMY)]])</f>
        <v>1</v>
      </c>
      <c r="G59" s="2"/>
      <c r="L59" s="5"/>
      <c r="M59" s="4">
        <f>M58-Table13[[#This Row],[Debits]]+Table13[[#This Row],[Income]]</f>
        <v>2805.21</v>
      </c>
      <c r="N59" t="str">
        <f>IF(AND(Table13[[#This Row],[Category]]="pay",NOT(Table13[[#This Row],[Debits]]=0)),"bad","good")</f>
        <v>good</v>
      </c>
      <c r="O59" s="5"/>
    </row>
    <row r="60" spans="6:15" x14ac:dyDescent="0.3">
      <c r="F60">
        <f>MONTH(Table13[[#This Row],[Date  (DMY)]])</f>
        <v>1</v>
      </c>
      <c r="G60" s="2"/>
      <c r="L60" s="5"/>
      <c r="M60" s="4">
        <f>M59-Table13[[#This Row],[Debits]]+Table13[[#This Row],[Income]]</f>
        <v>2805.21</v>
      </c>
      <c r="N60" t="str">
        <f>IF(AND(Table13[[#This Row],[Category]]="pay",NOT(Table13[[#This Row],[Debits]]=0)),"bad","good")</f>
        <v>good</v>
      </c>
      <c r="O60" s="5"/>
    </row>
    <row r="61" spans="6:15" x14ac:dyDescent="0.3">
      <c r="F61">
        <f>MONTH(Table13[[#This Row],[Date  (DMY)]])</f>
        <v>1</v>
      </c>
      <c r="G61" s="2"/>
      <c r="L61" s="5"/>
      <c r="M61" s="4">
        <f>M60-Table13[[#This Row],[Debits]]+Table13[[#This Row],[Income]]</f>
        <v>2805.21</v>
      </c>
      <c r="N61" t="str">
        <f>IF(AND(Table13[[#This Row],[Category]]="pay",NOT(Table13[[#This Row],[Debits]]=0)),"bad","good")</f>
        <v>good</v>
      </c>
      <c r="O61" s="5"/>
    </row>
    <row r="62" spans="6:15" x14ac:dyDescent="0.3">
      <c r="F62">
        <f>MONTH(Table13[[#This Row],[Date  (DMY)]])</f>
        <v>1</v>
      </c>
      <c r="G62" s="2"/>
      <c r="L62" s="5"/>
      <c r="M62" s="4">
        <f>M61-Table13[[#This Row],[Debits]]+Table13[[#This Row],[Income]]</f>
        <v>2805.21</v>
      </c>
      <c r="N62" t="str">
        <f>IF(AND(Table13[[#This Row],[Category]]="pay",NOT(Table13[[#This Row],[Debits]]=0)),"bad","good")</f>
        <v>good</v>
      </c>
      <c r="O62" s="5"/>
    </row>
    <row r="63" spans="6:15" x14ac:dyDescent="0.3">
      <c r="F63">
        <f>MONTH(Table13[[#This Row],[Date  (DMY)]])</f>
        <v>1</v>
      </c>
      <c r="G63" s="2"/>
      <c r="L63" s="5"/>
      <c r="M63" s="4">
        <f>M62-Table13[[#This Row],[Debits]]+Table13[[#This Row],[Income]]</f>
        <v>2805.21</v>
      </c>
      <c r="N63" t="str">
        <f>IF(AND(Table13[[#This Row],[Category]]="pay",NOT(Table13[[#This Row],[Debits]]=0)),"bad","good")</f>
        <v>good</v>
      </c>
      <c r="O63" s="5"/>
    </row>
    <row r="64" spans="6:15" x14ac:dyDescent="0.3">
      <c r="F64">
        <f>MONTH(Table13[[#This Row],[Date  (DMY)]])</f>
        <v>1</v>
      </c>
      <c r="G64" s="2"/>
      <c r="L64" s="5"/>
      <c r="M64" s="4">
        <f>M63-Table13[[#This Row],[Debits]]+Table13[[#This Row],[Income]]</f>
        <v>2805.21</v>
      </c>
      <c r="N64" t="str">
        <f>IF(AND(Table13[[#This Row],[Category]]="pay",NOT(Table13[[#This Row],[Debits]]=0)),"bad","good")</f>
        <v>good</v>
      </c>
      <c r="O64" s="5"/>
    </row>
    <row r="65" spans="6:15" x14ac:dyDescent="0.3">
      <c r="F65">
        <f>MONTH(Table13[[#This Row],[Date  (DMY)]])</f>
        <v>1</v>
      </c>
      <c r="G65" s="2"/>
      <c r="L65" s="5"/>
      <c r="M65" s="4">
        <f>M64-Table13[[#This Row],[Debits]]+Table13[[#This Row],[Income]]</f>
        <v>2805.21</v>
      </c>
      <c r="N65" t="str">
        <f>IF(AND(Table13[[#This Row],[Category]]="pay",NOT(Table13[[#This Row],[Debits]]=0)),"bad","good")</f>
        <v>good</v>
      </c>
      <c r="O65" s="5"/>
    </row>
    <row r="66" spans="6:15" x14ac:dyDescent="0.3">
      <c r="F66">
        <f>MONTH(Table13[[#This Row],[Date  (DMY)]])</f>
        <v>1</v>
      </c>
      <c r="G66" s="2"/>
      <c r="L66" s="5"/>
      <c r="M66" s="4">
        <f>M65-Table13[[#This Row],[Debits]]+Table13[[#This Row],[Income]]</f>
        <v>2805.21</v>
      </c>
      <c r="N66" t="str">
        <f>IF(AND(Table13[[#This Row],[Category]]="pay",NOT(Table13[[#This Row],[Debits]]=0)),"bad","good")</f>
        <v>good</v>
      </c>
      <c r="O66" s="5"/>
    </row>
    <row r="67" spans="6:15" x14ac:dyDescent="0.3">
      <c r="F67">
        <f>MONTH(Table13[[#This Row],[Date  (DMY)]])</f>
        <v>1</v>
      </c>
      <c r="G67" s="2"/>
      <c r="L67" s="5"/>
      <c r="M67" s="4">
        <f>M66-Table13[[#This Row],[Debits]]+Table13[[#This Row],[Income]]</f>
        <v>2805.21</v>
      </c>
      <c r="N67" t="str">
        <f>IF(AND(Table13[[#This Row],[Category]]="pay",NOT(Table13[[#This Row],[Debits]]=0)),"bad","good")</f>
        <v>good</v>
      </c>
      <c r="O67" s="5"/>
    </row>
    <row r="68" spans="6:15" x14ac:dyDescent="0.3">
      <c r="F68">
        <f>MONTH(Table13[[#This Row],[Date  (DMY)]])</f>
        <v>1</v>
      </c>
      <c r="G68" s="2"/>
      <c r="L68" s="5"/>
      <c r="M68" s="4">
        <f>M67-Table13[[#This Row],[Debits]]+Table13[[#This Row],[Income]]</f>
        <v>2805.21</v>
      </c>
      <c r="N68" t="str">
        <f>IF(AND(Table13[[#This Row],[Category]]="pay",NOT(Table13[[#This Row],[Debits]]=0)),"bad","good")</f>
        <v>good</v>
      </c>
      <c r="O68" s="5"/>
    </row>
    <row r="69" spans="6:15" x14ac:dyDescent="0.3">
      <c r="F69">
        <f>MONTH(Table13[[#This Row],[Date  (DMY)]])</f>
        <v>1</v>
      </c>
      <c r="G69" s="2"/>
      <c r="L69" s="5"/>
      <c r="M69" s="4">
        <f>M68-Table13[[#This Row],[Debits]]+Table13[[#This Row],[Income]]</f>
        <v>2805.21</v>
      </c>
      <c r="N69" t="str">
        <f>IF(AND(Table13[[#This Row],[Category]]="pay",NOT(Table13[[#This Row],[Debits]]=0)),"bad","good")</f>
        <v>good</v>
      </c>
      <c r="O69" s="5"/>
    </row>
    <row r="70" spans="6:15" x14ac:dyDescent="0.3">
      <c r="F70">
        <f>MONTH(Table13[[#This Row],[Date  (DMY)]])</f>
        <v>1</v>
      </c>
      <c r="G70" s="2"/>
      <c r="L70" s="5"/>
      <c r="M70" s="4">
        <f>M69-Table13[[#This Row],[Debits]]+Table13[[#This Row],[Income]]</f>
        <v>2805.21</v>
      </c>
      <c r="N70" t="str">
        <f>IF(AND(Table13[[#This Row],[Category]]="pay",NOT(Table13[[#This Row],[Debits]]=0)),"bad","good")</f>
        <v>good</v>
      </c>
      <c r="O70" s="5"/>
    </row>
    <row r="71" spans="6:15" x14ac:dyDescent="0.3">
      <c r="F71">
        <f>MONTH(Table13[[#This Row],[Date  (DMY)]])</f>
        <v>1</v>
      </c>
      <c r="G71" s="2"/>
      <c r="L71" s="5"/>
      <c r="M71" s="4">
        <f>M70-Table13[[#This Row],[Debits]]+Table13[[#This Row],[Income]]</f>
        <v>2805.21</v>
      </c>
      <c r="N71" t="str">
        <f>IF(AND(Table13[[#This Row],[Category]]="pay",NOT(Table13[[#This Row],[Debits]]=0)),"bad","good")</f>
        <v>good</v>
      </c>
      <c r="O71" s="5"/>
    </row>
    <row r="72" spans="6:15" x14ac:dyDescent="0.3">
      <c r="F72">
        <f>MONTH(Table13[[#This Row],[Date  (DMY)]])</f>
        <v>1</v>
      </c>
      <c r="G72" s="2"/>
      <c r="L72" s="5"/>
      <c r="M72" s="4">
        <f>M71-Table13[[#This Row],[Debits]]+Table13[[#This Row],[Income]]</f>
        <v>2805.21</v>
      </c>
      <c r="N72" t="str">
        <f>IF(AND(Table13[[#This Row],[Category]]="pay",NOT(Table13[[#This Row],[Debits]]=0)),"bad","good")</f>
        <v>good</v>
      </c>
      <c r="O72" s="5"/>
    </row>
    <row r="73" spans="6:15" x14ac:dyDescent="0.3">
      <c r="F73">
        <f>MONTH(Table13[[#This Row],[Date  (DMY)]])</f>
        <v>1</v>
      </c>
      <c r="G73" s="2"/>
      <c r="L73" s="5"/>
      <c r="M73" s="4">
        <f>M72-Table13[[#This Row],[Debits]]+Table13[[#This Row],[Income]]</f>
        <v>2805.21</v>
      </c>
      <c r="N73" t="str">
        <f>IF(AND(Table13[[#This Row],[Category]]="pay",NOT(Table13[[#This Row],[Debits]]=0)),"bad","good")</f>
        <v>good</v>
      </c>
      <c r="O73" s="5"/>
    </row>
    <row r="74" spans="6:15" x14ac:dyDescent="0.3">
      <c r="F74">
        <f>MONTH(Table13[[#This Row],[Date  (DMY)]])</f>
        <v>1</v>
      </c>
      <c r="G74" s="2"/>
      <c r="L74" s="5"/>
      <c r="M74" s="4">
        <f>M73-Table13[[#This Row],[Debits]]+Table13[[#This Row],[Income]]</f>
        <v>2805.21</v>
      </c>
      <c r="N74" t="str">
        <f>IF(AND(Table13[[#This Row],[Category]]="pay",NOT(Table13[[#This Row],[Debits]]=0)),"bad","good")</f>
        <v>good</v>
      </c>
      <c r="O74" s="5"/>
    </row>
    <row r="75" spans="6:15" x14ac:dyDescent="0.3">
      <c r="F75">
        <f>MONTH(Table13[[#This Row],[Date  (DMY)]])</f>
        <v>1</v>
      </c>
      <c r="G75" s="2"/>
      <c r="L75" s="5"/>
      <c r="M75" s="4">
        <f>M74-Table13[[#This Row],[Debits]]+Table13[[#This Row],[Income]]</f>
        <v>2805.21</v>
      </c>
      <c r="N75" t="str">
        <f>IF(AND(Table13[[#This Row],[Category]]="pay",NOT(Table13[[#This Row],[Debits]]=0)),"bad","good")</f>
        <v>good</v>
      </c>
      <c r="O75" s="5"/>
    </row>
    <row r="76" spans="6:15" x14ac:dyDescent="0.3">
      <c r="F76">
        <f>MONTH(Table13[[#This Row],[Date  (DMY)]])</f>
        <v>1</v>
      </c>
      <c r="G76" s="2"/>
      <c r="L76" s="5"/>
      <c r="M76" s="4">
        <f>M75-Table13[[#This Row],[Debits]]+Table13[[#This Row],[Income]]</f>
        <v>2805.21</v>
      </c>
      <c r="N76" t="str">
        <f>IF(AND(Table13[[#This Row],[Category]]="pay",NOT(Table13[[#This Row],[Debits]]=0)),"bad","good")</f>
        <v>good</v>
      </c>
      <c r="O76" s="5"/>
    </row>
    <row r="77" spans="6:15" x14ac:dyDescent="0.3">
      <c r="F77">
        <f>MONTH(Table13[[#This Row],[Date  (DMY)]])</f>
        <v>1</v>
      </c>
      <c r="G77" s="2"/>
      <c r="L77" s="5"/>
      <c r="M77" s="4">
        <f>M76-Table13[[#This Row],[Debits]]+Table13[[#This Row],[Income]]</f>
        <v>2805.21</v>
      </c>
      <c r="N77" t="str">
        <f>IF(AND(Table13[[#This Row],[Category]]="pay",NOT(Table13[[#This Row],[Debits]]=0)),"bad","good")</f>
        <v>good</v>
      </c>
      <c r="O77" s="5"/>
    </row>
    <row r="78" spans="6:15" x14ac:dyDescent="0.3">
      <c r="F78">
        <f>MONTH(Table13[[#This Row],[Date  (DMY)]])</f>
        <v>1</v>
      </c>
      <c r="G78" s="2"/>
      <c r="L78" s="5"/>
      <c r="M78" s="4">
        <f>M77-Table13[[#This Row],[Debits]]+Table13[[#This Row],[Income]]</f>
        <v>2805.21</v>
      </c>
      <c r="N78" t="str">
        <f>IF(AND(Table13[[#This Row],[Category]]="pay",NOT(Table13[[#This Row],[Debits]]=0)),"bad","good")</f>
        <v>good</v>
      </c>
      <c r="O78" s="5"/>
    </row>
    <row r="79" spans="6:15" x14ac:dyDescent="0.3">
      <c r="F79">
        <f>MONTH(Table13[[#This Row],[Date  (DMY)]])</f>
        <v>1</v>
      </c>
      <c r="G79" s="2"/>
      <c r="L79" s="5"/>
      <c r="M79" s="4">
        <f>M78-Table13[[#This Row],[Debits]]+Table13[[#This Row],[Income]]</f>
        <v>2805.21</v>
      </c>
      <c r="N79" t="str">
        <f>IF(AND(Table13[[#This Row],[Category]]="pay",NOT(Table13[[#This Row],[Debits]]=0)),"bad","good")</f>
        <v>good</v>
      </c>
      <c r="O79" s="5"/>
    </row>
    <row r="80" spans="6:15" x14ac:dyDescent="0.3">
      <c r="F80">
        <f>MONTH(Table13[[#This Row],[Date  (DMY)]])</f>
        <v>1</v>
      </c>
      <c r="G80" s="2"/>
      <c r="L80" s="5"/>
      <c r="M80" s="4">
        <f>M79-Table13[[#This Row],[Debits]]+Table13[[#This Row],[Income]]</f>
        <v>2805.21</v>
      </c>
      <c r="N80" t="str">
        <f>IF(AND(Table13[[#This Row],[Category]]="pay",NOT(Table13[[#This Row],[Debits]]=0)),"bad","good")</f>
        <v>good</v>
      </c>
      <c r="O80" s="5"/>
    </row>
    <row r="81" spans="6:15" x14ac:dyDescent="0.3">
      <c r="F81">
        <f>MONTH(Table13[[#This Row],[Date  (DMY)]])</f>
        <v>1</v>
      </c>
      <c r="G81" s="2"/>
      <c r="L81" s="5"/>
      <c r="M81" s="4">
        <f>M80-Table13[[#This Row],[Debits]]+Table13[[#This Row],[Income]]</f>
        <v>2805.21</v>
      </c>
      <c r="N81" t="str">
        <f>IF(AND(Table13[[#This Row],[Category]]="pay",NOT(Table13[[#This Row],[Debits]]=0)),"bad","good")</f>
        <v>good</v>
      </c>
      <c r="O81" s="5"/>
    </row>
    <row r="82" spans="6:15" x14ac:dyDescent="0.3">
      <c r="F82">
        <f>MONTH(Table13[[#This Row],[Date  (DMY)]])</f>
        <v>1</v>
      </c>
      <c r="G82" s="2"/>
      <c r="L82" s="5"/>
      <c r="M82" s="4">
        <f>M81-Table13[[#This Row],[Debits]]+Table13[[#This Row],[Income]]</f>
        <v>2805.21</v>
      </c>
      <c r="N82" t="str">
        <f>IF(AND(Table13[[#This Row],[Category]]="pay",NOT(Table13[[#This Row],[Debits]]=0)),"bad","good")</f>
        <v>good</v>
      </c>
      <c r="O82" s="5"/>
    </row>
    <row r="83" spans="6:15" x14ac:dyDescent="0.3">
      <c r="F83">
        <f>MONTH(Table13[[#This Row],[Date  (DMY)]])</f>
        <v>1</v>
      </c>
      <c r="G83" s="2"/>
      <c r="L83" s="5"/>
      <c r="M83" s="4">
        <f>M82-Table13[[#This Row],[Debits]]+Table13[[#This Row],[Income]]</f>
        <v>2805.21</v>
      </c>
      <c r="N83" t="str">
        <f>IF(AND(Table13[[#This Row],[Category]]="pay",NOT(Table13[[#This Row],[Debits]]=0)),"bad","good")</f>
        <v>good</v>
      </c>
      <c r="O83" s="5"/>
    </row>
    <row r="84" spans="6:15" x14ac:dyDescent="0.3">
      <c r="F84">
        <f>MONTH(Table13[[#This Row],[Date  (DMY)]])</f>
        <v>1</v>
      </c>
      <c r="G84" s="2"/>
      <c r="L84" s="5"/>
      <c r="M84" s="4">
        <f>M83-Table13[[#This Row],[Debits]]+Table13[[#This Row],[Income]]</f>
        <v>2805.21</v>
      </c>
      <c r="N84" t="str">
        <f>IF(AND(Table13[[#This Row],[Category]]="pay",NOT(Table13[[#This Row],[Debits]]=0)),"bad","good")</f>
        <v>good</v>
      </c>
      <c r="O84" s="5"/>
    </row>
    <row r="85" spans="6:15" x14ac:dyDescent="0.3">
      <c r="F85">
        <f>MONTH(Table13[[#This Row],[Date  (DMY)]])</f>
        <v>1</v>
      </c>
      <c r="G85" s="2"/>
      <c r="L85" s="5"/>
      <c r="M85" s="4">
        <f>M84-Table13[[#This Row],[Debits]]+Table13[[#This Row],[Income]]</f>
        <v>2805.21</v>
      </c>
      <c r="N85" t="str">
        <f>IF(AND(Table13[[#This Row],[Category]]="pay",NOT(Table13[[#This Row],[Debits]]=0)),"bad","good")</f>
        <v>good</v>
      </c>
      <c r="O85" s="5"/>
    </row>
    <row r="86" spans="6:15" x14ac:dyDescent="0.3">
      <c r="F86">
        <f>MONTH(Table13[[#This Row],[Date  (DMY)]])</f>
        <v>1</v>
      </c>
      <c r="G86" s="2"/>
      <c r="L86" s="5"/>
      <c r="M86" s="4">
        <f>M85-Table13[[#This Row],[Debits]]+Table13[[#This Row],[Income]]</f>
        <v>2805.21</v>
      </c>
      <c r="N86" t="str">
        <f>IF(AND(Table13[[#This Row],[Category]]="pay",NOT(Table13[[#This Row],[Debits]]=0)),"bad","good")</f>
        <v>good</v>
      </c>
      <c r="O86" s="5"/>
    </row>
    <row r="87" spans="6:15" x14ac:dyDescent="0.3">
      <c r="F87">
        <f>MONTH(Table13[[#This Row],[Date  (DMY)]])</f>
        <v>1</v>
      </c>
      <c r="G87" s="2"/>
      <c r="L87" s="5"/>
      <c r="M87" s="4">
        <f>M86-Table13[[#This Row],[Debits]]+Table13[[#This Row],[Income]]</f>
        <v>2805.21</v>
      </c>
      <c r="N87" t="str">
        <f>IF(AND(Table13[[#This Row],[Category]]="pay",NOT(Table13[[#This Row],[Debits]]=0)),"bad","good")</f>
        <v>good</v>
      </c>
      <c r="O87" s="5"/>
    </row>
    <row r="88" spans="6:15" x14ac:dyDescent="0.3">
      <c r="F88">
        <f>MONTH(Table13[[#This Row],[Date  (DMY)]])</f>
        <v>1</v>
      </c>
      <c r="G88" s="2"/>
      <c r="L88" s="5"/>
      <c r="M88" s="4">
        <f>M87-Table13[[#This Row],[Debits]]+Table13[[#This Row],[Income]]</f>
        <v>2805.21</v>
      </c>
      <c r="N88" t="str">
        <f>IF(AND(Table13[[#This Row],[Category]]="pay",NOT(Table13[[#This Row],[Debits]]=0)),"bad","good")</f>
        <v>good</v>
      </c>
      <c r="O88" s="5"/>
    </row>
    <row r="89" spans="6:15" x14ac:dyDescent="0.3">
      <c r="F89">
        <f>MONTH(Table13[[#This Row],[Date  (DMY)]])</f>
        <v>1</v>
      </c>
      <c r="G89" s="2"/>
      <c r="L89" s="5"/>
      <c r="M89" s="4">
        <f>M88-Table13[[#This Row],[Debits]]+Table13[[#This Row],[Income]]</f>
        <v>2805.21</v>
      </c>
      <c r="N89" t="str">
        <f>IF(AND(Table13[[#This Row],[Category]]="pay",NOT(Table13[[#This Row],[Debits]]=0)),"bad","good")</f>
        <v>good</v>
      </c>
      <c r="O89" s="5"/>
    </row>
    <row r="90" spans="6:15" x14ac:dyDescent="0.3">
      <c r="F90">
        <f>MONTH(Table13[[#This Row],[Date  (DMY)]])</f>
        <v>1</v>
      </c>
      <c r="G90" s="2"/>
      <c r="L90" s="5"/>
      <c r="M90" s="4">
        <f>M89-Table13[[#This Row],[Debits]]+Table13[[#This Row],[Income]]</f>
        <v>2805.21</v>
      </c>
      <c r="N90" t="str">
        <f>IF(AND(Table13[[#This Row],[Category]]="pay",NOT(Table13[[#This Row],[Debits]]=0)),"bad","good")</f>
        <v>good</v>
      </c>
      <c r="O90" s="5"/>
    </row>
    <row r="91" spans="6:15" x14ac:dyDescent="0.3">
      <c r="F91">
        <f>MONTH(Table13[[#This Row],[Date  (DMY)]])</f>
        <v>1</v>
      </c>
      <c r="G91" s="2"/>
      <c r="L91" s="5"/>
      <c r="M91" s="4">
        <f>M90-Table13[[#This Row],[Debits]]+Table13[[#This Row],[Income]]</f>
        <v>2805.21</v>
      </c>
      <c r="N91" t="str">
        <f>IF(AND(Table13[[#This Row],[Category]]="pay",NOT(Table13[[#This Row],[Debits]]=0)),"bad","good")</f>
        <v>good</v>
      </c>
      <c r="O91" s="5"/>
    </row>
    <row r="92" spans="6:15" x14ac:dyDescent="0.3">
      <c r="F92">
        <f>MONTH(Table13[[#This Row],[Date  (DMY)]])</f>
        <v>1</v>
      </c>
      <c r="G92" s="2"/>
      <c r="L92" s="5"/>
      <c r="M92" s="4">
        <f>M91-Table13[[#This Row],[Debits]]+Table13[[#This Row],[Income]]</f>
        <v>2805.21</v>
      </c>
      <c r="N92" t="str">
        <f>IF(AND(Table13[[#This Row],[Category]]="pay",NOT(Table13[[#This Row],[Debits]]=0)),"bad","good")</f>
        <v>good</v>
      </c>
      <c r="O92" s="5"/>
    </row>
    <row r="93" spans="6:15" x14ac:dyDescent="0.3">
      <c r="F93">
        <f>MONTH(Table13[[#This Row],[Date  (DMY)]])</f>
        <v>1</v>
      </c>
      <c r="G93" s="2"/>
      <c r="L93" s="5"/>
      <c r="M93" s="4">
        <f>M92-Table13[[#This Row],[Debits]]+Table13[[#This Row],[Income]]</f>
        <v>2805.21</v>
      </c>
      <c r="N93" t="str">
        <f>IF(AND(Table13[[#This Row],[Category]]="pay",NOT(Table13[[#This Row],[Debits]]=0)),"bad","good")</f>
        <v>good</v>
      </c>
      <c r="O93" s="5"/>
    </row>
    <row r="94" spans="6:15" x14ac:dyDescent="0.3">
      <c r="F94">
        <f>MONTH(Table13[[#This Row],[Date  (DMY)]])</f>
        <v>1</v>
      </c>
      <c r="G94" s="2"/>
      <c r="L94" s="5"/>
      <c r="M94" s="4">
        <f>M93-Table13[[#This Row],[Debits]]+Table13[[#This Row],[Income]]</f>
        <v>2805.21</v>
      </c>
      <c r="N94" t="str">
        <f>IF(AND(Table13[[#This Row],[Category]]="pay",NOT(Table13[[#This Row],[Debits]]=0)),"bad","good")</f>
        <v>good</v>
      </c>
      <c r="O94" s="5"/>
    </row>
    <row r="95" spans="6:15" x14ac:dyDescent="0.3">
      <c r="F95">
        <f>MONTH(Table13[[#This Row],[Date  (DMY)]])</f>
        <v>1</v>
      </c>
      <c r="G95" s="2"/>
      <c r="L95" s="5"/>
      <c r="M95" s="4">
        <f>M94-Table13[[#This Row],[Debits]]+Table13[[#This Row],[Income]]</f>
        <v>2805.21</v>
      </c>
      <c r="N95" t="str">
        <f>IF(AND(Table13[[#This Row],[Category]]="pay",NOT(Table13[[#This Row],[Debits]]=0)),"bad","good")</f>
        <v>good</v>
      </c>
      <c r="O95" s="5"/>
    </row>
    <row r="96" spans="6:15" x14ac:dyDescent="0.3">
      <c r="F96">
        <f>MONTH(Table13[[#This Row],[Date  (DMY)]])</f>
        <v>1</v>
      </c>
      <c r="G96" s="2"/>
      <c r="L96" s="5"/>
      <c r="M96" s="4">
        <f>M95-Table13[[#This Row],[Debits]]+Table13[[#This Row],[Income]]</f>
        <v>2805.21</v>
      </c>
      <c r="N96" t="str">
        <f>IF(AND(Table13[[#This Row],[Category]]="pay",NOT(Table13[[#This Row],[Debits]]=0)),"bad","good")</f>
        <v>good</v>
      </c>
      <c r="O96" s="5"/>
    </row>
    <row r="97" spans="6:15" x14ac:dyDescent="0.3">
      <c r="F97">
        <f>MONTH(Table13[[#This Row],[Date  (DMY)]])</f>
        <v>1</v>
      </c>
      <c r="G97" s="2"/>
      <c r="L97" s="5"/>
      <c r="M97" s="4">
        <f>M96-Table13[[#This Row],[Debits]]+Table13[[#This Row],[Income]]</f>
        <v>2805.21</v>
      </c>
      <c r="N97" t="str">
        <f>IF(AND(Table13[[#This Row],[Category]]="pay",NOT(Table13[[#This Row],[Debits]]=0)),"bad","good")</f>
        <v>good</v>
      </c>
      <c r="O97" s="5"/>
    </row>
    <row r="98" spans="6:15" x14ac:dyDescent="0.3">
      <c r="F98">
        <f>MONTH(Table13[[#This Row],[Date  (DMY)]])</f>
        <v>1</v>
      </c>
      <c r="G98" s="2"/>
      <c r="L98" s="5"/>
      <c r="M98" s="4">
        <f>M97-Table13[[#This Row],[Debits]]+Table13[[#This Row],[Income]]</f>
        <v>2805.21</v>
      </c>
      <c r="N98" t="str">
        <f>IF(AND(Table13[[#This Row],[Category]]="pay",NOT(Table13[[#This Row],[Debits]]=0)),"bad","good")</f>
        <v>good</v>
      </c>
      <c r="O98" s="5"/>
    </row>
    <row r="99" spans="6:15" x14ac:dyDescent="0.3">
      <c r="F99">
        <f>MONTH(Table13[[#This Row],[Date  (DMY)]])</f>
        <v>1</v>
      </c>
      <c r="G99" s="2"/>
      <c r="L99" s="5"/>
      <c r="M99" s="4">
        <f>M98-Table13[[#This Row],[Debits]]+Table13[[#This Row],[Income]]</f>
        <v>2805.21</v>
      </c>
      <c r="N99" t="str">
        <f>IF(AND(Table13[[#This Row],[Category]]="pay",NOT(Table13[[#This Row],[Debits]]=0)),"bad","good")</f>
        <v>good</v>
      </c>
      <c r="O99" s="5"/>
    </row>
    <row r="100" spans="6:15" x14ac:dyDescent="0.3">
      <c r="F100">
        <f>MONTH(Table13[[#This Row],[Date  (DMY)]])</f>
        <v>1</v>
      </c>
      <c r="G100" s="2"/>
      <c r="L100" s="5"/>
      <c r="M100" s="4">
        <f>M99-Table13[[#This Row],[Debits]]+Table13[[#This Row],[Income]]</f>
        <v>2805.21</v>
      </c>
      <c r="N100" t="str">
        <f>IF(AND(Table13[[#This Row],[Category]]="pay",NOT(Table13[[#This Row],[Debits]]=0)),"bad","good")</f>
        <v>good</v>
      </c>
      <c r="O100" s="5"/>
    </row>
    <row r="101" spans="6:15" x14ac:dyDescent="0.3">
      <c r="F101">
        <f>MONTH(Table13[[#This Row],[Date  (DMY)]])</f>
        <v>1</v>
      </c>
      <c r="G101" s="2"/>
      <c r="L101" s="5"/>
      <c r="M101" s="4">
        <f>M100-Table13[[#This Row],[Debits]]+Table13[[#This Row],[Income]]</f>
        <v>2805.21</v>
      </c>
      <c r="N101" t="str">
        <f>IF(AND(Table13[[#This Row],[Category]]="pay",NOT(Table13[[#This Row],[Debits]]=0)),"bad","good")</f>
        <v>good</v>
      </c>
      <c r="O101" s="5"/>
    </row>
    <row r="102" spans="6:15" x14ac:dyDescent="0.3">
      <c r="F102">
        <f>MONTH(Table13[[#This Row],[Date  (DMY)]])</f>
        <v>1</v>
      </c>
      <c r="G102" s="2"/>
      <c r="L102" s="5"/>
      <c r="M102" s="4">
        <f>M101-Table13[[#This Row],[Debits]]+Table13[[#This Row],[Income]]</f>
        <v>2805.21</v>
      </c>
      <c r="N102" t="str">
        <f>IF(AND(Table13[[#This Row],[Category]]="pay",NOT(Table13[[#This Row],[Debits]]=0)),"bad","good")</f>
        <v>good</v>
      </c>
      <c r="O102" s="5"/>
    </row>
    <row r="103" spans="6:15" x14ac:dyDescent="0.3">
      <c r="F103">
        <f>MONTH(Table13[[#This Row],[Date  (DMY)]])</f>
        <v>1</v>
      </c>
      <c r="G103" s="2"/>
      <c r="L103" s="5"/>
      <c r="M103" s="4">
        <f>M102-Table13[[#This Row],[Debits]]+Table13[[#This Row],[Income]]</f>
        <v>2805.21</v>
      </c>
      <c r="N103" t="str">
        <f>IF(AND(Table13[[#This Row],[Category]]="pay",NOT(Table13[[#This Row],[Debits]]=0)),"bad","good")</f>
        <v>good</v>
      </c>
      <c r="O103" s="5"/>
    </row>
    <row r="104" spans="6:15" x14ac:dyDescent="0.3">
      <c r="F104">
        <f>MONTH(Table13[[#This Row],[Date  (DMY)]])</f>
        <v>1</v>
      </c>
      <c r="G104" s="2"/>
      <c r="L104" s="5"/>
      <c r="M104" s="4">
        <f>M103-Table13[[#This Row],[Debits]]+Table13[[#This Row],[Income]]</f>
        <v>2805.21</v>
      </c>
      <c r="N104" t="str">
        <f>IF(AND(Table13[[#This Row],[Category]]="pay",NOT(Table13[[#This Row],[Debits]]=0)),"bad","good")</f>
        <v>good</v>
      </c>
      <c r="O104" s="5"/>
    </row>
    <row r="105" spans="6:15" x14ac:dyDescent="0.3">
      <c r="F105">
        <f>MONTH(Table13[[#This Row],[Date  (DMY)]])</f>
        <v>1</v>
      </c>
      <c r="G105" s="2"/>
      <c r="L105" s="5"/>
      <c r="M105" s="4">
        <f>M104-Table13[[#This Row],[Debits]]+Table13[[#This Row],[Income]]</f>
        <v>2805.21</v>
      </c>
      <c r="N105" t="str">
        <f>IF(AND(Table13[[#This Row],[Category]]="pay",NOT(Table13[[#This Row],[Debits]]=0)),"bad","good")</f>
        <v>good</v>
      </c>
      <c r="O105" s="5"/>
    </row>
    <row r="106" spans="6:15" x14ac:dyDescent="0.3">
      <c r="F106">
        <f>MONTH(Table13[[#This Row],[Date  (DMY)]])</f>
        <v>1</v>
      </c>
      <c r="G106" s="2"/>
      <c r="L106" s="5"/>
      <c r="M106" s="4">
        <f>M105-Table13[[#This Row],[Debits]]+Table13[[#This Row],[Income]]</f>
        <v>2805.21</v>
      </c>
      <c r="N106" t="str">
        <f>IF(AND(Table13[[#This Row],[Category]]="pay",NOT(Table13[[#This Row],[Debits]]=0)),"bad","good")</f>
        <v>good</v>
      </c>
      <c r="O106" s="5"/>
    </row>
    <row r="107" spans="6:15" x14ac:dyDescent="0.3">
      <c r="F107">
        <f>MONTH(Table13[[#This Row],[Date  (DMY)]])</f>
        <v>1</v>
      </c>
      <c r="G107" s="2"/>
      <c r="L107" s="5"/>
      <c r="M107" s="4">
        <f>M106-Table13[[#This Row],[Debits]]+Table13[[#This Row],[Income]]</f>
        <v>2805.21</v>
      </c>
      <c r="N107" t="str">
        <f>IF(AND(Table13[[#This Row],[Category]]="pay",NOT(Table13[[#This Row],[Debits]]=0)),"bad","good")</f>
        <v>good</v>
      </c>
      <c r="O107" s="5"/>
    </row>
    <row r="108" spans="6:15" x14ac:dyDescent="0.3">
      <c r="F108">
        <f>MONTH(Table13[[#This Row],[Date  (DMY)]])</f>
        <v>1</v>
      </c>
      <c r="G108" s="2"/>
      <c r="L108" s="5"/>
      <c r="M108" s="4">
        <f>M107-Table13[[#This Row],[Debits]]+Table13[[#This Row],[Income]]</f>
        <v>2805.21</v>
      </c>
      <c r="N108" t="str">
        <f>IF(AND(Table13[[#This Row],[Category]]="pay",NOT(Table13[[#This Row],[Debits]]=0)),"bad","good")</f>
        <v>good</v>
      </c>
      <c r="O108" s="5"/>
    </row>
    <row r="109" spans="6:15" x14ac:dyDescent="0.3">
      <c r="F109">
        <f>MONTH(Table13[[#This Row],[Date  (DMY)]])</f>
        <v>1</v>
      </c>
      <c r="G109" s="2"/>
      <c r="L109" s="5"/>
      <c r="M109" s="4">
        <f>M108-Table13[[#This Row],[Debits]]+Table13[[#This Row],[Income]]</f>
        <v>2805.21</v>
      </c>
      <c r="N109" t="str">
        <f>IF(AND(Table13[[#This Row],[Category]]="pay",NOT(Table13[[#This Row],[Debits]]=0)),"bad","good")</f>
        <v>good</v>
      </c>
      <c r="O109" s="5"/>
    </row>
    <row r="110" spans="6:15" x14ac:dyDescent="0.3">
      <c r="F110">
        <f>MONTH(Table13[[#This Row],[Date  (DMY)]])</f>
        <v>1</v>
      </c>
      <c r="G110" s="2"/>
      <c r="L110" s="5"/>
      <c r="M110" s="4">
        <f>M109-Table13[[#This Row],[Debits]]+Table13[[#This Row],[Income]]</f>
        <v>2805.21</v>
      </c>
      <c r="N110" t="str">
        <f>IF(AND(Table13[[#This Row],[Category]]="pay",NOT(Table13[[#This Row],[Debits]]=0)),"bad","good")</f>
        <v>good</v>
      </c>
      <c r="O110" s="5"/>
    </row>
    <row r="111" spans="6:15" x14ac:dyDescent="0.3">
      <c r="F111">
        <f>MONTH(Table13[[#This Row],[Date  (DMY)]])</f>
        <v>1</v>
      </c>
      <c r="G111" s="2"/>
      <c r="L111" s="5"/>
      <c r="M111" s="4">
        <f>M110-Table13[[#This Row],[Debits]]+Table13[[#This Row],[Income]]</f>
        <v>2805.21</v>
      </c>
      <c r="N111" t="str">
        <f>IF(AND(Table13[[#This Row],[Category]]="pay",NOT(Table13[[#This Row],[Debits]]=0)),"bad","good")</f>
        <v>good</v>
      </c>
      <c r="O111" s="5"/>
    </row>
    <row r="112" spans="6:15" x14ac:dyDescent="0.3">
      <c r="F112">
        <f>MONTH(Table13[[#This Row],[Date  (DMY)]])</f>
        <v>1</v>
      </c>
      <c r="G112" s="2"/>
      <c r="L112" s="5"/>
      <c r="M112" s="4">
        <f>M111-Table13[[#This Row],[Debits]]+Table13[[#This Row],[Income]]</f>
        <v>2805.21</v>
      </c>
      <c r="N112" t="str">
        <f>IF(AND(Table13[[#This Row],[Category]]="pay",NOT(Table13[[#This Row],[Debits]]=0)),"bad","good")</f>
        <v>good</v>
      </c>
      <c r="O112" s="5"/>
    </row>
    <row r="113" spans="6:15" x14ac:dyDescent="0.3">
      <c r="F113">
        <f>MONTH(Table13[[#This Row],[Date  (DMY)]])</f>
        <v>1</v>
      </c>
      <c r="G113" s="2"/>
      <c r="L113" s="5"/>
      <c r="M113" s="4">
        <f>M112-Table13[[#This Row],[Debits]]+Table13[[#This Row],[Income]]</f>
        <v>2805.21</v>
      </c>
      <c r="N113" t="str">
        <f>IF(AND(Table13[[#This Row],[Category]]="pay",NOT(Table13[[#This Row],[Debits]]=0)),"bad","good")</f>
        <v>good</v>
      </c>
      <c r="O113" s="5"/>
    </row>
    <row r="114" spans="6:15" x14ac:dyDescent="0.3">
      <c r="F114">
        <f>MONTH(Table13[[#This Row],[Date  (DMY)]])</f>
        <v>1</v>
      </c>
      <c r="G114" s="2"/>
      <c r="L114" s="5"/>
      <c r="M114" s="4">
        <f>M113-Table13[[#This Row],[Debits]]+Table13[[#This Row],[Income]]</f>
        <v>2805.21</v>
      </c>
      <c r="N114" t="str">
        <f>IF(AND(Table13[[#This Row],[Category]]="pay",NOT(Table13[[#This Row],[Debits]]=0)),"bad","good")</f>
        <v>good</v>
      </c>
      <c r="O114" s="5"/>
    </row>
    <row r="115" spans="6:15" x14ac:dyDescent="0.3">
      <c r="F115">
        <f>MONTH(Table13[[#This Row],[Date  (DMY)]])</f>
        <v>1</v>
      </c>
      <c r="G115" s="2"/>
      <c r="L115" s="5"/>
      <c r="M115" s="4">
        <f>M114-Table13[[#This Row],[Debits]]+Table13[[#This Row],[Income]]</f>
        <v>2805.21</v>
      </c>
      <c r="N115" t="str">
        <f>IF(AND(Table13[[#This Row],[Category]]="pay",NOT(Table13[[#This Row],[Debits]]=0)),"bad","good")</f>
        <v>good</v>
      </c>
      <c r="O115" s="5"/>
    </row>
    <row r="116" spans="6:15" x14ac:dyDescent="0.3">
      <c r="F116">
        <f>MONTH(Table13[[#This Row],[Date  (DMY)]])</f>
        <v>1</v>
      </c>
      <c r="G116" s="2"/>
      <c r="L116" s="5"/>
      <c r="M116" s="4">
        <f>M115-Table13[[#This Row],[Debits]]+Table13[[#This Row],[Income]]</f>
        <v>2805.21</v>
      </c>
      <c r="N116" t="str">
        <f>IF(AND(Table13[[#This Row],[Category]]="pay",NOT(Table13[[#This Row],[Debits]]=0)),"bad","good")</f>
        <v>good</v>
      </c>
      <c r="O116" s="5"/>
    </row>
    <row r="117" spans="6:15" x14ac:dyDescent="0.3">
      <c r="F117">
        <f>MONTH(Table13[[#This Row],[Date  (DMY)]])</f>
        <v>1</v>
      </c>
      <c r="G117" s="2"/>
      <c r="L117" s="5"/>
      <c r="M117" s="4">
        <f>M116-Table13[[#This Row],[Debits]]+Table13[[#This Row],[Income]]</f>
        <v>2805.21</v>
      </c>
      <c r="N117" t="str">
        <f>IF(AND(Table13[[#This Row],[Category]]="pay",NOT(Table13[[#This Row],[Debits]]=0)),"bad","good")</f>
        <v>good</v>
      </c>
      <c r="O117" s="5"/>
    </row>
    <row r="118" spans="6:15" x14ac:dyDescent="0.3">
      <c r="F118">
        <f>MONTH(Table13[[#This Row],[Date  (DMY)]])</f>
        <v>1</v>
      </c>
      <c r="G118" s="2"/>
      <c r="L118" s="5"/>
      <c r="M118" s="4">
        <f>M117-Table13[[#This Row],[Debits]]+Table13[[#This Row],[Income]]</f>
        <v>2805.21</v>
      </c>
      <c r="N118" t="str">
        <f>IF(AND(Table13[[#This Row],[Category]]="pay",NOT(Table13[[#This Row],[Debits]]=0)),"bad","good")</f>
        <v>good</v>
      </c>
      <c r="O118" s="5"/>
    </row>
    <row r="119" spans="6:15" x14ac:dyDescent="0.3">
      <c r="F119">
        <f>MONTH(Table13[[#This Row],[Date  (DMY)]])</f>
        <v>1</v>
      </c>
      <c r="G119" s="2"/>
      <c r="L119" s="5"/>
      <c r="M119" s="4">
        <f>M118-Table13[[#This Row],[Debits]]+Table13[[#This Row],[Income]]</f>
        <v>2805.21</v>
      </c>
      <c r="N119" t="str">
        <f>IF(AND(Table13[[#This Row],[Category]]="pay",NOT(Table13[[#This Row],[Debits]]=0)),"bad","good")</f>
        <v>good</v>
      </c>
      <c r="O119" s="5"/>
    </row>
    <row r="120" spans="6:15" x14ac:dyDescent="0.3">
      <c r="F120">
        <f>MONTH(Table13[[#This Row],[Date  (DMY)]])</f>
        <v>1</v>
      </c>
      <c r="G120" s="2"/>
      <c r="L120" s="5"/>
      <c r="M120" s="4">
        <f>M119-Table13[[#This Row],[Debits]]+Table13[[#This Row],[Income]]</f>
        <v>2805.21</v>
      </c>
      <c r="N120" t="str">
        <f>IF(AND(Table13[[#This Row],[Category]]="pay",NOT(Table13[[#This Row],[Debits]]=0)),"bad","good")</f>
        <v>good</v>
      </c>
      <c r="O120" s="5"/>
    </row>
    <row r="121" spans="6:15" x14ac:dyDescent="0.3">
      <c r="F121">
        <f>MONTH(Table13[[#This Row],[Date  (DMY)]])</f>
        <v>1</v>
      </c>
      <c r="G121" s="2"/>
      <c r="L121" s="5"/>
      <c r="M121" s="4">
        <f>M120-Table13[[#This Row],[Debits]]+Table13[[#This Row],[Income]]</f>
        <v>2805.21</v>
      </c>
      <c r="N121" t="str">
        <f>IF(AND(Table13[[#This Row],[Category]]="pay",NOT(Table13[[#This Row],[Debits]]=0)),"bad","good")</f>
        <v>good</v>
      </c>
      <c r="O121" s="5"/>
    </row>
    <row r="122" spans="6:15" x14ac:dyDescent="0.3">
      <c r="F122">
        <f>MONTH(Table13[[#This Row],[Date  (DMY)]])</f>
        <v>1</v>
      </c>
      <c r="G122" s="2"/>
      <c r="L122" s="5"/>
      <c r="M122" s="4">
        <f>M121-Table13[[#This Row],[Debits]]+Table13[[#This Row],[Income]]</f>
        <v>2805.21</v>
      </c>
      <c r="N122" t="str">
        <f>IF(AND(Table13[[#This Row],[Category]]="pay",NOT(Table13[[#This Row],[Debits]]=0)),"bad","good")</f>
        <v>good</v>
      </c>
      <c r="O122" s="5"/>
    </row>
    <row r="123" spans="6:15" x14ac:dyDescent="0.3">
      <c r="F123">
        <f>MONTH(Table13[[#This Row],[Date  (DMY)]])</f>
        <v>1</v>
      </c>
      <c r="G123" s="2"/>
      <c r="L123" s="5"/>
      <c r="M123" s="4">
        <f>M122-Table13[[#This Row],[Debits]]+Table13[[#This Row],[Income]]</f>
        <v>2805.21</v>
      </c>
      <c r="N123" t="str">
        <f>IF(AND(Table13[[#This Row],[Category]]="pay",NOT(Table13[[#This Row],[Debits]]=0)),"bad","good")</f>
        <v>good</v>
      </c>
      <c r="O123" s="5"/>
    </row>
    <row r="124" spans="6:15" x14ac:dyDescent="0.3">
      <c r="F124">
        <f>MONTH(Table13[[#This Row],[Date  (DMY)]])</f>
        <v>1</v>
      </c>
      <c r="G124" s="2"/>
      <c r="H124" s="1"/>
      <c r="K124" s="9"/>
      <c r="L124" s="2"/>
      <c r="M124" s="4">
        <f>M123-Table13[[#This Row],[Debits]]+Table13[[#This Row],[Income]]</f>
        <v>2805.21</v>
      </c>
      <c r="N124" t="str">
        <f>IF(AND(Table13[[#This Row],[Category]]="pay",NOT(Table13[[#This Row],[Debits]]=0)),"bad","good")</f>
        <v>good</v>
      </c>
      <c r="O124" s="5"/>
    </row>
    <row r="125" spans="6:15" x14ac:dyDescent="0.3">
      <c r="F125">
        <f>MONTH(Table13[[#This Row],[Date  (DMY)]])</f>
        <v>1</v>
      </c>
      <c r="G125" s="2"/>
      <c r="L125" s="5"/>
      <c r="M125" s="4">
        <f>M124-Table13[[#This Row],[Debits]]+Table13[[#This Row],[Income]]</f>
        <v>2805.21</v>
      </c>
      <c r="N125" t="str">
        <f>IF(AND(Table13[[#This Row],[Category]]="pay",NOT(Table13[[#This Row],[Debits]]=0)),"bad","good")</f>
        <v>good</v>
      </c>
      <c r="O125" s="5"/>
    </row>
    <row r="126" spans="6:15" x14ac:dyDescent="0.3">
      <c r="F126">
        <f>MONTH(Table13[[#This Row],[Date  (DMY)]])</f>
        <v>1</v>
      </c>
      <c r="G126" s="2"/>
      <c r="H126" s="1"/>
      <c r="K126" s="9"/>
      <c r="L126" s="2"/>
      <c r="M126" s="4">
        <f>M125-Table13[[#This Row],[Debits]]+Table13[[#This Row],[Income]]</f>
        <v>2805.21</v>
      </c>
      <c r="N126" t="str">
        <f>IF(AND(Table13[[#This Row],[Category]]="pay",NOT(Table13[[#This Row],[Debits]]=0)),"bad","good")</f>
        <v>good</v>
      </c>
      <c r="O126" s="5"/>
    </row>
    <row r="127" spans="6:15" x14ac:dyDescent="0.3">
      <c r="F127">
        <f>MONTH(Table13[[#This Row],[Date  (DMY)]])</f>
        <v>1</v>
      </c>
      <c r="G127" s="2"/>
      <c r="L127" s="5"/>
      <c r="M127" s="4">
        <f>M126-Table13[[#This Row],[Debits]]+Table13[[#This Row],[Income]]</f>
        <v>2805.21</v>
      </c>
      <c r="N127" t="str">
        <f>IF(AND(Table13[[#This Row],[Category]]="pay",NOT(Table13[[#This Row],[Debits]]=0)),"bad","good")</f>
        <v>good</v>
      </c>
      <c r="O127" s="5"/>
    </row>
    <row r="128" spans="6:15" x14ac:dyDescent="0.3">
      <c r="F128">
        <f>MONTH(Table13[[#This Row],[Date  (DMY)]])</f>
        <v>1</v>
      </c>
      <c r="G128" s="2"/>
      <c r="L128" s="5"/>
      <c r="M128" s="4">
        <f>M127-Table13[[#This Row],[Debits]]+Table13[[#This Row],[Income]]</f>
        <v>2805.21</v>
      </c>
      <c r="N128" t="str">
        <f>IF(AND(Table13[[#This Row],[Category]]="pay",NOT(Table13[[#This Row],[Debits]]=0)),"bad","good")</f>
        <v>good</v>
      </c>
      <c r="O128" s="5"/>
    </row>
    <row r="129" spans="6:15" x14ac:dyDescent="0.3">
      <c r="F129">
        <f>MONTH(Table13[[#This Row],[Date  (DMY)]])</f>
        <v>1</v>
      </c>
      <c r="G129" s="2"/>
      <c r="L129" s="5"/>
      <c r="M129" s="4">
        <f>M128-Table13[[#This Row],[Debits]]+Table13[[#This Row],[Income]]</f>
        <v>2805.21</v>
      </c>
      <c r="N129" t="str">
        <f>IF(AND(Table13[[#This Row],[Category]]="pay",NOT(Table13[[#This Row],[Debits]]=0)),"bad","good")</f>
        <v>good</v>
      </c>
      <c r="O129" s="5"/>
    </row>
    <row r="130" spans="6:15" x14ac:dyDescent="0.3">
      <c r="F130">
        <f>MONTH(Table13[[#This Row],[Date  (DMY)]])</f>
        <v>1</v>
      </c>
      <c r="G130" s="2"/>
      <c r="L130" s="5"/>
      <c r="M130" s="4">
        <f>M129-Table13[[#This Row],[Debits]]+Table13[[#This Row],[Income]]</f>
        <v>2805.21</v>
      </c>
      <c r="N130" t="str">
        <f>IF(AND(Table13[[#This Row],[Category]]="pay",NOT(Table13[[#This Row],[Debits]]=0)),"bad","good")</f>
        <v>good</v>
      </c>
      <c r="O130" s="5"/>
    </row>
    <row r="131" spans="6:15" x14ac:dyDescent="0.3">
      <c r="F131">
        <f>MONTH(Table13[[#This Row],[Date  (DMY)]])</f>
        <v>1</v>
      </c>
      <c r="G131" s="2"/>
      <c r="L131" s="2"/>
      <c r="M131" s="4">
        <f>M130-Table13[[#This Row],[Debits]]+Table13[[#This Row],[Income]]</f>
        <v>2805.21</v>
      </c>
      <c r="N131" t="str">
        <f>IF(AND(Table13[[#This Row],[Category]]="pay",NOT(Table13[[#This Row],[Debits]]=0)),"bad","good")</f>
        <v>good</v>
      </c>
      <c r="O131" s="5"/>
    </row>
    <row r="132" spans="6:15" x14ac:dyDescent="0.3">
      <c r="F132">
        <f>MONTH(Table13[[#This Row],[Date  (DMY)]])</f>
        <v>1</v>
      </c>
      <c r="G132" s="2"/>
      <c r="H132" s="1"/>
      <c r="K132" s="9"/>
      <c r="L132" s="2"/>
      <c r="M132" s="4">
        <f>M131-Table13[[#This Row],[Debits]]+Table13[[#This Row],[Income]]</f>
        <v>2805.21</v>
      </c>
      <c r="N132" t="str">
        <f>IF(AND(Table13[[#This Row],[Category]]="pay",NOT(Table13[[#This Row],[Debits]]=0)),"bad","good")</f>
        <v>good</v>
      </c>
      <c r="O132" s="5"/>
    </row>
    <row r="133" spans="6:15" x14ac:dyDescent="0.3">
      <c r="F133">
        <f>MONTH(Table13[[#This Row],[Date  (DMY)]])</f>
        <v>1</v>
      </c>
      <c r="G133" s="2"/>
      <c r="H133" s="1"/>
      <c r="K133" s="9"/>
      <c r="L133" s="2"/>
      <c r="M133" s="4">
        <f>M132-Table13[[#This Row],[Debits]]+Table13[[#This Row],[Income]]</f>
        <v>2805.21</v>
      </c>
      <c r="N133" t="str">
        <f>IF(AND(Table13[[#This Row],[Category]]="pay",NOT(Table13[[#This Row],[Debits]]=0)),"bad","good")</f>
        <v>good</v>
      </c>
      <c r="O133" s="5"/>
    </row>
    <row r="134" spans="6:15" x14ac:dyDescent="0.3">
      <c r="F134">
        <f>MONTH(Table13[[#This Row],[Date  (DMY)]])</f>
        <v>1</v>
      </c>
      <c r="G134" s="2"/>
      <c r="H134" s="1"/>
      <c r="K134" s="9"/>
      <c r="L134" s="2"/>
      <c r="M134" s="4">
        <f>M133-Table13[[#This Row],[Debits]]+Table13[[#This Row],[Income]]</f>
        <v>2805.21</v>
      </c>
      <c r="N134" t="str">
        <f>IF(AND(Table13[[#This Row],[Category]]="pay",NOT(Table13[[#This Row],[Debits]]=0)),"bad","good")</f>
        <v>good</v>
      </c>
      <c r="O134" s="5"/>
    </row>
    <row r="135" spans="6:15" x14ac:dyDescent="0.3">
      <c r="F135">
        <f>MONTH(Table13[[#This Row],[Date  (DMY)]])</f>
        <v>1</v>
      </c>
      <c r="G135" s="2"/>
      <c r="L135" s="2"/>
      <c r="M135" s="4">
        <f>M134-Table13[[#This Row],[Debits]]+Table13[[#This Row],[Income]]</f>
        <v>2805.21</v>
      </c>
      <c r="N135" t="str">
        <f>IF(AND(Table13[[#This Row],[Category]]="pay",NOT(Table13[[#This Row],[Debits]]=0)),"bad","good")</f>
        <v>good</v>
      </c>
      <c r="O135" s="5"/>
    </row>
    <row r="136" spans="6:15" x14ac:dyDescent="0.3">
      <c r="F136">
        <f>MONTH(Table13[[#This Row],[Date  (DMY)]])</f>
        <v>1</v>
      </c>
      <c r="G136" s="2"/>
      <c r="L136" s="2"/>
      <c r="M136" s="4">
        <f>M135-Table13[[#This Row],[Debits]]+Table13[[#This Row],[Income]]</f>
        <v>2805.21</v>
      </c>
      <c r="N136" t="str">
        <f>IF(AND(Table13[[#This Row],[Category]]="pay",NOT(Table13[[#This Row],[Debits]]=0)),"bad","good")</f>
        <v>good</v>
      </c>
      <c r="O136" s="5"/>
    </row>
    <row r="137" spans="6:15" x14ac:dyDescent="0.3">
      <c r="F137">
        <f>MONTH(Table13[[#This Row],[Date  (DMY)]])</f>
        <v>1</v>
      </c>
      <c r="G137" s="2"/>
      <c r="L137" s="2"/>
      <c r="M137" s="4">
        <f>M136-Table13[[#This Row],[Debits]]+Table13[[#This Row],[Income]]</f>
        <v>2805.21</v>
      </c>
      <c r="N137" t="str">
        <f>IF(AND(Table13[[#This Row],[Category]]="pay",NOT(Table13[[#This Row],[Debits]]=0)),"bad","good")</f>
        <v>good</v>
      </c>
      <c r="O137" s="5"/>
    </row>
    <row r="138" spans="6:15" x14ac:dyDescent="0.3">
      <c r="F138">
        <f>MONTH(Table13[[#This Row],[Date  (DMY)]])</f>
        <v>1</v>
      </c>
      <c r="G138" s="2"/>
      <c r="L138" s="2"/>
      <c r="M138" s="4">
        <f>M137-Table13[[#This Row],[Debits]]+Table13[[#This Row],[Income]]</f>
        <v>2805.21</v>
      </c>
      <c r="N138" t="str">
        <f>IF(AND(Table13[[#This Row],[Category]]="pay",NOT(Table13[[#This Row],[Debits]]=0)),"bad","good")</f>
        <v>good</v>
      </c>
      <c r="O138" s="5"/>
    </row>
    <row r="139" spans="6:15" x14ac:dyDescent="0.3">
      <c r="F139">
        <f>MONTH(Table13[[#This Row],[Date  (DMY)]])</f>
        <v>1</v>
      </c>
      <c r="G139" s="2"/>
      <c r="L139" s="2"/>
      <c r="M139" s="4">
        <f>M138-Table13[[#This Row],[Debits]]+Table13[[#This Row],[Income]]</f>
        <v>2805.21</v>
      </c>
      <c r="N139" t="str">
        <f>IF(AND(Table13[[#This Row],[Category]]="pay",NOT(Table13[[#This Row],[Debits]]=0)),"bad","good")</f>
        <v>good</v>
      </c>
      <c r="O139" s="5"/>
    </row>
    <row r="140" spans="6:15" x14ac:dyDescent="0.3">
      <c r="F140">
        <f>MONTH(Table13[[#This Row],[Date  (DMY)]])</f>
        <v>1</v>
      </c>
      <c r="G140" s="10"/>
      <c r="L140"/>
      <c r="M140" s="4">
        <f>M139-Table13[[#This Row],[Debits]]+Table13[[#This Row],[Income]]</f>
        <v>2805.21</v>
      </c>
      <c r="N140" t="str">
        <f>IF(AND(Table13[[#This Row],[Category]]="pay",NOT(Table13[[#This Row],[Debits]]=0)),"bad","good")</f>
        <v>good</v>
      </c>
      <c r="O140" s="5"/>
    </row>
    <row r="141" spans="6:15" x14ac:dyDescent="0.3">
      <c r="F141">
        <f>MONTH(Table13[[#This Row],[Date  (DMY)]])</f>
        <v>1</v>
      </c>
      <c r="G141" s="10"/>
      <c r="L141"/>
      <c r="M141" s="4">
        <f>M140-Table13[[#This Row],[Debits]]+Table13[[#This Row],[Income]]</f>
        <v>2805.21</v>
      </c>
      <c r="N141" t="str">
        <f>IF(AND(Table13[[#This Row],[Category]]="pay",NOT(Table13[[#This Row],[Debits]]=0)),"bad","good")</f>
        <v>good</v>
      </c>
      <c r="O141" s="5"/>
    </row>
    <row r="142" spans="6:15" x14ac:dyDescent="0.3">
      <c r="F142">
        <f>MONTH(Table13[[#This Row],[Date  (DMY)]])</f>
        <v>1</v>
      </c>
      <c r="G142" s="10"/>
      <c r="L142"/>
      <c r="M142" s="4">
        <f>M141-Table13[[#This Row],[Debits]]+Table13[[#This Row],[Income]]</f>
        <v>2805.21</v>
      </c>
      <c r="N142" t="str">
        <f>IF(AND(Table13[[#This Row],[Category]]="pay",NOT(Table13[[#This Row],[Debits]]=0)),"bad","good")</f>
        <v>good</v>
      </c>
      <c r="O142" s="5"/>
    </row>
    <row r="143" spans="6:15" x14ac:dyDescent="0.3">
      <c r="F143">
        <f>MONTH(Table13[[#This Row],[Date  (DMY)]])</f>
        <v>1</v>
      </c>
      <c r="G143" s="10"/>
      <c r="L143"/>
      <c r="M143" s="4">
        <f>M142-Table13[[#This Row],[Debits]]+Table13[[#This Row],[Income]]</f>
        <v>2805.21</v>
      </c>
      <c r="N143" t="str">
        <f>IF(AND(Table13[[#This Row],[Category]]="pay",NOT(Table13[[#This Row],[Debits]]=0)),"bad","good")</f>
        <v>good</v>
      </c>
      <c r="O143" s="5"/>
    </row>
    <row r="144" spans="6:15" x14ac:dyDescent="0.3">
      <c r="F144">
        <f>MONTH(Table13[[#This Row],[Date  (DMY)]])</f>
        <v>1</v>
      </c>
      <c r="G144" s="10"/>
      <c r="L144"/>
      <c r="M144" s="4">
        <f>M143-Table13[[#This Row],[Debits]]+Table13[[#This Row],[Income]]</f>
        <v>2805.21</v>
      </c>
      <c r="N144" t="str">
        <f>IF(AND(Table13[[#This Row],[Category]]="pay",NOT(Table13[[#This Row],[Debits]]=0)),"bad","good")</f>
        <v>good</v>
      </c>
      <c r="O144" s="5"/>
    </row>
    <row r="145" spans="6:15" x14ac:dyDescent="0.3">
      <c r="F145">
        <f>MONTH(Table13[[#This Row],[Date  (DMY)]])</f>
        <v>1</v>
      </c>
      <c r="G145" s="10"/>
      <c r="L145"/>
      <c r="M145" s="4">
        <f>M144-Table13[[#This Row],[Debits]]+Table13[[#This Row],[Income]]</f>
        <v>2805.21</v>
      </c>
      <c r="N145" t="str">
        <f>IF(AND(Table13[[#This Row],[Category]]="pay",NOT(Table13[[#This Row],[Debits]]=0)),"bad","good")</f>
        <v>good</v>
      </c>
      <c r="O145" s="5"/>
    </row>
    <row r="146" spans="6:15" x14ac:dyDescent="0.3">
      <c r="F146">
        <f>MONTH(Table13[[#This Row],[Date  (DMY)]])</f>
        <v>1</v>
      </c>
      <c r="G146" s="10"/>
      <c r="L146"/>
      <c r="M146" s="4">
        <f>M145-Table13[[#This Row],[Debits]]+Table13[[#This Row],[Income]]</f>
        <v>2805.21</v>
      </c>
      <c r="N146" t="str">
        <f>IF(AND(Table13[[#This Row],[Category]]="pay",NOT(Table13[[#This Row],[Debits]]=0)),"bad","good")</f>
        <v>good</v>
      </c>
      <c r="O146" s="5"/>
    </row>
    <row r="147" spans="6:15" x14ac:dyDescent="0.3">
      <c r="F147">
        <f>MONTH(Table13[[#This Row],[Date  (DMY)]])</f>
        <v>1</v>
      </c>
      <c r="G147" s="10"/>
      <c r="L147"/>
      <c r="M147" s="4">
        <f>M146-Table13[[#This Row],[Debits]]+Table13[[#This Row],[Income]]</f>
        <v>2805.21</v>
      </c>
      <c r="N147" t="str">
        <f>IF(AND(Table13[[#This Row],[Category]]="pay",NOT(Table13[[#This Row],[Debits]]=0)),"bad","good")</f>
        <v>good</v>
      </c>
      <c r="O147" s="5"/>
    </row>
    <row r="148" spans="6:15" x14ac:dyDescent="0.3">
      <c r="F148">
        <f>MONTH(Table13[[#This Row],[Date  (DMY)]])</f>
        <v>1</v>
      </c>
      <c r="G148" s="10"/>
      <c r="L148"/>
      <c r="M148" s="4">
        <f>M147-Table13[[#This Row],[Debits]]+Table13[[#This Row],[Income]]</f>
        <v>2805.21</v>
      </c>
      <c r="N148" t="str">
        <f>IF(AND(Table13[[#This Row],[Category]]="pay",NOT(Table13[[#This Row],[Debits]]=0)),"bad","good")</f>
        <v>good</v>
      </c>
      <c r="O148" s="5"/>
    </row>
    <row r="149" spans="6:15" x14ac:dyDescent="0.3">
      <c r="F149">
        <f>MONTH(Table13[[#This Row],[Date  (DMY)]])</f>
        <v>1</v>
      </c>
      <c r="G149" s="10"/>
      <c r="L149"/>
      <c r="M149" s="4">
        <f>M148-Table13[[#This Row],[Debits]]+Table13[[#This Row],[Income]]</f>
        <v>2805.21</v>
      </c>
      <c r="N149" t="str">
        <f>IF(AND(Table13[[#This Row],[Category]]="pay",NOT(Table13[[#This Row],[Debits]]=0)),"bad","good")</f>
        <v>good</v>
      </c>
      <c r="O149" s="5"/>
    </row>
    <row r="150" spans="6:15" x14ac:dyDescent="0.3">
      <c r="F150">
        <f>MONTH(Table13[[#This Row],[Date  (DMY)]])</f>
        <v>1</v>
      </c>
      <c r="G150" s="10"/>
      <c r="L150"/>
      <c r="M150" s="4">
        <f>M149-Table13[[#This Row],[Debits]]+Table13[[#This Row],[Income]]</f>
        <v>2805.21</v>
      </c>
      <c r="N150" t="str">
        <f>IF(AND(Table13[[#This Row],[Category]]="pay",NOT(Table13[[#This Row],[Debits]]=0)),"bad","good")</f>
        <v>good</v>
      </c>
      <c r="O150" s="5"/>
    </row>
    <row r="151" spans="6:15" x14ac:dyDescent="0.3">
      <c r="F151">
        <f>MONTH(Table13[[#This Row],[Date  (DMY)]])</f>
        <v>1</v>
      </c>
      <c r="G151" s="10"/>
      <c r="L151"/>
      <c r="M151" s="4">
        <f>M150-Table13[[#This Row],[Debits]]+Table13[[#This Row],[Income]]</f>
        <v>2805.21</v>
      </c>
      <c r="N151" t="str">
        <f>IF(AND(Table13[[#This Row],[Category]]="pay",NOT(Table13[[#This Row],[Debits]]=0)),"bad","good")</f>
        <v>good</v>
      </c>
      <c r="O151" s="5"/>
    </row>
    <row r="152" spans="6:15" x14ac:dyDescent="0.3">
      <c r="F152">
        <f>MONTH(Table13[[#This Row],[Date  (DMY)]])</f>
        <v>1</v>
      </c>
      <c r="G152" s="10"/>
      <c r="L152"/>
      <c r="M152" s="4">
        <f>M151-Table13[[#This Row],[Debits]]+Table13[[#This Row],[Income]]</f>
        <v>2805.21</v>
      </c>
      <c r="N152" t="str">
        <f>IF(AND(Table13[[#This Row],[Category]]="pay",NOT(Table13[[#This Row],[Debits]]=0)),"bad","good")</f>
        <v>good</v>
      </c>
      <c r="O152" s="5"/>
    </row>
    <row r="153" spans="6:15" x14ac:dyDescent="0.3">
      <c r="F153">
        <f>MONTH(Table13[[#This Row],[Date  (DMY)]])</f>
        <v>1</v>
      </c>
      <c r="G153" s="10"/>
      <c r="L153"/>
      <c r="M153" s="4">
        <f>M152-Table13[[#This Row],[Debits]]+Table13[[#This Row],[Income]]</f>
        <v>2805.21</v>
      </c>
      <c r="N153" t="str">
        <f>IF(AND(Table13[[#This Row],[Category]]="pay",NOT(Table13[[#This Row],[Debits]]=0)),"bad","good")</f>
        <v>good</v>
      </c>
      <c r="O153" s="5"/>
    </row>
    <row r="154" spans="6:15" x14ac:dyDescent="0.3">
      <c r="F154">
        <f>MONTH(Table13[[#This Row],[Date  (DMY)]])</f>
        <v>1</v>
      </c>
      <c r="G154" s="10"/>
      <c r="L154"/>
      <c r="M154" s="4">
        <f>M153-Table13[[#This Row],[Debits]]+Table13[[#This Row],[Income]]</f>
        <v>2805.21</v>
      </c>
      <c r="N154" t="str">
        <f>IF(AND(Table13[[#This Row],[Category]]="pay",NOT(Table13[[#This Row],[Debits]]=0)),"bad","good")</f>
        <v>good</v>
      </c>
      <c r="O154" s="5"/>
    </row>
    <row r="155" spans="6:15" x14ac:dyDescent="0.3">
      <c r="F155">
        <f>MONTH(Table13[[#This Row],[Date  (DMY)]])</f>
        <v>1</v>
      </c>
      <c r="G155" s="10"/>
      <c r="L155"/>
      <c r="M155" s="4">
        <f>M154-Table13[[#This Row],[Debits]]+Table13[[#This Row],[Income]]</f>
        <v>2805.21</v>
      </c>
      <c r="N155" t="str">
        <f>IF(AND(Table13[[#This Row],[Category]]="pay",NOT(Table13[[#This Row],[Debits]]=0)),"bad","good")</f>
        <v>good</v>
      </c>
      <c r="O155" s="5"/>
    </row>
    <row r="156" spans="6:15" x14ac:dyDescent="0.3">
      <c r="F156">
        <f>MONTH(Table13[[#This Row],[Date  (DMY)]])</f>
        <v>1</v>
      </c>
      <c r="G156" s="10"/>
      <c r="L156"/>
      <c r="M156" s="4">
        <f>M155-Table13[[#This Row],[Debits]]+Table13[[#This Row],[Income]]</f>
        <v>2805.21</v>
      </c>
      <c r="N156" t="str">
        <f>IF(AND(Table13[[#This Row],[Category]]="pay",NOT(Table13[[#This Row],[Debits]]=0)),"bad","good")</f>
        <v>good</v>
      </c>
      <c r="O156" s="5"/>
    </row>
    <row r="157" spans="6:15" x14ac:dyDescent="0.3">
      <c r="F157">
        <f>MONTH(Table13[[#This Row],[Date  (DMY)]])</f>
        <v>1</v>
      </c>
      <c r="G157" s="10"/>
      <c r="L157"/>
      <c r="M157" s="4">
        <f>M156-Table13[[#This Row],[Debits]]+Table13[[#This Row],[Income]]</f>
        <v>2805.21</v>
      </c>
      <c r="N157" t="str">
        <f>IF(AND(Table13[[#This Row],[Category]]="pay",NOT(Table13[[#This Row],[Debits]]=0)),"bad","good")</f>
        <v>good</v>
      </c>
      <c r="O157" s="5"/>
    </row>
    <row r="158" spans="6:15" x14ac:dyDescent="0.3">
      <c r="F158">
        <f>MONTH(Table13[[#This Row],[Date  (DMY)]])</f>
        <v>1</v>
      </c>
      <c r="G158" s="10"/>
      <c r="L158"/>
      <c r="M158" s="4">
        <f>M157-Table13[[#This Row],[Debits]]+Table13[[#This Row],[Income]]</f>
        <v>2805.21</v>
      </c>
      <c r="N158" t="str">
        <f>IF(AND(Table13[[#This Row],[Category]]="pay",NOT(Table13[[#This Row],[Debits]]=0)),"bad","good")</f>
        <v>good</v>
      </c>
      <c r="O158" s="5"/>
    </row>
    <row r="159" spans="6:15" x14ac:dyDescent="0.3">
      <c r="F159">
        <f>MONTH(Table13[[#This Row],[Date  (DMY)]])</f>
        <v>1</v>
      </c>
      <c r="G159" s="10"/>
      <c r="L159"/>
      <c r="M159" s="4">
        <f>M158-Table13[[#This Row],[Debits]]+Table13[[#This Row],[Income]]</f>
        <v>2805.21</v>
      </c>
      <c r="N159" t="str">
        <f>IF(AND(Table13[[#This Row],[Category]]="pay",NOT(Table13[[#This Row],[Debits]]=0)),"bad","good")</f>
        <v>good</v>
      </c>
      <c r="O159" s="5"/>
    </row>
    <row r="160" spans="6:15" x14ac:dyDescent="0.3">
      <c r="F160">
        <f>MONTH(Table13[[#This Row],[Date  (DMY)]])</f>
        <v>1</v>
      </c>
      <c r="G160" s="10"/>
      <c r="L160"/>
      <c r="M160" s="4">
        <f>M159-Table13[[#This Row],[Debits]]+Table13[[#This Row],[Income]]</f>
        <v>2805.21</v>
      </c>
      <c r="N160" t="str">
        <f>IF(AND(Table13[[#This Row],[Category]]="pay",NOT(Table13[[#This Row],[Debits]]=0)),"bad","good")</f>
        <v>good</v>
      </c>
      <c r="O160" s="5"/>
    </row>
    <row r="161" spans="6:15" x14ac:dyDescent="0.3">
      <c r="F161">
        <f>MONTH(Table13[[#This Row],[Date  (DMY)]])</f>
        <v>1</v>
      </c>
      <c r="G161" s="10"/>
      <c r="L161"/>
      <c r="M161" s="4">
        <f>M160-Table13[[#This Row],[Debits]]+Table13[[#This Row],[Income]]</f>
        <v>2805.21</v>
      </c>
      <c r="N161" t="str">
        <f>IF(AND(Table13[[#This Row],[Category]]="pay",NOT(Table13[[#This Row],[Debits]]=0)),"bad","good")</f>
        <v>good</v>
      </c>
      <c r="O161" s="5"/>
    </row>
    <row r="162" spans="6:15" x14ac:dyDescent="0.3">
      <c r="F162">
        <f>MONTH(Table13[[#This Row],[Date  (DMY)]])</f>
        <v>1</v>
      </c>
      <c r="G162" s="10"/>
      <c r="L162"/>
      <c r="M162" s="4">
        <f>M161-Table13[[#This Row],[Debits]]+Table13[[#This Row],[Income]]</f>
        <v>2805.21</v>
      </c>
      <c r="N162" t="str">
        <f>IF(AND(Table13[[#This Row],[Category]]="pay",NOT(Table13[[#This Row],[Debits]]=0)),"bad","good")</f>
        <v>good</v>
      </c>
      <c r="O162" s="5"/>
    </row>
    <row r="163" spans="6:15" x14ac:dyDescent="0.3">
      <c r="F163">
        <f>MONTH(Table13[[#This Row],[Date  (DMY)]])</f>
        <v>1</v>
      </c>
      <c r="G163" s="10"/>
      <c r="L163"/>
      <c r="M163" s="4">
        <f>M162-Table13[[#This Row],[Debits]]+Table13[[#This Row],[Income]]</f>
        <v>2805.21</v>
      </c>
      <c r="N163" t="str">
        <f>IF(AND(Table13[[#This Row],[Category]]="pay",NOT(Table13[[#This Row],[Debits]]=0)),"bad","good")</f>
        <v>good</v>
      </c>
      <c r="O163" s="5"/>
    </row>
    <row r="164" spans="6:15" x14ac:dyDescent="0.3">
      <c r="F164">
        <f>MONTH(Table13[[#This Row],[Date  (DMY)]])</f>
        <v>1</v>
      </c>
      <c r="G164" s="10"/>
      <c r="L164"/>
      <c r="M164" s="4">
        <f>M163-Table13[[#This Row],[Debits]]+Table13[[#This Row],[Income]]</f>
        <v>2805.21</v>
      </c>
      <c r="N164" t="str">
        <f>IF(AND(Table13[[#This Row],[Category]]="pay",NOT(Table13[[#This Row],[Debits]]=0)),"bad","good")</f>
        <v>good</v>
      </c>
      <c r="O164" s="5"/>
    </row>
    <row r="165" spans="6:15" x14ac:dyDescent="0.3">
      <c r="F165">
        <f>MONTH(Table13[[#This Row],[Date  (DMY)]])</f>
        <v>1</v>
      </c>
      <c r="G165" s="10"/>
      <c r="L165"/>
      <c r="M165" s="4">
        <f>M164-Table13[[#This Row],[Debits]]+Table13[[#This Row],[Income]]</f>
        <v>2805.21</v>
      </c>
      <c r="N165" t="str">
        <f>IF(AND(Table13[[#This Row],[Category]]="pay",NOT(Table13[[#This Row],[Debits]]=0)),"bad","good")</f>
        <v>good</v>
      </c>
      <c r="O165" s="5"/>
    </row>
    <row r="166" spans="6:15" x14ac:dyDescent="0.3">
      <c r="F166">
        <f>MONTH(Table13[[#This Row],[Date  (DMY)]])</f>
        <v>1</v>
      </c>
      <c r="G166" s="10"/>
      <c r="L166"/>
      <c r="M166" s="4">
        <f>M165-Table13[[#This Row],[Debits]]+Table13[[#This Row],[Income]]</f>
        <v>2805.21</v>
      </c>
      <c r="N166" t="str">
        <f>IF(AND(Table13[[#This Row],[Category]]="pay",NOT(Table13[[#This Row],[Debits]]=0)),"bad","good")</f>
        <v>good</v>
      </c>
      <c r="O166" s="5"/>
    </row>
    <row r="167" spans="6:15" x14ac:dyDescent="0.3">
      <c r="F167">
        <f>MONTH(Table13[[#This Row],[Date  (DMY)]])</f>
        <v>1</v>
      </c>
      <c r="G167" s="10"/>
      <c r="L167"/>
      <c r="M167" s="4">
        <f>M166-Table13[[#This Row],[Debits]]+Table13[[#This Row],[Income]]</f>
        <v>2805.21</v>
      </c>
      <c r="N167" t="str">
        <f>IF(AND(Table13[[#This Row],[Category]]="pay",NOT(Table13[[#This Row],[Debits]]=0)),"bad","good")</f>
        <v>good</v>
      </c>
      <c r="O167" s="5"/>
    </row>
    <row r="168" spans="6:15" x14ac:dyDescent="0.3">
      <c r="F168">
        <f>MONTH(Table13[[#This Row],[Date  (DMY)]])</f>
        <v>1</v>
      </c>
      <c r="G168" s="10"/>
      <c r="L168"/>
      <c r="M168" s="4">
        <f>M167-Table13[[#This Row],[Debits]]+Table13[[#This Row],[Income]]</f>
        <v>2805.21</v>
      </c>
      <c r="N168" t="str">
        <f>IF(AND(Table13[[#This Row],[Category]]="pay",NOT(Table13[[#This Row],[Debits]]=0)),"bad","good")</f>
        <v>good</v>
      </c>
      <c r="O168" s="5"/>
    </row>
    <row r="169" spans="6:15" x14ac:dyDescent="0.3">
      <c r="F169">
        <f>MONTH(Table13[[#This Row],[Date  (DMY)]])</f>
        <v>1</v>
      </c>
      <c r="G169" s="10"/>
      <c r="L169"/>
      <c r="M169" s="4">
        <f>M168-Table13[[#This Row],[Debits]]+Table13[[#This Row],[Income]]</f>
        <v>2805.21</v>
      </c>
      <c r="N169" t="str">
        <f>IF(AND(Table13[[#This Row],[Category]]="pay",NOT(Table13[[#This Row],[Debits]]=0)),"bad","good")</f>
        <v>good</v>
      </c>
      <c r="O169" s="5"/>
    </row>
    <row r="170" spans="6:15" x14ac:dyDescent="0.3">
      <c r="F170">
        <f>MONTH(Table13[[#This Row],[Date  (DMY)]])</f>
        <v>1</v>
      </c>
      <c r="G170" s="10"/>
      <c r="L170"/>
      <c r="M170" s="4">
        <f>M169-Table13[[#This Row],[Debits]]+Table13[[#This Row],[Income]]</f>
        <v>2805.21</v>
      </c>
      <c r="N170" t="str">
        <f>IF(AND(Table13[[#This Row],[Category]]="pay",NOT(Table13[[#This Row],[Debits]]=0)),"bad","good")</f>
        <v>good</v>
      </c>
      <c r="O170" s="5"/>
    </row>
    <row r="171" spans="6:15" x14ac:dyDescent="0.3">
      <c r="F171">
        <f>MONTH(Table13[[#This Row],[Date  (DMY)]])</f>
        <v>1</v>
      </c>
      <c r="G171" s="10"/>
      <c r="L171"/>
      <c r="M171" s="4">
        <f>M170-Table13[[#This Row],[Debits]]+Table13[[#This Row],[Income]]</f>
        <v>2805.21</v>
      </c>
      <c r="N171" t="str">
        <f>IF(AND(Table13[[#This Row],[Category]]="pay",NOT(Table13[[#This Row],[Debits]]=0)),"bad","good")</f>
        <v>good</v>
      </c>
      <c r="O171" s="5"/>
    </row>
    <row r="172" spans="6:15" x14ac:dyDescent="0.3">
      <c r="F172">
        <f>MONTH(Table13[[#This Row],[Date  (DMY)]])</f>
        <v>1</v>
      </c>
      <c r="G172" s="10"/>
      <c r="L172"/>
      <c r="M172" s="4">
        <f>M171-Table13[[#This Row],[Debits]]+Table13[[#This Row],[Income]]</f>
        <v>2805.21</v>
      </c>
      <c r="N172" t="str">
        <f>IF(AND(Table13[[#This Row],[Category]]="pay",NOT(Table13[[#This Row],[Debits]]=0)),"bad","good")</f>
        <v>good</v>
      </c>
      <c r="O172" s="5"/>
    </row>
    <row r="173" spans="6:15" x14ac:dyDescent="0.3">
      <c r="F173">
        <f>MONTH(Table13[[#This Row],[Date  (DMY)]])</f>
        <v>1</v>
      </c>
      <c r="G173" s="10"/>
      <c r="L173"/>
      <c r="M173" s="4">
        <f>M172-Table13[[#This Row],[Debits]]+Table13[[#This Row],[Income]]</f>
        <v>2805.21</v>
      </c>
      <c r="N173" t="str">
        <f>IF(AND(Table13[[#This Row],[Category]]="pay",NOT(Table13[[#This Row],[Debits]]=0)),"bad","good")</f>
        <v>good</v>
      </c>
      <c r="O173" s="5"/>
    </row>
    <row r="174" spans="6:15" x14ac:dyDescent="0.3">
      <c r="F174">
        <f>MONTH(Table13[[#This Row],[Date  (DMY)]])</f>
        <v>1</v>
      </c>
      <c r="G174" s="10"/>
      <c r="L174"/>
      <c r="M174" s="4">
        <f>M173-Table13[[#This Row],[Debits]]+Table13[[#This Row],[Income]]</f>
        <v>2805.21</v>
      </c>
      <c r="N174" t="str">
        <f>IF(AND(Table13[[#This Row],[Category]]="pay",NOT(Table13[[#This Row],[Debits]]=0)),"bad","good")</f>
        <v>good</v>
      </c>
      <c r="O174" s="5"/>
    </row>
    <row r="175" spans="6:15" x14ac:dyDescent="0.3">
      <c r="F175">
        <f>MONTH(Table13[[#This Row],[Date  (DMY)]])</f>
        <v>1</v>
      </c>
      <c r="G175" s="10"/>
      <c r="L175"/>
      <c r="M175" s="4">
        <f>M174-Table13[[#This Row],[Debits]]+Table13[[#This Row],[Income]]</f>
        <v>2805.21</v>
      </c>
      <c r="N175" t="str">
        <f>IF(AND(Table13[[#This Row],[Category]]="pay",NOT(Table13[[#This Row],[Debits]]=0)),"bad","good")</f>
        <v>good</v>
      </c>
      <c r="O175" s="5"/>
    </row>
    <row r="176" spans="6:15" x14ac:dyDescent="0.3">
      <c r="F176">
        <f>MONTH(Table13[[#This Row],[Date  (DMY)]])</f>
        <v>1</v>
      </c>
      <c r="G176" s="10"/>
      <c r="L176"/>
      <c r="M176" s="4">
        <f>M175-Table13[[#This Row],[Debits]]+Table13[[#This Row],[Income]]</f>
        <v>2805.21</v>
      </c>
      <c r="N176" t="str">
        <f>IF(AND(Table13[[#This Row],[Category]]="pay",NOT(Table13[[#This Row],[Debits]]=0)),"bad","good")</f>
        <v>good</v>
      </c>
      <c r="O176" s="5"/>
    </row>
    <row r="177" spans="6:15" x14ac:dyDescent="0.3">
      <c r="F177">
        <f>MONTH(Table13[[#This Row],[Date  (DMY)]])</f>
        <v>1</v>
      </c>
      <c r="G177" s="10"/>
      <c r="L177"/>
      <c r="M177" s="4">
        <f>M176-Table13[[#This Row],[Debits]]+Table13[[#This Row],[Income]]</f>
        <v>2805.21</v>
      </c>
      <c r="N177" t="str">
        <f>IF(AND(Table13[[#This Row],[Category]]="pay",NOT(Table13[[#This Row],[Debits]]=0)),"bad","good")</f>
        <v>good</v>
      </c>
      <c r="O177" s="5"/>
    </row>
    <row r="178" spans="6:15" x14ac:dyDescent="0.3">
      <c r="F178">
        <f>MONTH(Table13[[#This Row],[Date  (DMY)]])</f>
        <v>1</v>
      </c>
      <c r="G178" s="10"/>
      <c r="L178"/>
      <c r="M178" s="4">
        <f>M177-Table13[[#This Row],[Debits]]+Table13[[#This Row],[Income]]</f>
        <v>2805.21</v>
      </c>
      <c r="N178" t="str">
        <f>IF(AND(Table13[[#This Row],[Category]]="pay",NOT(Table13[[#This Row],[Debits]]=0)),"bad","good")</f>
        <v>good</v>
      </c>
      <c r="O178" s="5"/>
    </row>
    <row r="179" spans="6:15" x14ac:dyDescent="0.3">
      <c r="F179">
        <f>MONTH(Table13[[#This Row],[Date  (DMY)]])</f>
        <v>1</v>
      </c>
      <c r="G179" s="10"/>
      <c r="L179"/>
      <c r="M179" s="4">
        <f>M178-Table13[[#This Row],[Debits]]+Table13[[#This Row],[Income]]</f>
        <v>2805.21</v>
      </c>
      <c r="N179" t="str">
        <f>IF(AND(Table13[[#This Row],[Category]]="pay",NOT(Table13[[#This Row],[Debits]]=0)),"bad","good")</f>
        <v>good</v>
      </c>
      <c r="O179" s="5"/>
    </row>
    <row r="180" spans="6:15" x14ac:dyDescent="0.3">
      <c r="F180">
        <f>MONTH(Table13[[#This Row],[Date  (DMY)]])</f>
        <v>1</v>
      </c>
      <c r="G180" s="10"/>
      <c r="L180"/>
      <c r="M180" s="4">
        <f>M179-Table13[[#This Row],[Debits]]+Table13[[#This Row],[Income]]</f>
        <v>2805.21</v>
      </c>
      <c r="N180" t="str">
        <f>IF(AND(Table13[[#This Row],[Category]]="pay",NOT(Table13[[#This Row],[Debits]]=0)),"bad","good")</f>
        <v>good</v>
      </c>
      <c r="O180" s="5"/>
    </row>
    <row r="181" spans="6:15" x14ac:dyDescent="0.3">
      <c r="F181">
        <f>MONTH(Table13[[#This Row],[Date  (DMY)]])</f>
        <v>1</v>
      </c>
      <c r="G181" s="10"/>
      <c r="L181"/>
      <c r="M181" s="4">
        <f>M180-Table13[[#This Row],[Debits]]+Table13[[#This Row],[Income]]</f>
        <v>2805.21</v>
      </c>
      <c r="N181" t="str">
        <f>IF(AND(Table13[[#This Row],[Category]]="pay",NOT(Table13[[#This Row],[Debits]]=0)),"bad","good")</f>
        <v>good</v>
      </c>
      <c r="O181" s="5"/>
    </row>
    <row r="182" spans="6:15" x14ac:dyDescent="0.3">
      <c r="F182">
        <f>MONTH(Table13[[#This Row],[Date  (DMY)]])</f>
        <v>1</v>
      </c>
      <c r="G182" s="10"/>
      <c r="L182"/>
      <c r="M182" s="4">
        <f>M181-Table13[[#This Row],[Debits]]+Table13[[#This Row],[Income]]</f>
        <v>2805.21</v>
      </c>
      <c r="N182" t="str">
        <f>IF(AND(Table13[[#This Row],[Category]]="pay",NOT(Table13[[#This Row],[Debits]]=0)),"bad","good")</f>
        <v>good</v>
      </c>
      <c r="O182" s="5"/>
    </row>
    <row r="183" spans="6:15" x14ac:dyDescent="0.3">
      <c r="F183">
        <f>MONTH(Table13[[#This Row],[Date  (DMY)]])</f>
        <v>1</v>
      </c>
      <c r="G183" s="10"/>
      <c r="L183"/>
      <c r="M183" s="4">
        <f>M182-Table13[[#This Row],[Debits]]+Table13[[#This Row],[Income]]</f>
        <v>2805.21</v>
      </c>
      <c r="N183" t="str">
        <f>IF(AND(Table13[[#This Row],[Category]]="pay",NOT(Table13[[#This Row],[Debits]]=0)),"bad","good")</f>
        <v>good</v>
      </c>
      <c r="O183" s="5"/>
    </row>
    <row r="184" spans="6:15" x14ac:dyDescent="0.3">
      <c r="F184">
        <f>MONTH(Table13[[#This Row],[Date  (DMY)]])</f>
        <v>1</v>
      </c>
      <c r="G184" s="10"/>
      <c r="L184"/>
      <c r="M184" s="4">
        <f>M183-Table13[[#This Row],[Debits]]+Table13[[#This Row],[Income]]</f>
        <v>2805.21</v>
      </c>
      <c r="N184" t="str">
        <f>IF(AND(Table13[[#This Row],[Category]]="pay",NOT(Table13[[#This Row],[Debits]]=0)),"bad","good")</f>
        <v>good</v>
      </c>
      <c r="O184" s="5"/>
    </row>
    <row r="185" spans="6:15" x14ac:dyDescent="0.3">
      <c r="F185">
        <f>MONTH(Table13[[#This Row],[Date  (DMY)]])</f>
        <v>1</v>
      </c>
      <c r="G185" s="10"/>
      <c r="L185"/>
      <c r="M185" s="4">
        <f>M184-Table13[[#This Row],[Debits]]+Table13[[#This Row],[Income]]</f>
        <v>2805.21</v>
      </c>
      <c r="N185" t="str">
        <f>IF(AND(Table13[[#This Row],[Category]]="pay",NOT(Table13[[#This Row],[Debits]]=0)),"bad","good")</f>
        <v>good</v>
      </c>
      <c r="O185" s="5"/>
    </row>
    <row r="186" spans="6:15" x14ac:dyDescent="0.3">
      <c r="F186">
        <f>MONTH(Table13[[#This Row],[Date  (DMY)]])</f>
        <v>1</v>
      </c>
      <c r="G186" s="10"/>
      <c r="L186"/>
      <c r="M186" s="4">
        <f>M185-Table13[[#This Row],[Debits]]+Table13[[#This Row],[Income]]</f>
        <v>2805.21</v>
      </c>
      <c r="N186" t="str">
        <f>IF(AND(Table13[[#This Row],[Category]]="pay",NOT(Table13[[#This Row],[Debits]]=0)),"bad","good")</f>
        <v>good</v>
      </c>
      <c r="O186" s="5"/>
    </row>
    <row r="187" spans="6:15" x14ac:dyDescent="0.3">
      <c r="F187">
        <f>MONTH(Table13[[#This Row],[Date  (DMY)]])</f>
        <v>1</v>
      </c>
      <c r="G187" s="10"/>
      <c r="L187"/>
      <c r="M187" s="4">
        <f>M186-Table13[[#This Row],[Debits]]+Table13[[#This Row],[Income]]</f>
        <v>2805.21</v>
      </c>
      <c r="N187" t="str">
        <f>IF(AND(Table13[[#This Row],[Category]]="pay",NOT(Table13[[#This Row],[Debits]]=0)),"bad","good")</f>
        <v>good</v>
      </c>
      <c r="O187" s="5"/>
    </row>
    <row r="188" spans="6:15" x14ac:dyDescent="0.3">
      <c r="F188">
        <f>MONTH(Table13[[#This Row],[Date  (DMY)]])</f>
        <v>1</v>
      </c>
      <c r="G188" s="10"/>
      <c r="L188" s="5"/>
      <c r="M188" s="4">
        <f>M187-Table13[[#This Row],[Debits]]+Table13[[#This Row],[Income]]</f>
        <v>2805.21</v>
      </c>
      <c r="N188" t="str">
        <f>IF(AND(Table13[[#This Row],[Category]]="pay",NOT(Table13[[#This Row],[Debits]]=0)),"bad","good")</f>
        <v>good</v>
      </c>
      <c r="O188" s="5"/>
    </row>
    <row r="189" spans="6:15" x14ac:dyDescent="0.3">
      <c r="F189">
        <f>MONTH(Table13[[#This Row],[Date  (DMY)]])</f>
        <v>1</v>
      </c>
      <c r="G189" s="10"/>
      <c r="L189" s="5"/>
      <c r="M189" s="4">
        <f>M188-Table13[[#This Row],[Debits]]+Table13[[#This Row],[Income]]</f>
        <v>2805.21</v>
      </c>
      <c r="N189" t="str">
        <f>IF(AND(Table13[[#This Row],[Category]]="pay",NOT(Table13[[#This Row],[Debits]]=0)),"bad","good")</f>
        <v>good</v>
      </c>
      <c r="O189" s="5"/>
    </row>
    <row r="190" spans="6:15" x14ac:dyDescent="0.3">
      <c r="F190">
        <f>MONTH(Table13[[#This Row],[Date  (DMY)]])</f>
        <v>1</v>
      </c>
      <c r="G190" s="10"/>
      <c r="M190" s="4">
        <f>M189-Table13[[#This Row],[Debits]]+Table13[[#This Row],[Income]]</f>
        <v>2805.21</v>
      </c>
      <c r="N190" t="str">
        <f>IF(AND(Table13[[#This Row],[Category]]="pay",NOT(Table13[[#This Row],[Debits]]=0)),"bad","good")</f>
        <v>good</v>
      </c>
      <c r="O190" s="5"/>
    </row>
    <row r="191" spans="6:15" x14ac:dyDescent="0.3">
      <c r="F191">
        <f>MONTH(Table13[[#This Row],[Date  (DMY)]])</f>
        <v>1</v>
      </c>
      <c r="G191" s="10"/>
      <c r="M191" s="4">
        <f>M190-Table13[[#This Row],[Debits]]+Table13[[#This Row],[Income]]</f>
        <v>2805.21</v>
      </c>
      <c r="N191" t="str">
        <f>IF(AND(Table13[[#This Row],[Category]]="pay",NOT(Table13[[#This Row],[Debits]]=0)),"bad","good")</f>
        <v>good</v>
      </c>
      <c r="O191" s="5"/>
    </row>
    <row r="192" spans="6:15" x14ac:dyDescent="0.3">
      <c r="F192">
        <f>MONTH(Table13[[#This Row],[Date  (DMY)]])</f>
        <v>1</v>
      </c>
      <c r="G192" s="10"/>
      <c r="M192" s="4">
        <f>M191-Table13[[#This Row],[Debits]]+Table13[[#This Row],[Income]]</f>
        <v>2805.21</v>
      </c>
      <c r="N192" t="str">
        <f>IF(AND(Table13[[#This Row],[Category]]="pay",NOT(Table13[[#This Row],[Debits]]=0)),"bad","good")</f>
        <v>good</v>
      </c>
      <c r="O192" s="5"/>
    </row>
    <row r="193" spans="6:15" x14ac:dyDescent="0.3">
      <c r="F193">
        <f>MONTH(Table13[[#This Row],[Date  (DMY)]])</f>
        <v>1</v>
      </c>
      <c r="G193" s="10"/>
      <c r="M193" s="4">
        <f>M192-Table13[[#This Row],[Debits]]+Table13[[#This Row],[Income]]</f>
        <v>2805.21</v>
      </c>
      <c r="N193" t="str">
        <f>IF(AND(Table13[[#This Row],[Category]]="pay",NOT(Table13[[#This Row],[Debits]]=0)),"bad","good")</f>
        <v>good</v>
      </c>
      <c r="O193" s="5"/>
    </row>
    <row r="194" spans="6:15" x14ac:dyDescent="0.3">
      <c r="F194">
        <f>MONTH(Table13[[#This Row],[Date  (DMY)]])</f>
        <v>1</v>
      </c>
      <c r="G194" s="10"/>
      <c r="M194" s="4">
        <f>M193-Table13[[#This Row],[Debits]]+Table13[[#This Row],[Income]]</f>
        <v>2805.21</v>
      </c>
      <c r="N194" t="str">
        <f>IF(AND(Table13[[#This Row],[Category]]="pay",NOT(Table13[[#This Row],[Debits]]=0)),"bad","good")</f>
        <v>good</v>
      </c>
      <c r="O194" s="5"/>
    </row>
    <row r="195" spans="6:15" x14ac:dyDescent="0.3">
      <c r="F195">
        <f>MONTH(Table13[[#This Row],[Date  (DMY)]])</f>
        <v>1</v>
      </c>
      <c r="G195" s="10"/>
      <c r="H195" s="5"/>
      <c r="I195"/>
      <c r="J195" s="9"/>
      <c r="K195" s="9"/>
      <c r="L195"/>
      <c r="M195" s="4">
        <f>M194-Table13[[#This Row],[Debits]]+Table13[[#This Row],[Income]]</f>
        <v>2805.21</v>
      </c>
      <c r="N195" t="str">
        <f>IF(AND(Table13[[#This Row],[Category]]="pay",NOT(Table13[[#This Row],[Debits]]=0)),"bad","good")</f>
        <v>good</v>
      </c>
      <c r="O195" s="5"/>
    </row>
    <row r="196" spans="6:15" x14ac:dyDescent="0.3">
      <c r="F196">
        <f>MONTH(Table13[[#This Row],[Date  (DMY)]])</f>
        <v>1</v>
      </c>
      <c r="G196" s="10"/>
      <c r="M196" s="4">
        <f>M195-Table13[[#This Row],[Debits]]+Table13[[#This Row],[Income]]</f>
        <v>2805.21</v>
      </c>
      <c r="N196" t="str">
        <f>IF(AND(Table13[[#This Row],[Category]]="pay",NOT(Table13[[#This Row],[Debits]]=0)),"bad","good")</f>
        <v>good</v>
      </c>
      <c r="O196" s="5"/>
    </row>
    <row r="197" spans="6:15" x14ac:dyDescent="0.3">
      <c r="F197">
        <f>MONTH(Table13[[#This Row],[Date  (DMY)]])</f>
        <v>1</v>
      </c>
      <c r="G197" s="10"/>
      <c r="M197" s="4">
        <f>M196-Table13[[#This Row],[Debits]]+Table13[[#This Row],[Income]]</f>
        <v>2805.21</v>
      </c>
      <c r="N197" t="str">
        <f>IF(AND(Table13[[#This Row],[Category]]="pay",NOT(Table13[[#This Row],[Debits]]=0)),"bad","good")</f>
        <v>good</v>
      </c>
      <c r="O197" s="5"/>
    </row>
    <row r="198" spans="6:15" x14ac:dyDescent="0.3">
      <c r="F198">
        <f>MONTH(Table13[[#This Row],[Date  (DMY)]])</f>
        <v>1</v>
      </c>
      <c r="G198" s="10"/>
      <c r="M198" s="4">
        <f>M197-Table13[[#This Row],[Debits]]+Table13[[#This Row],[Income]]</f>
        <v>2805.21</v>
      </c>
      <c r="N198" t="str">
        <f>IF(AND(Table13[[#This Row],[Category]]="pay",NOT(Table13[[#This Row],[Debits]]=0)),"bad","good")</f>
        <v>good</v>
      </c>
      <c r="O198" s="5"/>
    </row>
    <row r="199" spans="6:15" x14ac:dyDescent="0.3">
      <c r="F199">
        <f>MONTH(Table13[[#This Row],[Date  (DMY)]])</f>
        <v>1</v>
      </c>
      <c r="G199" s="10"/>
      <c r="M199" s="4">
        <f>M198-Table13[[#This Row],[Debits]]+Table13[[#This Row],[Income]]</f>
        <v>2805.21</v>
      </c>
      <c r="N199" t="str">
        <f>IF(AND(Table13[[#This Row],[Category]]="pay",NOT(Table13[[#This Row],[Debits]]=0)),"bad","good")</f>
        <v>good</v>
      </c>
      <c r="O199" s="5"/>
    </row>
    <row r="200" spans="6:15" x14ac:dyDescent="0.3">
      <c r="F200">
        <f>MONTH(Table13[[#This Row],[Date  (DMY)]])</f>
        <v>1</v>
      </c>
      <c r="G200" s="10"/>
      <c r="M200" s="4">
        <f>M199-Table13[[#This Row],[Debits]]+Table13[[#This Row],[Income]]</f>
        <v>2805.21</v>
      </c>
      <c r="N200" t="str">
        <f>IF(AND(Table13[[#This Row],[Category]]="pay",NOT(Table13[[#This Row],[Debits]]=0)),"bad","good")</f>
        <v>good</v>
      </c>
      <c r="O200" s="5"/>
    </row>
    <row r="201" spans="6:15" x14ac:dyDescent="0.3">
      <c r="F201">
        <f>MONTH(Table13[[#This Row],[Date  (DMY)]])</f>
        <v>1</v>
      </c>
      <c r="G201" s="10"/>
      <c r="M201" s="4">
        <f>M200-Table13[[#This Row],[Debits]]+Table13[[#This Row],[Income]]</f>
        <v>2805.21</v>
      </c>
      <c r="N201" t="str">
        <f>IF(AND(Table13[[#This Row],[Category]]="pay",NOT(Table13[[#This Row],[Debits]]=0)),"bad","good")</f>
        <v>good</v>
      </c>
      <c r="O201" s="5"/>
    </row>
    <row r="202" spans="6:15" x14ac:dyDescent="0.3">
      <c r="F202">
        <f>MONTH(Table13[[#This Row],[Date  (DMY)]])</f>
        <v>1</v>
      </c>
      <c r="G202" s="10"/>
      <c r="M202" s="4">
        <f>M201-Table13[[#This Row],[Debits]]+Table13[[#This Row],[Income]]</f>
        <v>2805.21</v>
      </c>
      <c r="N202" t="str">
        <f>IF(AND(Table13[[#This Row],[Category]]="pay",NOT(Table13[[#This Row],[Debits]]=0)),"bad","good")</f>
        <v>good</v>
      </c>
      <c r="O202" s="5"/>
    </row>
    <row r="203" spans="6:15" x14ac:dyDescent="0.3">
      <c r="F203">
        <f>MONTH(Table13[[#This Row],[Date  (DMY)]])</f>
        <v>1</v>
      </c>
      <c r="G203" s="10"/>
      <c r="H203" s="5"/>
      <c r="I203"/>
      <c r="J203" s="9"/>
      <c r="K203" s="9"/>
      <c r="L203"/>
      <c r="M203" s="4">
        <f>M202-Table13[[#This Row],[Debits]]+Table13[[#This Row],[Income]]</f>
        <v>2805.21</v>
      </c>
      <c r="N203" t="str">
        <f>IF(AND(Table13[[#This Row],[Category]]="pay",NOT(Table13[[#This Row],[Debits]]=0)),"bad","good")</f>
        <v>good</v>
      </c>
      <c r="O203" s="5"/>
    </row>
    <row r="204" spans="6:15" x14ac:dyDescent="0.3">
      <c r="F204">
        <f>MONTH(Table13[[#This Row],[Date  (DMY)]])</f>
        <v>1</v>
      </c>
      <c r="G204" s="10"/>
      <c r="H204" s="5"/>
      <c r="I204"/>
      <c r="J204" s="9"/>
      <c r="K204" s="9"/>
      <c r="L204"/>
      <c r="M204" s="4">
        <f>M203-Table13[[#This Row],[Debits]]+Table13[[#This Row],[Income]]</f>
        <v>2805.21</v>
      </c>
      <c r="N204" t="str">
        <f>IF(AND(Table13[[#This Row],[Category]]="pay",NOT(Table13[[#This Row],[Debits]]=0)),"bad","good")</f>
        <v>good</v>
      </c>
      <c r="O204" s="5"/>
    </row>
    <row r="205" spans="6:15" x14ac:dyDescent="0.3">
      <c r="F205">
        <f>MONTH(Table13[[#This Row],[Date  (DMY)]])</f>
        <v>1</v>
      </c>
      <c r="G205" s="10"/>
      <c r="H205" s="5"/>
      <c r="I205"/>
      <c r="J205" s="9"/>
      <c r="K205" s="9"/>
      <c r="L205"/>
      <c r="M205" s="4">
        <f>M204-Table13[[#This Row],[Debits]]+Table13[[#This Row],[Income]]</f>
        <v>2805.21</v>
      </c>
      <c r="N205" t="str">
        <f>IF(AND(Table13[[#This Row],[Category]]="pay",NOT(Table13[[#This Row],[Debits]]=0)),"bad","good")</f>
        <v>good</v>
      </c>
      <c r="O205" s="5"/>
    </row>
    <row r="206" spans="6:15" x14ac:dyDescent="0.3">
      <c r="F206">
        <f>MONTH(Table13[[#This Row],[Date  (DMY)]])</f>
        <v>1</v>
      </c>
      <c r="G206" s="10"/>
      <c r="M206" s="4">
        <f>M205-Table13[[#This Row],[Debits]]+Table13[[#This Row],[Income]]</f>
        <v>2805.21</v>
      </c>
      <c r="N206" t="str">
        <f>IF(AND(Table13[[#This Row],[Category]]="pay",NOT(Table13[[#This Row],[Debits]]=0)),"bad","good")</f>
        <v>good</v>
      </c>
      <c r="O206" s="5"/>
    </row>
    <row r="207" spans="6:15" x14ac:dyDescent="0.3">
      <c r="F207">
        <f>MONTH(Table13[[#This Row],[Date  (DMY)]])</f>
        <v>1</v>
      </c>
      <c r="G207" s="10"/>
      <c r="M207" s="4">
        <f>M206-Table13[[#This Row],[Debits]]+Table13[[#This Row],[Income]]</f>
        <v>2805.21</v>
      </c>
      <c r="N207" t="str">
        <f>IF(AND(Table13[[#This Row],[Category]]="pay",NOT(Table13[[#This Row],[Debits]]=0)),"bad","good")</f>
        <v>good</v>
      </c>
      <c r="O207" s="5"/>
    </row>
    <row r="208" spans="6:15" x14ac:dyDescent="0.3">
      <c r="F208">
        <f>MONTH(Table13[[#This Row],[Date  (DMY)]])</f>
        <v>1</v>
      </c>
      <c r="G208" s="10"/>
      <c r="H208" s="5"/>
      <c r="I208"/>
      <c r="J208" s="9"/>
      <c r="K208" s="9"/>
      <c r="L208"/>
      <c r="M208" s="4">
        <f>M207-Table13[[#This Row],[Debits]]+Table13[[#This Row],[Income]]</f>
        <v>2805.21</v>
      </c>
      <c r="N208" t="str">
        <f>IF(AND(Table13[[#This Row],[Category]]="pay",NOT(Table13[[#This Row],[Debits]]=0)),"bad","good")</f>
        <v>good</v>
      </c>
      <c r="O208" s="5"/>
    </row>
    <row r="209" spans="6:15" x14ac:dyDescent="0.3">
      <c r="F209">
        <f>MONTH(Table13[[#This Row],[Date  (DMY)]])</f>
        <v>1</v>
      </c>
      <c r="G209" s="10"/>
      <c r="H209" s="5"/>
      <c r="I209"/>
      <c r="J209" s="9"/>
      <c r="K209" s="9"/>
      <c r="L209"/>
      <c r="M209" s="4">
        <f>M208-Table13[[#This Row],[Debits]]+Table13[[#This Row],[Income]]</f>
        <v>2805.21</v>
      </c>
      <c r="N209" t="str">
        <f>IF(AND(Table13[[#This Row],[Category]]="pay",NOT(Table13[[#This Row],[Debits]]=0)),"bad","good")</f>
        <v>good</v>
      </c>
      <c r="O209" s="5"/>
    </row>
    <row r="210" spans="6:15" x14ac:dyDescent="0.3">
      <c r="F210">
        <f>MONTH(Table13[[#This Row],[Date  (DMY)]])</f>
        <v>1</v>
      </c>
      <c r="G210" s="10"/>
      <c r="H210" s="5"/>
      <c r="I210"/>
      <c r="J210" s="9"/>
      <c r="K210" s="9"/>
      <c r="L210"/>
      <c r="M210" s="4">
        <f>M209-Table13[[#This Row],[Debits]]+Table13[[#This Row],[Income]]</f>
        <v>2805.21</v>
      </c>
      <c r="N210" t="str">
        <f>IF(AND(Table13[[#This Row],[Category]]="pay",NOT(Table13[[#This Row],[Debits]]=0)),"bad","good")</f>
        <v>good</v>
      </c>
      <c r="O210" s="5"/>
    </row>
    <row r="211" spans="6:15" x14ac:dyDescent="0.3">
      <c r="F211">
        <f>MONTH(Table13[[#This Row],[Date  (DMY)]])</f>
        <v>1</v>
      </c>
      <c r="G211" s="10"/>
      <c r="M211" s="4">
        <f>M210-Table13[[#This Row],[Debits]]+Table13[[#This Row],[Income]]</f>
        <v>2805.21</v>
      </c>
      <c r="N211" t="str">
        <f>IF(AND(Table13[[#This Row],[Category]]="pay",NOT(Table13[[#This Row],[Debits]]=0)),"bad","good")</f>
        <v>good</v>
      </c>
      <c r="O211" s="5"/>
    </row>
    <row r="212" spans="6:15" x14ac:dyDescent="0.3">
      <c r="F212">
        <f>MONTH(Table13[[#This Row],[Date  (DMY)]])</f>
        <v>1</v>
      </c>
      <c r="G212" s="10"/>
      <c r="M212" s="4">
        <f>M211-Table13[[#This Row],[Debits]]+Table13[[#This Row],[Income]]</f>
        <v>2805.21</v>
      </c>
      <c r="N212" t="str">
        <f>IF(AND(Table13[[#This Row],[Category]]="pay",NOT(Table13[[#This Row],[Debits]]=0)),"bad","good")</f>
        <v>good</v>
      </c>
      <c r="O212" s="5"/>
    </row>
    <row r="213" spans="6:15" x14ac:dyDescent="0.3">
      <c r="F213">
        <f>MONTH(Table13[[#This Row],[Date  (DMY)]])</f>
        <v>1</v>
      </c>
      <c r="G213" s="10"/>
      <c r="H213" s="5"/>
      <c r="I213"/>
      <c r="J213" s="9"/>
      <c r="K213" s="9"/>
      <c r="L213"/>
      <c r="M213" s="4">
        <f>M212-Table13[[#This Row],[Debits]]+Table13[[#This Row],[Income]]</f>
        <v>2805.21</v>
      </c>
      <c r="N213" t="str">
        <f>IF(AND(Table13[[#This Row],[Category]]="pay",NOT(Table13[[#This Row],[Debits]]=0)),"bad","good")</f>
        <v>good</v>
      </c>
      <c r="O213" s="5"/>
    </row>
    <row r="214" spans="6:15" x14ac:dyDescent="0.3">
      <c r="F214">
        <f>MONTH(Table13[[#This Row],[Date  (DMY)]])</f>
        <v>1</v>
      </c>
      <c r="G214" s="10"/>
      <c r="H214" s="5"/>
      <c r="I214"/>
      <c r="J214" s="9"/>
      <c r="K214" s="9"/>
      <c r="L214"/>
      <c r="M214" s="4">
        <f>M213-Table13[[#This Row],[Debits]]+Table13[[#This Row],[Income]]</f>
        <v>2805.21</v>
      </c>
      <c r="N214" t="str">
        <f>IF(AND(Table13[[#This Row],[Category]]="pay",NOT(Table13[[#This Row],[Debits]]=0)),"bad","good")</f>
        <v>good</v>
      </c>
      <c r="O214" s="5"/>
    </row>
    <row r="215" spans="6:15" x14ac:dyDescent="0.3">
      <c r="F215">
        <f>MONTH(Table13[[#This Row],[Date  (DMY)]])</f>
        <v>1</v>
      </c>
      <c r="G215" s="10"/>
      <c r="M215" s="4">
        <f>M214-Table13[[#This Row],[Debits]]+Table13[[#This Row],[Income]]</f>
        <v>2805.21</v>
      </c>
      <c r="N215" t="str">
        <f>IF(AND(Table13[[#This Row],[Category]]="pay",NOT(Table13[[#This Row],[Debits]]=0)),"bad","good")</f>
        <v>good</v>
      </c>
      <c r="O215" s="5"/>
    </row>
    <row r="216" spans="6:15" x14ac:dyDescent="0.3">
      <c r="F216">
        <f>MONTH(Table13[[#This Row],[Date  (DMY)]])</f>
        <v>1</v>
      </c>
      <c r="G216" s="10"/>
      <c r="M216" s="4">
        <f>M215-Table13[[#This Row],[Debits]]+Table13[[#This Row],[Income]]</f>
        <v>2805.21</v>
      </c>
      <c r="N216" t="str">
        <f>IF(AND(Table13[[#This Row],[Category]]="pay",NOT(Table13[[#This Row],[Debits]]=0)),"bad","good")</f>
        <v>good</v>
      </c>
      <c r="O216" s="5"/>
    </row>
    <row r="217" spans="6:15" x14ac:dyDescent="0.3">
      <c r="F217">
        <f>MONTH(Table13[[#This Row],[Date  (DMY)]])</f>
        <v>1</v>
      </c>
      <c r="G217" s="10"/>
      <c r="M217" s="4">
        <f>M216-Table13[[#This Row],[Debits]]+Table13[[#This Row],[Income]]</f>
        <v>2805.21</v>
      </c>
      <c r="N217" t="str">
        <f>IF(AND(Table13[[#This Row],[Category]]="pay",NOT(Table13[[#This Row],[Debits]]=0)),"bad","good")</f>
        <v>good</v>
      </c>
      <c r="O217" s="5"/>
    </row>
    <row r="218" spans="6:15" x14ac:dyDescent="0.3">
      <c r="F218">
        <f>MONTH(Table13[[#This Row],[Date  (DMY)]])</f>
        <v>1</v>
      </c>
      <c r="G218" s="10"/>
      <c r="M218" s="4">
        <f>M217-Table13[[#This Row],[Debits]]+Table13[[#This Row],[Income]]</f>
        <v>2805.21</v>
      </c>
      <c r="N218" t="str">
        <f>IF(AND(Table13[[#This Row],[Category]]="pay",NOT(Table13[[#This Row],[Debits]]=0)),"bad","good")</f>
        <v>good</v>
      </c>
      <c r="O218" s="5"/>
    </row>
    <row r="219" spans="6:15" x14ac:dyDescent="0.3">
      <c r="F219">
        <f>MONTH(Table13[[#This Row],[Date  (DMY)]])</f>
        <v>1</v>
      </c>
      <c r="G219" s="10"/>
      <c r="H219" s="5"/>
      <c r="I219"/>
      <c r="J219" s="9"/>
      <c r="K219" s="9"/>
      <c r="L219"/>
      <c r="M219" s="4">
        <f>M218-Table13[[#This Row],[Debits]]+Table13[[#This Row],[Income]]</f>
        <v>2805.21</v>
      </c>
      <c r="N219" t="str">
        <f>IF(AND(Table13[[#This Row],[Category]]="pay",NOT(Table13[[#This Row],[Debits]]=0)),"bad","good")</f>
        <v>good</v>
      </c>
      <c r="O219" s="5"/>
    </row>
    <row r="220" spans="6:15" x14ac:dyDescent="0.3">
      <c r="F220">
        <f>MONTH(Table13[[#This Row],[Date  (DMY)]])</f>
        <v>1</v>
      </c>
      <c r="G220" s="10"/>
      <c r="M220" s="4">
        <f>M219-Table13[[#This Row],[Debits]]+Table13[[#This Row],[Income]]</f>
        <v>2805.21</v>
      </c>
      <c r="N220" t="str">
        <f>IF(AND(Table13[[#This Row],[Category]]="pay",NOT(Table13[[#This Row],[Debits]]=0)),"bad","good")</f>
        <v>good</v>
      </c>
      <c r="O220" s="5"/>
    </row>
    <row r="221" spans="6:15" x14ac:dyDescent="0.3">
      <c r="F221">
        <f>MONTH(Table13[[#This Row],[Date  (DMY)]])</f>
        <v>1</v>
      </c>
      <c r="G221" s="10"/>
      <c r="M221" s="4">
        <f>M220-Table13[[#This Row],[Debits]]+Table13[[#This Row],[Income]]</f>
        <v>2805.21</v>
      </c>
      <c r="N221" t="str">
        <f>IF(AND(Table13[[#This Row],[Category]]="pay",NOT(Table13[[#This Row],[Debits]]=0)),"bad","good")</f>
        <v>good</v>
      </c>
      <c r="O221" s="5"/>
    </row>
    <row r="222" spans="6:15" x14ac:dyDescent="0.3">
      <c r="F222">
        <f>MONTH(Table13[[#This Row],[Date  (DMY)]])</f>
        <v>1</v>
      </c>
      <c r="G222" s="10"/>
      <c r="M222" s="4">
        <f>M221-Table13[[#This Row],[Debits]]+Table13[[#This Row],[Income]]</f>
        <v>2805.21</v>
      </c>
      <c r="N222" t="str">
        <f>IF(AND(Table13[[#This Row],[Category]]="pay",NOT(Table13[[#This Row],[Debits]]=0)),"bad","good")</f>
        <v>good</v>
      </c>
      <c r="O222" s="5"/>
    </row>
    <row r="223" spans="6:15" x14ac:dyDescent="0.3">
      <c r="F223">
        <f>MONTH(Table13[[#This Row],[Date  (DMY)]])</f>
        <v>1</v>
      </c>
      <c r="G223" s="10"/>
      <c r="H223" s="5"/>
      <c r="I223"/>
      <c r="J223" s="9"/>
      <c r="K223" s="9"/>
      <c r="L223"/>
      <c r="M223" s="4">
        <f>M222-Table13[[#This Row],[Debits]]+Table13[[#This Row],[Income]]</f>
        <v>2805.21</v>
      </c>
      <c r="N223" t="str">
        <f>IF(AND(Table13[[#This Row],[Category]]="pay",NOT(Table13[[#This Row],[Debits]]=0)),"bad","good")</f>
        <v>good</v>
      </c>
      <c r="O223" s="5"/>
    </row>
    <row r="224" spans="6:15" x14ac:dyDescent="0.3">
      <c r="F224">
        <f>MONTH(Table13[[#This Row],[Date  (DMY)]])</f>
        <v>1</v>
      </c>
      <c r="G224" s="10"/>
      <c r="H224" s="5"/>
      <c r="I224"/>
      <c r="J224" s="9"/>
      <c r="K224" s="9"/>
      <c r="L224"/>
      <c r="M224" s="4">
        <f>M223-Table13[[#This Row],[Debits]]+Table13[[#This Row],[Income]]</f>
        <v>2805.21</v>
      </c>
      <c r="N224" t="str">
        <f>IF(AND(Table13[[#This Row],[Category]]="pay",NOT(Table13[[#This Row],[Debits]]=0)),"bad","good")</f>
        <v>good</v>
      </c>
      <c r="O224" s="5"/>
    </row>
    <row r="225" spans="6:15" x14ac:dyDescent="0.3">
      <c r="F225">
        <f>MONTH(Table13[[#This Row],[Date  (DMY)]])</f>
        <v>1</v>
      </c>
      <c r="G225" s="10"/>
      <c r="H225" s="5"/>
      <c r="I225"/>
      <c r="J225" s="9"/>
      <c r="K225" s="9"/>
      <c r="L225"/>
      <c r="M225" s="4">
        <f>M224-Table13[[#This Row],[Debits]]+Table13[[#This Row],[Income]]</f>
        <v>2805.21</v>
      </c>
      <c r="N225" t="str">
        <f>IF(AND(Table13[[#This Row],[Category]]="pay",NOT(Table13[[#This Row],[Debits]]=0)),"bad","good")</f>
        <v>good</v>
      </c>
      <c r="O225" s="5"/>
    </row>
    <row r="226" spans="6:15" x14ac:dyDescent="0.3">
      <c r="F226">
        <f>MONTH(Table13[[#This Row],[Date  (DMY)]])</f>
        <v>1</v>
      </c>
      <c r="G226" s="10"/>
      <c r="M226" s="4">
        <f>M225-Table13[[#This Row],[Debits]]+Table13[[#This Row],[Income]]</f>
        <v>2805.21</v>
      </c>
      <c r="N226" t="str">
        <f>IF(AND(Table13[[#This Row],[Category]]="pay",NOT(Table13[[#This Row],[Debits]]=0)),"bad","good")</f>
        <v>good</v>
      </c>
      <c r="O226" s="5"/>
    </row>
    <row r="227" spans="6:15" x14ac:dyDescent="0.3">
      <c r="F227">
        <f>MONTH(Table13[[#This Row],[Date  (DMY)]])</f>
        <v>1</v>
      </c>
      <c r="G227" s="10"/>
      <c r="M227" s="4">
        <f>M226-Table13[[#This Row],[Debits]]+Table13[[#This Row],[Income]]</f>
        <v>2805.21</v>
      </c>
      <c r="N227" t="str">
        <f>IF(AND(Table13[[#This Row],[Category]]="pay",NOT(Table13[[#This Row],[Debits]]=0)),"bad","good")</f>
        <v>good</v>
      </c>
      <c r="O227" s="5"/>
    </row>
    <row r="228" spans="6:15" x14ac:dyDescent="0.3">
      <c r="F228">
        <f>MONTH(Table13[[#This Row],[Date  (DMY)]])</f>
        <v>1</v>
      </c>
      <c r="G228" s="10"/>
      <c r="M228" s="4">
        <f>M227-Table13[[#This Row],[Debits]]+Table13[[#This Row],[Income]]</f>
        <v>2805.21</v>
      </c>
      <c r="N228" t="str">
        <f>IF(AND(Table13[[#This Row],[Category]]="pay",NOT(Table13[[#This Row],[Debits]]=0)),"bad","good")</f>
        <v>good</v>
      </c>
      <c r="O228" s="5"/>
    </row>
    <row r="229" spans="6:15" x14ac:dyDescent="0.3">
      <c r="F229">
        <f>MONTH(Table13[[#This Row],[Date  (DMY)]])</f>
        <v>1</v>
      </c>
      <c r="G229" s="10"/>
      <c r="H229" s="5"/>
      <c r="I229"/>
      <c r="J229" s="9"/>
      <c r="K229" s="9"/>
      <c r="L229"/>
      <c r="M229" s="4">
        <f>M228-Table13[[#This Row],[Debits]]+Table13[[#This Row],[Income]]</f>
        <v>2805.21</v>
      </c>
      <c r="N229" t="str">
        <f>IF(AND(Table13[[#This Row],[Category]]="pay",NOT(Table13[[#This Row],[Debits]]=0)),"bad","good")</f>
        <v>good</v>
      </c>
      <c r="O229" s="5"/>
    </row>
    <row r="230" spans="6:15" x14ac:dyDescent="0.3">
      <c r="F230">
        <f>MONTH(Table13[[#This Row],[Date  (DMY)]])</f>
        <v>1</v>
      </c>
      <c r="G230" s="10"/>
      <c r="M230" s="4">
        <f>M229-Table13[[#This Row],[Debits]]+Table13[[#This Row],[Income]]</f>
        <v>2805.21</v>
      </c>
      <c r="N230" t="str">
        <f>IF(AND(Table13[[#This Row],[Category]]="pay",NOT(Table13[[#This Row],[Debits]]=0)),"bad","good")</f>
        <v>good</v>
      </c>
      <c r="O230" s="5"/>
    </row>
    <row r="231" spans="6:15" x14ac:dyDescent="0.3">
      <c r="F231">
        <f>MONTH(Table13[[#This Row],[Date  (DMY)]])</f>
        <v>1</v>
      </c>
      <c r="G231" s="10"/>
      <c r="M231" s="4">
        <f>M230-Table13[[#This Row],[Debits]]+Table13[[#This Row],[Income]]</f>
        <v>2805.21</v>
      </c>
      <c r="N231" t="str">
        <f>IF(AND(Table13[[#This Row],[Category]]="pay",NOT(Table13[[#This Row],[Debits]]=0)),"bad","good")</f>
        <v>good</v>
      </c>
      <c r="O231" s="5"/>
    </row>
    <row r="232" spans="6:15" x14ac:dyDescent="0.3">
      <c r="F232">
        <f>MONTH(Table13[[#This Row],[Date  (DMY)]])</f>
        <v>1</v>
      </c>
      <c r="G232" s="10"/>
      <c r="H232" s="5"/>
      <c r="I232"/>
      <c r="J232" s="9"/>
      <c r="K232" s="9"/>
      <c r="L232"/>
      <c r="M232" s="4">
        <f>M231-Table13[[#This Row],[Debits]]+Table13[[#This Row],[Income]]</f>
        <v>2805.21</v>
      </c>
      <c r="N232" t="str">
        <f>IF(AND(Table13[[#This Row],[Category]]="pay",NOT(Table13[[#This Row],[Debits]]=0)),"bad","good")</f>
        <v>good</v>
      </c>
      <c r="O232" s="5"/>
    </row>
    <row r="233" spans="6:15" x14ac:dyDescent="0.3">
      <c r="F233">
        <f>MONTH(Table13[[#This Row],[Date  (DMY)]])</f>
        <v>1</v>
      </c>
      <c r="G233" s="10"/>
      <c r="H233" s="5"/>
      <c r="I233"/>
      <c r="J233" s="9"/>
      <c r="K233" s="9"/>
      <c r="L233"/>
      <c r="M233" s="4">
        <f>M232-Table13[[#This Row],[Debits]]+Table13[[#This Row],[Income]]</f>
        <v>2805.21</v>
      </c>
      <c r="N233" t="str">
        <f>IF(AND(Table13[[#This Row],[Category]]="pay",NOT(Table13[[#This Row],[Debits]]=0)),"bad","good")</f>
        <v>good</v>
      </c>
      <c r="O233" s="5"/>
    </row>
    <row r="234" spans="6:15" x14ac:dyDescent="0.3">
      <c r="F234">
        <f>MONTH(Table13[[#This Row],[Date  (DMY)]])</f>
        <v>1</v>
      </c>
      <c r="G234" s="10"/>
      <c r="H234" s="5"/>
      <c r="I234"/>
      <c r="J234" s="9"/>
      <c r="K234" s="9"/>
      <c r="L234"/>
      <c r="M234" s="4">
        <f>M233-Table13[[#This Row],[Debits]]+Table13[[#This Row],[Income]]</f>
        <v>2805.21</v>
      </c>
      <c r="N234" t="str">
        <f>IF(AND(Table13[[#This Row],[Category]]="pay",NOT(Table13[[#This Row],[Debits]]=0)),"bad","good")</f>
        <v>good</v>
      </c>
      <c r="O234" s="5"/>
    </row>
    <row r="235" spans="6:15" x14ac:dyDescent="0.3">
      <c r="F235">
        <f>MONTH(Table13[[#This Row],[Date  (DMY)]])</f>
        <v>1</v>
      </c>
      <c r="G235" s="10"/>
      <c r="M235" s="4">
        <f>M234-Table13[[#This Row],[Debits]]+Table13[[#This Row],[Income]]</f>
        <v>2805.21</v>
      </c>
      <c r="N235" t="str">
        <f>IF(AND(Table13[[#This Row],[Category]]="pay",NOT(Table13[[#This Row],[Debits]]=0)),"bad","good")</f>
        <v>good</v>
      </c>
      <c r="O235" s="5"/>
    </row>
    <row r="236" spans="6:15" x14ac:dyDescent="0.3">
      <c r="F236">
        <f>MONTH(Table13[[#This Row],[Date  (DMY)]])</f>
        <v>1</v>
      </c>
      <c r="G236" s="10"/>
      <c r="M236" s="4">
        <f>M235-Table13[[#This Row],[Debits]]+Table13[[#This Row],[Income]]</f>
        <v>2805.21</v>
      </c>
      <c r="N236" t="str">
        <f>IF(AND(Table13[[#This Row],[Category]]="pay",NOT(Table13[[#This Row],[Debits]]=0)),"bad","good")</f>
        <v>good</v>
      </c>
      <c r="O236" s="5"/>
    </row>
    <row r="237" spans="6:15" x14ac:dyDescent="0.3">
      <c r="F237">
        <f>MONTH(Table13[[#This Row],[Date  (DMY)]])</f>
        <v>1</v>
      </c>
      <c r="G237" s="10"/>
      <c r="H237" s="5"/>
      <c r="I237"/>
      <c r="J237" s="9"/>
      <c r="K237" s="9"/>
      <c r="L237"/>
      <c r="M237" s="4">
        <f>M236-Table13[[#This Row],[Debits]]+Table13[[#This Row],[Income]]</f>
        <v>2805.21</v>
      </c>
      <c r="N237" t="str">
        <f>IF(AND(Table13[[#This Row],[Category]]="pay",NOT(Table13[[#This Row],[Debits]]=0)),"bad","good")</f>
        <v>good</v>
      </c>
      <c r="O237" s="5"/>
    </row>
    <row r="238" spans="6:15" x14ac:dyDescent="0.3">
      <c r="F238">
        <f>MONTH(Table13[[#This Row],[Date  (DMY)]])</f>
        <v>1</v>
      </c>
      <c r="G238" s="10"/>
      <c r="H238" s="5"/>
      <c r="I238"/>
      <c r="J238" s="9"/>
      <c r="K238" s="9"/>
      <c r="L238"/>
      <c r="M238" s="4">
        <f>M237-Table13[[#This Row],[Debits]]+Table13[[#This Row],[Income]]</f>
        <v>2805.21</v>
      </c>
      <c r="N238" t="str">
        <f>IF(AND(Table13[[#This Row],[Category]]="pay",NOT(Table13[[#This Row],[Debits]]=0)),"bad","good")</f>
        <v>good</v>
      </c>
      <c r="O238" s="5"/>
    </row>
    <row r="239" spans="6:15" x14ac:dyDescent="0.3">
      <c r="F239">
        <f>MONTH(Table13[[#This Row],[Date  (DMY)]])</f>
        <v>1</v>
      </c>
      <c r="G239" s="10"/>
      <c r="H239" s="5"/>
      <c r="I239"/>
      <c r="J239" s="9"/>
      <c r="K239" s="9"/>
      <c r="L239"/>
      <c r="M239" s="4">
        <f>M238-Table13[[#This Row],[Debits]]+Table13[[#This Row],[Income]]</f>
        <v>2805.21</v>
      </c>
      <c r="N239" t="str">
        <f>IF(AND(Table13[[#This Row],[Category]]="pay",NOT(Table13[[#This Row],[Debits]]=0)),"bad","good")</f>
        <v>good</v>
      </c>
      <c r="O239" s="5"/>
    </row>
    <row r="240" spans="6:15" x14ac:dyDescent="0.3">
      <c r="F240">
        <f>MONTH(Table13[[#This Row],[Date  (DMY)]])</f>
        <v>1</v>
      </c>
      <c r="G240" s="10"/>
      <c r="M240" s="4">
        <f>M239-Table13[[#This Row],[Debits]]+Table13[[#This Row],[Income]]</f>
        <v>2805.21</v>
      </c>
      <c r="N240" t="str">
        <f>IF(AND(Table13[[#This Row],[Category]]="pay",NOT(Table13[[#This Row],[Debits]]=0)),"bad","good")</f>
        <v>good</v>
      </c>
      <c r="O240" s="5"/>
    </row>
    <row r="241" spans="6:15" x14ac:dyDescent="0.3">
      <c r="F241">
        <f>MONTH(Table13[[#This Row],[Date  (DMY)]])</f>
        <v>1</v>
      </c>
      <c r="G241" s="10"/>
      <c r="H241" s="5"/>
      <c r="I241"/>
      <c r="J241" s="9"/>
      <c r="K241" s="9"/>
      <c r="L241"/>
      <c r="M241" s="4">
        <f>M240-Table13[[#This Row],[Debits]]+Table13[[#This Row],[Income]]</f>
        <v>2805.21</v>
      </c>
      <c r="N241" t="str">
        <f>IF(AND(Table13[[#This Row],[Category]]="pay",NOT(Table13[[#This Row],[Debits]]=0)),"bad","good")</f>
        <v>good</v>
      </c>
      <c r="O241" s="5"/>
    </row>
    <row r="242" spans="6:15" x14ac:dyDescent="0.3">
      <c r="F242">
        <f>MONTH(Table13[[#This Row],[Date  (DMY)]])</f>
        <v>1</v>
      </c>
      <c r="G242" s="10"/>
      <c r="H242" s="5"/>
      <c r="I242"/>
      <c r="J242" s="9"/>
      <c r="K242" s="9"/>
      <c r="L242"/>
      <c r="M242" s="4">
        <f>M241-Table13[[#This Row],[Debits]]+Table13[[#This Row],[Income]]</f>
        <v>2805.21</v>
      </c>
      <c r="N242" t="str">
        <f>IF(AND(Table13[[#This Row],[Category]]="pay",NOT(Table13[[#This Row],[Debits]]=0)),"bad","good")</f>
        <v>good</v>
      </c>
      <c r="O242" s="5"/>
    </row>
    <row r="243" spans="6:15" x14ac:dyDescent="0.3">
      <c r="F243">
        <f>MONTH(Table13[[#This Row],[Date  (DMY)]])</f>
        <v>1</v>
      </c>
      <c r="G243" s="10"/>
      <c r="M243" s="4">
        <f>M242-Table13[[#This Row],[Debits]]+Table13[[#This Row],[Income]]</f>
        <v>2805.21</v>
      </c>
      <c r="N243" t="str">
        <f>IF(AND(Table13[[#This Row],[Category]]="pay",NOT(Table13[[#This Row],[Debits]]=0)),"bad","good")</f>
        <v>good</v>
      </c>
      <c r="O243" s="5"/>
    </row>
    <row r="244" spans="6:15" x14ac:dyDescent="0.3">
      <c r="F244">
        <f>MONTH(Table13[[#This Row],[Date  (DMY)]])</f>
        <v>1</v>
      </c>
      <c r="G244" s="10"/>
      <c r="M244" s="4">
        <f>M243-Table13[[#This Row],[Debits]]+Table13[[#This Row],[Income]]</f>
        <v>2805.21</v>
      </c>
      <c r="N244" t="str">
        <f>IF(AND(Table13[[#This Row],[Category]]="pay",NOT(Table13[[#This Row],[Debits]]=0)),"bad","good")</f>
        <v>good</v>
      </c>
      <c r="O244" s="5"/>
    </row>
    <row r="245" spans="6:15" x14ac:dyDescent="0.3">
      <c r="F245">
        <f>MONTH(Table13[[#This Row],[Date  (DMY)]])</f>
        <v>1</v>
      </c>
      <c r="G245" s="10"/>
      <c r="M245" s="4">
        <f>M244-Table13[[#This Row],[Debits]]+Table13[[#This Row],[Income]]</f>
        <v>2805.21</v>
      </c>
      <c r="N245" t="str">
        <f>IF(AND(Table13[[#This Row],[Category]]="pay",NOT(Table13[[#This Row],[Debits]]=0)),"bad","good")</f>
        <v>good</v>
      </c>
      <c r="O245" s="5"/>
    </row>
    <row r="246" spans="6:15" x14ac:dyDescent="0.3">
      <c r="F246">
        <f>MONTH(Table13[[#This Row],[Date  (DMY)]])</f>
        <v>1</v>
      </c>
      <c r="G246" s="10"/>
      <c r="M246" s="4">
        <f>M245-Table13[[#This Row],[Debits]]+Table13[[#This Row],[Income]]</f>
        <v>2805.21</v>
      </c>
      <c r="N246" t="str">
        <f>IF(AND(Table13[[#This Row],[Category]]="pay",NOT(Table13[[#This Row],[Debits]]=0)),"bad","good")</f>
        <v>good</v>
      </c>
      <c r="O246" s="5"/>
    </row>
    <row r="247" spans="6:15" x14ac:dyDescent="0.3">
      <c r="F247">
        <f>MONTH(Table13[[#This Row],[Date  (DMY)]])</f>
        <v>1</v>
      </c>
      <c r="G247" s="10"/>
      <c r="H247" s="5"/>
      <c r="I247"/>
      <c r="J247" s="9"/>
      <c r="K247" s="9"/>
      <c r="L247"/>
      <c r="M247" s="4">
        <f>M246-Table13[[#This Row],[Debits]]+Table13[[#This Row],[Income]]</f>
        <v>2805.21</v>
      </c>
      <c r="N247" t="str">
        <f>IF(AND(Table13[[#This Row],[Category]]="pay",NOT(Table13[[#This Row],[Debits]]=0)),"bad","good")</f>
        <v>good</v>
      </c>
      <c r="O247" s="5"/>
    </row>
    <row r="248" spans="6:15" x14ac:dyDescent="0.3">
      <c r="F248">
        <f>MONTH(Table13[[#This Row],[Date  (DMY)]])</f>
        <v>1</v>
      </c>
      <c r="G248" s="10"/>
      <c r="H248" s="5"/>
      <c r="I248"/>
      <c r="J248" s="9"/>
      <c r="K248" s="9"/>
      <c r="L248"/>
      <c r="M248" s="4">
        <f>M247-Table13[[#This Row],[Debits]]+Table13[[#This Row],[Income]]</f>
        <v>2805.21</v>
      </c>
      <c r="N248" t="str">
        <f>IF(AND(Table13[[#This Row],[Category]]="pay",NOT(Table13[[#This Row],[Debits]]=0)),"bad","good")</f>
        <v>good</v>
      </c>
      <c r="O248" s="5"/>
    </row>
    <row r="249" spans="6:15" x14ac:dyDescent="0.3">
      <c r="F249">
        <f>MONTH(Table13[[#This Row],[Date  (DMY)]])</f>
        <v>1</v>
      </c>
      <c r="G249" s="10"/>
      <c r="M249" s="4">
        <f>M248-Table13[[#This Row],[Debits]]+Table13[[#This Row],[Income]]</f>
        <v>2805.21</v>
      </c>
      <c r="N249" t="str">
        <f>IF(AND(Table13[[#This Row],[Category]]="pay",NOT(Table13[[#This Row],[Debits]]=0)),"bad","good")</f>
        <v>good</v>
      </c>
      <c r="O249" s="5"/>
    </row>
    <row r="250" spans="6:15" x14ac:dyDescent="0.3">
      <c r="F250">
        <f>MONTH(Table13[[#This Row],[Date  (DMY)]])</f>
        <v>1</v>
      </c>
      <c r="G250" s="10"/>
      <c r="H250" s="5"/>
      <c r="I250"/>
      <c r="J250" s="9"/>
      <c r="K250" s="9"/>
      <c r="L250"/>
      <c r="M250" s="4">
        <f>M249-Table13[[#This Row],[Debits]]+Table13[[#This Row],[Income]]</f>
        <v>2805.21</v>
      </c>
      <c r="N250" t="str">
        <f>IF(AND(Table13[[#This Row],[Category]]="pay",NOT(Table13[[#This Row],[Debits]]=0)),"bad","good")</f>
        <v>good</v>
      </c>
      <c r="O250" s="5"/>
    </row>
    <row r="251" spans="6:15" x14ac:dyDescent="0.3">
      <c r="F251">
        <f>MONTH(Table13[[#This Row],[Date  (DMY)]])</f>
        <v>1</v>
      </c>
      <c r="G251" s="10"/>
      <c r="H251" s="5"/>
      <c r="I251"/>
      <c r="J251" s="9"/>
      <c r="K251" s="9"/>
      <c r="L251"/>
      <c r="M251" s="4">
        <f>M250-Table13[[#This Row],[Debits]]+Table13[[#This Row],[Income]]</f>
        <v>2805.21</v>
      </c>
      <c r="N251" t="str">
        <f>IF(AND(Table13[[#This Row],[Category]]="pay",NOT(Table13[[#This Row],[Debits]]=0)),"bad","good")</f>
        <v>good</v>
      </c>
      <c r="O251" s="5"/>
    </row>
    <row r="252" spans="6:15" x14ac:dyDescent="0.3">
      <c r="F252">
        <f>MONTH(Table13[[#This Row],[Date  (DMY)]])</f>
        <v>1</v>
      </c>
      <c r="G252" s="10"/>
      <c r="H252" s="5"/>
      <c r="I252"/>
      <c r="J252" s="9"/>
      <c r="K252" s="9"/>
      <c r="L252"/>
      <c r="M252" s="4">
        <f>M251-Table13[[#This Row],[Debits]]+Table13[[#This Row],[Income]]</f>
        <v>2805.21</v>
      </c>
      <c r="N252" t="str">
        <f>IF(AND(Table13[[#This Row],[Category]]="pay",NOT(Table13[[#This Row],[Debits]]=0)),"bad","good")</f>
        <v>good</v>
      </c>
      <c r="O252" s="5"/>
    </row>
    <row r="253" spans="6:15" x14ac:dyDescent="0.3">
      <c r="F253">
        <f>MONTH(Table13[[#This Row],[Date  (DMY)]])</f>
        <v>1</v>
      </c>
      <c r="G253" s="10"/>
      <c r="H253" s="5"/>
      <c r="I253"/>
      <c r="J253" s="9"/>
      <c r="K253" s="9"/>
      <c r="L253"/>
      <c r="M253" s="4">
        <f>M252-Table13[[#This Row],[Debits]]+Table13[[#This Row],[Income]]</f>
        <v>2805.21</v>
      </c>
      <c r="N253" t="str">
        <f>IF(AND(Table13[[#This Row],[Category]]="pay",NOT(Table13[[#This Row],[Debits]]=0)),"bad","good")</f>
        <v>good</v>
      </c>
      <c r="O253" s="5"/>
    </row>
    <row r="254" spans="6:15" x14ac:dyDescent="0.3">
      <c r="F254">
        <f>MONTH(Table13[[#This Row],[Date  (DMY)]])</f>
        <v>1</v>
      </c>
      <c r="G254" s="10"/>
      <c r="H254" s="5"/>
      <c r="I254"/>
      <c r="J254" s="9"/>
      <c r="K254" s="9"/>
      <c r="L254"/>
      <c r="M254" s="4">
        <f>M253-Table13[[#This Row],[Debits]]+Table13[[#This Row],[Income]]</f>
        <v>2805.21</v>
      </c>
      <c r="N254" t="str">
        <f>IF(AND(Table13[[#This Row],[Category]]="pay",NOT(Table13[[#This Row],[Debits]]=0)),"bad","good")</f>
        <v>good</v>
      </c>
      <c r="O254" s="5"/>
    </row>
    <row r="255" spans="6:15" x14ac:dyDescent="0.3">
      <c r="F255">
        <f>MONTH(Table13[[#This Row],[Date  (DMY)]])</f>
        <v>1</v>
      </c>
      <c r="G255" s="10"/>
      <c r="M255" s="4">
        <f>M254-Table13[[#This Row],[Debits]]+Table13[[#This Row],[Income]]</f>
        <v>2805.21</v>
      </c>
      <c r="N255" t="str">
        <f>IF(AND(Table13[[#This Row],[Category]]="pay",NOT(Table13[[#This Row],[Debits]]=0)),"bad","good")</f>
        <v>good</v>
      </c>
      <c r="O255" s="5"/>
    </row>
    <row r="256" spans="6:15" x14ac:dyDescent="0.3">
      <c r="F256">
        <f>MONTH(Table13[[#This Row],[Date  (DMY)]])</f>
        <v>1</v>
      </c>
      <c r="G256" s="10"/>
      <c r="M256" s="4">
        <f>M255-Table13[[#This Row],[Debits]]+Table13[[#This Row],[Income]]</f>
        <v>2805.21</v>
      </c>
      <c r="N256" t="str">
        <f>IF(AND(Table13[[#This Row],[Category]]="pay",NOT(Table13[[#This Row],[Debits]]=0)),"bad","good")</f>
        <v>good</v>
      </c>
      <c r="O256" s="5"/>
    </row>
    <row r="257" spans="6:15" x14ac:dyDescent="0.3">
      <c r="F257">
        <f>MONTH(Table13[[#This Row],[Date  (DMY)]])</f>
        <v>1</v>
      </c>
      <c r="G257" s="10"/>
      <c r="M257" s="4">
        <f>M256-Table13[[#This Row],[Debits]]+Table13[[#This Row],[Income]]</f>
        <v>2805.21</v>
      </c>
      <c r="N257" t="str">
        <f>IF(AND(Table13[[#This Row],[Category]]="pay",NOT(Table13[[#This Row],[Debits]]=0)),"bad","good")</f>
        <v>good</v>
      </c>
      <c r="O257" s="5"/>
    </row>
    <row r="258" spans="6:15" x14ac:dyDescent="0.3">
      <c r="F258">
        <f>MONTH(Table13[[#This Row],[Date  (DMY)]])</f>
        <v>1</v>
      </c>
      <c r="G258" s="10"/>
      <c r="M258" s="4">
        <f>M257-Table13[[#This Row],[Debits]]+Table13[[#This Row],[Income]]</f>
        <v>2805.21</v>
      </c>
      <c r="N258" t="str">
        <f>IF(AND(Table13[[#This Row],[Category]]="pay",NOT(Table13[[#This Row],[Debits]]=0)),"bad","good")</f>
        <v>good</v>
      </c>
      <c r="O258" s="5"/>
    </row>
    <row r="259" spans="6:15" x14ac:dyDescent="0.3">
      <c r="F259">
        <f>MONTH(Table13[[#This Row],[Date  (DMY)]])</f>
        <v>1</v>
      </c>
      <c r="G259" s="10"/>
      <c r="H259" s="5"/>
      <c r="I259"/>
      <c r="J259" s="9"/>
      <c r="K259" s="9"/>
      <c r="L259"/>
      <c r="M259" s="4">
        <f>M258-Table13[[#This Row],[Debits]]+Table13[[#This Row],[Income]]</f>
        <v>2805.21</v>
      </c>
      <c r="N259" t="str">
        <f>IF(AND(Table13[[#This Row],[Category]]="pay",NOT(Table13[[#This Row],[Debits]]=0)),"bad","good")</f>
        <v>good</v>
      </c>
      <c r="O259" s="5"/>
    </row>
    <row r="260" spans="6:15" x14ac:dyDescent="0.3">
      <c r="F260">
        <f>MONTH(Table13[[#This Row],[Date  (DMY)]])</f>
        <v>1</v>
      </c>
      <c r="G260" s="10"/>
      <c r="H260" s="5"/>
      <c r="I260"/>
      <c r="J260" s="9"/>
      <c r="K260" s="9"/>
      <c r="L260"/>
      <c r="M260" s="4">
        <f>M259-Table13[[#This Row],[Debits]]+Table13[[#This Row],[Income]]</f>
        <v>2805.21</v>
      </c>
      <c r="N260" t="str">
        <f>IF(AND(Table13[[#This Row],[Category]]="pay",NOT(Table13[[#This Row],[Debits]]=0)),"bad","good")</f>
        <v>good</v>
      </c>
      <c r="O260" s="5"/>
    </row>
    <row r="261" spans="6:15" x14ac:dyDescent="0.3">
      <c r="F261">
        <f>MONTH(Table13[[#This Row],[Date  (DMY)]])</f>
        <v>1</v>
      </c>
      <c r="G261" s="10"/>
      <c r="H261" s="5"/>
      <c r="I261"/>
      <c r="J261" s="9"/>
      <c r="K261" s="9"/>
      <c r="L261"/>
      <c r="M261" s="4">
        <f>M260-Table13[[#This Row],[Debits]]+Table13[[#This Row],[Income]]</f>
        <v>2805.21</v>
      </c>
      <c r="N261" t="str">
        <f>IF(AND(Table13[[#This Row],[Category]]="pay",NOT(Table13[[#This Row],[Debits]]=0)),"bad","good")</f>
        <v>good</v>
      </c>
      <c r="O261" s="5"/>
    </row>
    <row r="262" spans="6:15" x14ac:dyDescent="0.3">
      <c r="F262">
        <f>MONTH(Table13[[#This Row],[Date  (DMY)]])</f>
        <v>1</v>
      </c>
      <c r="G262" s="10"/>
      <c r="M262" s="4">
        <f>M261-Table13[[#This Row],[Debits]]+Table13[[#This Row],[Income]]</f>
        <v>2805.21</v>
      </c>
      <c r="N262" t="str">
        <f>IF(AND(Table13[[#This Row],[Category]]="pay",NOT(Table13[[#This Row],[Debits]]=0)),"bad","good")</f>
        <v>good</v>
      </c>
      <c r="O262" s="5"/>
    </row>
    <row r="263" spans="6:15" x14ac:dyDescent="0.3">
      <c r="F263">
        <f>MONTH(Table13[[#This Row],[Date  (DMY)]])</f>
        <v>1</v>
      </c>
      <c r="G263" s="10"/>
      <c r="H263" s="5"/>
      <c r="I263"/>
      <c r="J263" s="9"/>
      <c r="K263" s="9"/>
      <c r="L263"/>
      <c r="M263" s="4">
        <f>M262-Table13[[#This Row],[Debits]]+Table13[[#This Row],[Income]]</f>
        <v>2805.21</v>
      </c>
      <c r="N263" t="str">
        <f>IF(AND(Table13[[#This Row],[Category]]="pay",NOT(Table13[[#This Row],[Debits]]=0)),"bad","good")</f>
        <v>good</v>
      </c>
      <c r="O263" s="5"/>
    </row>
    <row r="264" spans="6:15" x14ac:dyDescent="0.3">
      <c r="F264">
        <f>MONTH(Table13[[#This Row],[Date  (DMY)]])</f>
        <v>1</v>
      </c>
      <c r="G264" s="10"/>
      <c r="H264" s="5"/>
      <c r="I264"/>
      <c r="J264" s="9"/>
      <c r="K264" s="9"/>
      <c r="L264"/>
      <c r="M264" s="4">
        <f>M263-Table13[[#This Row],[Debits]]+Table13[[#This Row],[Income]]</f>
        <v>2805.21</v>
      </c>
      <c r="N264" t="str">
        <f>IF(AND(Table13[[#This Row],[Category]]="pay",NOT(Table13[[#This Row],[Debits]]=0)),"bad","good")</f>
        <v>good</v>
      </c>
      <c r="O264" s="5"/>
    </row>
    <row r="265" spans="6:15" x14ac:dyDescent="0.3">
      <c r="F265">
        <f>MONTH(Table13[[#This Row],[Date  (DMY)]])</f>
        <v>1</v>
      </c>
      <c r="G265" s="10"/>
      <c r="M265" s="4">
        <f>M264-Table13[[#This Row],[Debits]]+Table13[[#This Row],[Income]]</f>
        <v>2805.21</v>
      </c>
      <c r="N265" t="str">
        <f>IF(AND(Table13[[#This Row],[Category]]="pay",NOT(Table13[[#This Row],[Debits]]=0)),"bad","good")</f>
        <v>good</v>
      </c>
      <c r="O265" s="5"/>
    </row>
    <row r="266" spans="6:15" x14ac:dyDescent="0.3">
      <c r="F266">
        <f>MONTH(Table13[[#This Row],[Date  (DMY)]])</f>
        <v>1</v>
      </c>
      <c r="G266" s="10"/>
      <c r="M266" s="4">
        <f>M265-Table13[[#This Row],[Debits]]+Table13[[#This Row],[Income]]</f>
        <v>2805.21</v>
      </c>
      <c r="N266" t="str">
        <f>IF(AND(Table13[[#This Row],[Category]]="pay",NOT(Table13[[#This Row],[Debits]]=0)),"bad","good")</f>
        <v>good</v>
      </c>
      <c r="O266" s="5"/>
    </row>
    <row r="267" spans="6:15" x14ac:dyDescent="0.3">
      <c r="F267">
        <f>MONTH(Table13[[#This Row],[Date  (DMY)]])</f>
        <v>1</v>
      </c>
      <c r="G267" s="10"/>
      <c r="M267" s="4">
        <f>M266-Table13[[#This Row],[Debits]]+Table13[[#This Row],[Income]]</f>
        <v>2805.21</v>
      </c>
      <c r="N267" t="str">
        <f>IF(AND(Table13[[#This Row],[Category]]="pay",NOT(Table13[[#This Row],[Debits]]=0)),"bad","good")</f>
        <v>good</v>
      </c>
      <c r="O267" s="5"/>
    </row>
    <row r="268" spans="6:15" x14ac:dyDescent="0.3">
      <c r="F268">
        <f>MONTH(Table13[[#This Row],[Date  (DMY)]])</f>
        <v>1</v>
      </c>
      <c r="G268" s="10"/>
      <c r="M268" s="4">
        <f>M267-Table13[[#This Row],[Debits]]+Table13[[#This Row],[Income]]</f>
        <v>2805.21</v>
      </c>
      <c r="N268" t="str">
        <f>IF(AND(Table13[[#This Row],[Category]]="pay",NOT(Table13[[#This Row],[Debits]]=0)),"bad","good")</f>
        <v>good</v>
      </c>
      <c r="O268" s="5"/>
    </row>
    <row r="269" spans="6:15" x14ac:dyDescent="0.3">
      <c r="F269">
        <f>MONTH(Table13[[#This Row],[Date  (DMY)]])</f>
        <v>1</v>
      </c>
      <c r="G269" s="10"/>
      <c r="M269" s="4">
        <f>M268-Table13[[#This Row],[Debits]]+Table13[[#This Row],[Income]]</f>
        <v>2805.21</v>
      </c>
      <c r="N269" t="str">
        <f>IF(AND(Table13[[#This Row],[Category]]="pay",NOT(Table13[[#This Row],[Debits]]=0)),"bad","good")</f>
        <v>good</v>
      </c>
      <c r="O269" s="5"/>
    </row>
    <row r="270" spans="6:15" x14ac:dyDescent="0.3">
      <c r="F270">
        <f>MONTH(Table13[[#This Row],[Date  (DMY)]])</f>
        <v>1</v>
      </c>
      <c r="G270" s="10"/>
      <c r="M270" s="4">
        <f>M269-Table13[[#This Row],[Debits]]+Table13[[#This Row],[Income]]</f>
        <v>2805.21</v>
      </c>
      <c r="N270" t="str">
        <f>IF(AND(Table13[[#This Row],[Category]]="pay",NOT(Table13[[#This Row],[Debits]]=0)),"bad","good")</f>
        <v>good</v>
      </c>
      <c r="O270" s="5"/>
    </row>
    <row r="271" spans="6:15" x14ac:dyDescent="0.3">
      <c r="F271">
        <f>MONTH(Table13[[#This Row],[Date  (DMY)]])</f>
        <v>1</v>
      </c>
      <c r="G271" s="10"/>
      <c r="H271" s="5"/>
      <c r="I271"/>
      <c r="J271" s="9"/>
      <c r="K271" s="9"/>
      <c r="L271"/>
      <c r="M271" s="4">
        <f>M270-Table13[[#This Row],[Debits]]+Table13[[#This Row],[Income]]</f>
        <v>2805.21</v>
      </c>
      <c r="N271" t="str">
        <f>IF(AND(Table13[[#This Row],[Category]]="pay",NOT(Table13[[#This Row],[Debits]]=0)),"bad","good")</f>
        <v>good</v>
      </c>
      <c r="O271" s="5"/>
    </row>
    <row r="272" spans="6:15" x14ac:dyDescent="0.3">
      <c r="F272">
        <f>MONTH(Table13[[#This Row],[Date  (DMY)]])</f>
        <v>1</v>
      </c>
      <c r="G272" s="10"/>
      <c r="M272" s="4">
        <f>M271-Table13[[#This Row],[Debits]]+Table13[[#This Row],[Income]]</f>
        <v>2805.21</v>
      </c>
      <c r="N272" t="str">
        <f>IF(AND(Table13[[#This Row],[Category]]="pay",NOT(Table13[[#This Row],[Debits]]=0)),"bad","good")</f>
        <v>good</v>
      </c>
      <c r="O272" s="5"/>
    </row>
    <row r="273" spans="6:15" x14ac:dyDescent="0.3">
      <c r="F273">
        <f>MONTH(Table13[[#This Row],[Date  (DMY)]])</f>
        <v>1</v>
      </c>
      <c r="G273" s="10"/>
      <c r="M273" s="4">
        <f>M272-Table13[[#This Row],[Debits]]+Table13[[#This Row],[Income]]</f>
        <v>2805.21</v>
      </c>
      <c r="N273" t="str">
        <f>IF(AND(Table13[[#This Row],[Category]]="pay",NOT(Table13[[#This Row],[Debits]]=0)),"bad","good")</f>
        <v>good</v>
      </c>
      <c r="O273" s="5"/>
    </row>
    <row r="274" spans="6:15" x14ac:dyDescent="0.3">
      <c r="F274">
        <f>MONTH(Table13[[#This Row],[Date  (DMY)]])</f>
        <v>1</v>
      </c>
      <c r="G274" s="10"/>
      <c r="H274" s="5"/>
      <c r="I274"/>
      <c r="J274" s="9"/>
      <c r="K274" s="9"/>
      <c r="L274"/>
      <c r="M274" s="4">
        <f>M273-Table13[[#This Row],[Debits]]+Table13[[#This Row],[Income]]</f>
        <v>2805.21</v>
      </c>
      <c r="N274" t="str">
        <f>IF(AND(Table13[[#This Row],[Category]]="pay",NOT(Table13[[#This Row],[Debits]]=0)),"bad","good")</f>
        <v>good</v>
      </c>
      <c r="O274" s="5"/>
    </row>
    <row r="275" spans="6:15" x14ac:dyDescent="0.3">
      <c r="F275">
        <f>MONTH(Table13[[#This Row],[Date  (DMY)]])</f>
        <v>1</v>
      </c>
      <c r="G275" s="10"/>
      <c r="M275" s="4">
        <f>M274-Table13[[#This Row],[Debits]]+Table13[[#This Row],[Income]]</f>
        <v>2805.21</v>
      </c>
      <c r="N275" t="str">
        <f>IF(AND(Table13[[#This Row],[Category]]="pay",NOT(Table13[[#This Row],[Debits]]=0)),"bad","good")</f>
        <v>good</v>
      </c>
      <c r="O275" s="5"/>
    </row>
    <row r="276" spans="6:15" x14ac:dyDescent="0.3">
      <c r="F276">
        <f>MONTH(Table13[[#This Row],[Date  (DMY)]])</f>
        <v>1</v>
      </c>
      <c r="G276" s="10"/>
      <c r="H276" s="5"/>
      <c r="I276"/>
      <c r="J276" s="9"/>
      <c r="K276" s="9"/>
      <c r="L276"/>
      <c r="M276" s="4">
        <f>M275-Table13[[#This Row],[Debits]]+Table13[[#This Row],[Income]]</f>
        <v>2805.21</v>
      </c>
      <c r="N276" t="str">
        <f>IF(AND(Table13[[#This Row],[Category]]="pay",NOT(Table13[[#This Row],[Debits]]=0)),"bad","good")</f>
        <v>good</v>
      </c>
      <c r="O276" s="5"/>
    </row>
    <row r="277" spans="6:15" x14ac:dyDescent="0.3">
      <c r="F277">
        <f>MONTH(Table13[[#This Row],[Date  (DMY)]])</f>
        <v>1</v>
      </c>
      <c r="G277" s="10"/>
      <c r="M277" s="4">
        <f>M276-Table13[[#This Row],[Debits]]+Table13[[#This Row],[Income]]</f>
        <v>2805.21</v>
      </c>
      <c r="N277" t="str">
        <f>IF(AND(Table13[[#This Row],[Category]]="pay",NOT(Table13[[#This Row],[Debits]]=0)),"bad","good")</f>
        <v>good</v>
      </c>
      <c r="O277" s="5"/>
    </row>
    <row r="278" spans="6:15" x14ac:dyDescent="0.3">
      <c r="F278">
        <f>MONTH(Table13[[#This Row],[Date  (DMY)]])</f>
        <v>1</v>
      </c>
      <c r="G278" s="10"/>
      <c r="L278" s="5"/>
      <c r="M278" s="4">
        <f>M277-Table13[[#This Row],[Debits]]+Table13[[#This Row],[Income]]</f>
        <v>2805.21</v>
      </c>
      <c r="N278" t="str">
        <f>IF(AND(Table13[[#This Row],[Category]]="pay",NOT(Table13[[#This Row],[Debits]]=0)),"bad","good")</f>
        <v>good</v>
      </c>
      <c r="O278" s="5"/>
    </row>
    <row r="279" spans="6:15" x14ac:dyDescent="0.3">
      <c r="F279">
        <f>MONTH(Table13[[#This Row],[Date  (DMY)]])</f>
        <v>1</v>
      </c>
      <c r="G279" s="10"/>
      <c r="L279" s="5"/>
      <c r="M279" s="4">
        <f>M278-Table13[[#This Row],[Debits]]+Table13[[#This Row],[Income]]</f>
        <v>2805.21</v>
      </c>
      <c r="N279" t="str">
        <f>IF(AND(Table13[[#This Row],[Category]]="pay",NOT(Table13[[#This Row],[Debits]]=0)),"bad","good")</f>
        <v>good</v>
      </c>
      <c r="O279" s="5"/>
    </row>
    <row r="280" spans="6:15" x14ac:dyDescent="0.3">
      <c r="F280">
        <f>MONTH(Table13[[#This Row],[Date  (DMY)]])</f>
        <v>1</v>
      </c>
      <c r="G280" s="10"/>
      <c r="H280" s="5"/>
      <c r="I280"/>
      <c r="J280" s="9"/>
      <c r="K280" s="9"/>
      <c r="L280"/>
      <c r="M280" s="4">
        <f>M279-Table13[[#This Row],[Debits]]+Table13[[#This Row],[Income]]</f>
        <v>2805.21</v>
      </c>
      <c r="N280" t="str">
        <f>IF(AND(Table13[[#This Row],[Category]]="pay",NOT(Table13[[#This Row],[Debits]]=0)),"bad","good")</f>
        <v>good</v>
      </c>
      <c r="O280" s="5"/>
    </row>
    <row r="281" spans="6:15" x14ac:dyDescent="0.3">
      <c r="F281">
        <f>MONTH(Table13[[#This Row],[Date  (DMY)]])</f>
        <v>1</v>
      </c>
      <c r="G281" s="10"/>
      <c r="H281" s="5"/>
      <c r="I281"/>
      <c r="J281" s="9"/>
      <c r="K281" s="9"/>
      <c r="L281"/>
      <c r="M281" s="4">
        <f>M280-Table13[[#This Row],[Debits]]+Table13[[#This Row],[Income]]</f>
        <v>2805.21</v>
      </c>
      <c r="N281" t="str">
        <f>IF(AND(Table13[[#This Row],[Category]]="pay",NOT(Table13[[#This Row],[Debits]]=0)),"bad","good")</f>
        <v>good</v>
      </c>
      <c r="O281" s="5"/>
    </row>
    <row r="282" spans="6:15" x14ac:dyDescent="0.3">
      <c r="F282">
        <f>MONTH(Table13[[#This Row],[Date  (DMY)]])</f>
        <v>1</v>
      </c>
      <c r="G282" s="10"/>
      <c r="H282" s="5"/>
      <c r="I282"/>
      <c r="J282" s="9"/>
      <c r="K282" s="9"/>
      <c r="L282"/>
      <c r="M282" s="4">
        <f>M281-Table13[[#This Row],[Debits]]+Table13[[#This Row],[Income]]</f>
        <v>2805.21</v>
      </c>
      <c r="N282" t="str">
        <f>IF(AND(Table13[[#This Row],[Category]]="pay",NOT(Table13[[#This Row],[Debits]]=0)),"bad","good")</f>
        <v>good</v>
      </c>
      <c r="O282" s="5"/>
    </row>
    <row r="283" spans="6:15" x14ac:dyDescent="0.3">
      <c r="F283">
        <f>MONTH(Table13[[#This Row],[Date  (DMY)]])</f>
        <v>1</v>
      </c>
      <c r="G283" s="10"/>
      <c r="L283" s="5"/>
      <c r="M283" s="4">
        <f>M282-Table13[[#This Row],[Debits]]+Table13[[#This Row],[Income]]</f>
        <v>2805.21</v>
      </c>
      <c r="N283" t="str">
        <f>IF(AND(Table13[[#This Row],[Category]]="pay",NOT(Table13[[#This Row],[Debits]]=0)),"bad","good")</f>
        <v>good</v>
      </c>
      <c r="O283" s="5"/>
    </row>
    <row r="284" spans="6:15" x14ac:dyDescent="0.3">
      <c r="F284">
        <f>MONTH(Table13[[#This Row],[Date  (DMY)]])</f>
        <v>1</v>
      </c>
      <c r="G284" s="10"/>
      <c r="L284" s="5"/>
      <c r="M284" s="4">
        <f>M283-Table13[[#This Row],[Debits]]+Table13[[#This Row],[Income]]</f>
        <v>2805.21</v>
      </c>
      <c r="N284" t="str">
        <f>IF(AND(Table13[[#This Row],[Category]]="pay",NOT(Table13[[#This Row],[Debits]]=0)),"bad","good")</f>
        <v>good</v>
      </c>
      <c r="O284" s="5"/>
    </row>
    <row r="285" spans="6:15" x14ac:dyDescent="0.3">
      <c r="F285">
        <f>MONTH(Table13[[#This Row],[Date  (DMY)]])</f>
        <v>1</v>
      </c>
      <c r="G285" s="10"/>
      <c r="H285" s="5"/>
      <c r="I285"/>
      <c r="J285" s="9"/>
      <c r="K285" s="9"/>
      <c r="L285"/>
      <c r="M285" s="4">
        <f>M284-Table13[[#This Row],[Debits]]+Table13[[#This Row],[Income]]</f>
        <v>2805.21</v>
      </c>
      <c r="N285" t="str">
        <f>IF(AND(Table13[[#This Row],[Category]]="pay",NOT(Table13[[#This Row],[Debits]]=0)),"bad","good")</f>
        <v>good</v>
      </c>
      <c r="O285" s="5"/>
    </row>
    <row r="286" spans="6:15" x14ac:dyDescent="0.3">
      <c r="F286">
        <f>MONTH(Table13[[#This Row],[Date  (DMY)]])</f>
        <v>1</v>
      </c>
      <c r="G286" s="10"/>
      <c r="L286" s="5"/>
      <c r="M286" s="4">
        <f>M285-Table13[[#This Row],[Debits]]+Table13[[#This Row],[Income]]</f>
        <v>2805.21</v>
      </c>
      <c r="N286" t="str">
        <f>IF(AND(Table13[[#This Row],[Category]]="pay",NOT(Table13[[#This Row],[Debits]]=0)),"bad","good")</f>
        <v>good</v>
      </c>
      <c r="O286" s="5"/>
    </row>
    <row r="287" spans="6:15" x14ac:dyDescent="0.3">
      <c r="F287">
        <f>MONTH(Table13[[#This Row],[Date  (DMY)]])</f>
        <v>1</v>
      </c>
      <c r="G287" s="10"/>
      <c r="L287" s="5"/>
      <c r="M287" s="4">
        <f>M286-Table13[[#This Row],[Debits]]+Table13[[#This Row],[Income]]</f>
        <v>2805.21</v>
      </c>
      <c r="N287" t="str">
        <f>IF(AND(Table13[[#This Row],[Category]]="pay",NOT(Table13[[#This Row],[Debits]]=0)),"bad","good")</f>
        <v>good</v>
      </c>
      <c r="O287" s="5"/>
    </row>
    <row r="288" spans="6:15" x14ac:dyDescent="0.3">
      <c r="F288">
        <f>MONTH(Table13[[#This Row],[Date  (DMY)]])</f>
        <v>1</v>
      </c>
      <c r="G288" s="10"/>
      <c r="L288" s="5"/>
      <c r="M288" s="4">
        <f>M287-Table13[[#This Row],[Debits]]+Table13[[#This Row],[Income]]</f>
        <v>2805.21</v>
      </c>
      <c r="N288" t="str">
        <f>IF(AND(Table13[[#This Row],[Category]]="pay",NOT(Table13[[#This Row],[Debits]]=0)),"bad","good")</f>
        <v>good</v>
      </c>
      <c r="O288" s="5"/>
    </row>
    <row r="289" spans="6:15" x14ac:dyDescent="0.3">
      <c r="F289">
        <f>MONTH(Table13[[#This Row],[Date  (DMY)]])</f>
        <v>1</v>
      </c>
      <c r="G289" s="10"/>
      <c r="L289" s="5"/>
      <c r="M289" s="4">
        <f>M288-Table13[[#This Row],[Debits]]+Table13[[#This Row],[Income]]</f>
        <v>2805.21</v>
      </c>
      <c r="N289" t="str">
        <f>IF(AND(Table13[[#This Row],[Category]]="pay",NOT(Table13[[#This Row],[Debits]]=0)),"bad","good")</f>
        <v>good</v>
      </c>
      <c r="O289" s="5"/>
    </row>
    <row r="290" spans="6:15" x14ac:dyDescent="0.3">
      <c r="F290">
        <f>MONTH(Table13[[#This Row],[Date  (DMY)]])</f>
        <v>1</v>
      </c>
      <c r="G290" s="10"/>
      <c r="H290" s="5"/>
      <c r="I290"/>
      <c r="J290" s="9"/>
      <c r="K290" s="9"/>
      <c r="L290"/>
      <c r="M290" s="4">
        <f>M289-Table13[[#This Row],[Debits]]+Table13[[#This Row],[Income]]</f>
        <v>2805.21</v>
      </c>
      <c r="N290" t="str">
        <f>IF(AND(Table13[[#This Row],[Category]]="pay",NOT(Table13[[#This Row],[Debits]]=0)),"bad","good")</f>
        <v>good</v>
      </c>
      <c r="O290" s="5"/>
    </row>
    <row r="291" spans="6:15" x14ac:dyDescent="0.3">
      <c r="F291">
        <f>MONTH(Table13[[#This Row],[Date  (DMY)]])</f>
        <v>1</v>
      </c>
      <c r="G291" s="10"/>
      <c r="L291" s="5"/>
      <c r="M291" s="4">
        <f>M290-Table13[[#This Row],[Debits]]+Table13[[#This Row],[Income]]</f>
        <v>2805.21</v>
      </c>
      <c r="N291" t="str">
        <f>IF(AND(Table13[[#This Row],[Category]]="pay",NOT(Table13[[#This Row],[Debits]]=0)),"bad","good")</f>
        <v>good</v>
      </c>
      <c r="O291" s="5"/>
    </row>
    <row r="292" spans="6:15" x14ac:dyDescent="0.3">
      <c r="F292">
        <f>MONTH(Table13[[#This Row],[Date  (DMY)]])</f>
        <v>1</v>
      </c>
      <c r="G292" s="10"/>
      <c r="H292" s="5"/>
      <c r="I292"/>
      <c r="J292" s="9"/>
      <c r="K292" s="9"/>
      <c r="L292"/>
      <c r="M292" s="4">
        <f>M291-Table13[[#This Row],[Debits]]+Table13[[#This Row],[Income]]</f>
        <v>2805.21</v>
      </c>
      <c r="N292" t="str">
        <f>IF(AND(Table13[[#This Row],[Category]]="pay",NOT(Table13[[#This Row],[Debits]]=0)),"bad","good")</f>
        <v>good</v>
      </c>
      <c r="O292" s="5"/>
    </row>
    <row r="293" spans="6:15" x14ac:dyDescent="0.3">
      <c r="F293">
        <f>MONTH(Table13[[#This Row],[Date  (DMY)]])</f>
        <v>1</v>
      </c>
      <c r="G293" s="10"/>
      <c r="H293" s="5"/>
      <c r="I293"/>
      <c r="J293" s="9"/>
      <c r="K293" s="9"/>
      <c r="L293"/>
      <c r="M293" s="4">
        <f>M292-Table13[[#This Row],[Debits]]+Table13[[#This Row],[Income]]</f>
        <v>2805.21</v>
      </c>
      <c r="N293" t="str">
        <f>IF(AND(Table13[[#This Row],[Category]]="pay",NOT(Table13[[#This Row],[Debits]]=0)),"bad","good")</f>
        <v>good</v>
      </c>
      <c r="O293" s="5"/>
    </row>
    <row r="294" spans="6:15" x14ac:dyDescent="0.3">
      <c r="F294">
        <f>MONTH(Table13[[#This Row],[Date  (DMY)]])</f>
        <v>1</v>
      </c>
      <c r="G294" s="10"/>
      <c r="H294" s="5"/>
      <c r="I294"/>
      <c r="J294" s="9"/>
      <c r="K294" s="9"/>
      <c r="L294"/>
      <c r="M294" s="4">
        <f>M293-Table13[[#This Row],[Debits]]+Table13[[#This Row],[Income]]</f>
        <v>2805.21</v>
      </c>
      <c r="N294" t="str">
        <f>IF(AND(Table13[[#This Row],[Category]]="pay",NOT(Table13[[#This Row],[Debits]]=0)),"bad","good")</f>
        <v>good</v>
      </c>
      <c r="O294" s="5"/>
    </row>
    <row r="295" spans="6:15" x14ac:dyDescent="0.3">
      <c r="F295">
        <f>MONTH(Table13[[#This Row],[Date  (DMY)]])</f>
        <v>1</v>
      </c>
      <c r="G295" s="10"/>
      <c r="L295" s="5"/>
      <c r="M295" s="4">
        <f>M294-Table13[[#This Row],[Debits]]+Table13[[#This Row],[Income]]</f>
        <v>2805.21</v>
      </c>
      <c r="N295" t="str">
        <f>IF(AND(Table13[[#This Row],[Category]]="pay",NOT(Table13[[#This Row],[Debits]]=0)),"bad","good")</f>
        <v>good</v>
      </c>
      <c r="O295" s="5"/>
    </row>
    <row r="296" spans="6:15" x14ac:dyDescent="0.3">
      <c r="F296">
        <f>MONTH(Table13[[#This Row],[Date  (DMY)]])</f>
        <v>1</v>
      </c>
      <c r="G296" s="10"/>
      <c r="L296" s="5"/>
      <c r="M296" s="4">
        <f>M295-Table13[[#This Row],[Debits]]+Table13[[#This Row],[Income]]</f>
        <v>2805.21</v>
      </c>
      <c r="N296" t="str">
        <f>IF(AND(Table13[[#This Row],[Category]]="pay",NOT(Table13[[#This Row],[Debits]]=0)),"bad","good")</f>
        <v>good</v>
      </c>
      <c r="O296" s="5"/>
    </row>
    <row r="297" spans="6:15" x14ac:dyDescent="0.3">
      <c r="F297">
        <f>MONTH(Table13[[#This Row],[Date  (DMY)]])</f>
        <v>1</v>
      </c>
      <c r="G297" s="10"/>
      <c r="L297" s="5"/>
      <c r="M297" s="4">
        <f>M296-Table13[[#This Row],[Debits]]+Table13[[#This Row],[Income]]</f>
        <v>2805.21</v>
      </c>
      <c r="N297" t="str">
        <f>IF(AND(Table13[[#This Row],[Category]]="pay",NOT(Table13[[#This Row],[Debits]]=0)),"bad","good")</f>
        <v>good</v>
      </c>
      <c r="O297" s="5"/>
    </row>
    <row r="298" spans="6:15" x14ac:dyDescent="0.3">
      <c r="F298">
        <f>MONTH(Table13[[#This Row],[Date  (DMY)]])</f>
        <v>1</v>
      </c>
      <c r="G298" s="10"/>
      <c r="L298" s="5"/>
      <c r="M298" s="4">
        <f>M297-Table13[[#This Row],[Debits]]+Table13[[#This Row],[Income]]</f>
        <v>2805.21</v>
      </c>
      <c r="N298" t="str">
        <f>IF(AND(Table13[[#This Row],[Category]]="pay",NOT(Table13[[#This Row],[Debits]]=0)),"bad","good")</f>
        <v>good</v>
      </c>
      <c r="O298" s="5"/>
    </row>
    <row r="299" spans="6:15" x14ac:dyDescent="0.3">
      <c r="F299">
        <f>MONTH(Table13[[#This Row],[Date  (DMY)]])</f>
        <v>1</v>
      </c>
      <c r="G299" s="10"/>
      <c r="L299" s="5"/>
      <c r="M299" s="4">
        <f>M298-Table13[[#This Row],[Debits]]+Table13[[#This Row],[Income]]</f>
        <v>2805.21</v>
      </c>
      <c r="N299" t="str">
        <f>IF(AND(Table13[[#This Row],[Category]]="pay",NOT(Table13[[#This Row],[Debits]]=0)),"bad","good")</f>
        <v>good</v>
      </c>
      <c r="O299" s="5"/>
    </row>
    <row r="300" spans="6:15" x14ac:dyDescent="0.3">
      <c r="F300">
        <f>MONTH(Table13[[#This Row],[Date  (DMY)]])</f>
        <v>1</v>
      </c>
      <c r="G300" s="10"/>
      <c r="L300" s="5"/>
      <c r="M300" s="4">
        <f>M299-Table13[[#This Row],[Debits]]+Table13[[#This Row],[Income]]</f>
        <v>2805.21</v>
      </c>
      <c r="N300" t="str">
        <f>IF(AND(Table13[[#This Row],[Category]]="pay",NOT(Table13[[#This Row],[Debits]]=0)),"bad","good")</f>
        <v>good</v>
      </c>
      <c r="O300" s="5"/>
    </row>
    <row r="301" spans="6:15" x14ac:dyDescent="0.3">
      <c r="F301">
        <f>MONTH(Table13[[#This Row],[Date  (DMY)]])</f>
        <v>1</v>
      </c>
      <c r="G301" s="10"/>
      <c r="L301" s="5"/>
      <c r="M301" s="4">
        <f>M300-Table13[[#This Row],[Debits]]+Table13[[#This Row],[Income]]</f>
        <v>2805.21</v>
      </c>
      <c r="N301" t="str">
        <f>IF(AND(Table13[[#This Row],[Category]]="pay",NOT(Table13[[#This Row],[Debits]]=0)),"bad","good")</f>
        <v>good</v>
      </c>
      <c r="O301" s="5"/>
    </row>
    <row r="302" spans="6:15" x14ac:dyDescent="0.3">
      <c r="F302">
        <f>MONTH(Table13[[#This Row],[Date  (DMY)]])</f>
        <v>1</v>
      </c>
      <c r="G302" s="10"/>
      <c r="L302" s="5"/>
      <c r="M302" s="4">
        <f>M301-Table13[[#This Row],[Debits]]+Table13[[#This Row],[Income]]</f>
        <v>2805.21</v>
      </c>
      <c r="N302" t="str">
        <f>IF(AND(Table13[[#This Row],[Category]]="pay",NOT(Table13[[#This Row],[Debits]]=0)),"bad","good")</f>
        <v>good</v>
      </c>
      <c r="O302" s="5"/>
    </row>
    <row r="303" spans="6:15" x14ac:dyDescent="0.3">
      <c r="F303">
        <f>MONTH(Table13[[#This Row],[Date  (DMY)]])</f>
        <v>1</v>
      </c>
      <c r="G303" s="10"/>
      <c r="L303" s="5"/>
      <c r="M303" s="4">
        <f>M302-Table13[[#This Row],[Debits]]+Table13[[#This Row],[Income]]</f>
        <v>2805.21</v>
      </c>
      <c r="N303" t="str">
        <f>IF(AND(Table13[[#This Row],[Category]]="pay",NOT(Table13[[#This Row],[Debits]]=0)),"bad","good")</f>
        <v>good</v>
      </c>
      <c r="O303" s="5"/>
    </row>
    <row r="304" spans="6:15" x14ac:dyDescent="0.3">
      <c r="F304">
        <f>MONTH(Table13[[#This Row],[Date  (DMY)]])</f>
        <v>1</v>
      </c>
      <c r="G304" s="10"/>
      <c r="L304" s="5"/>
      <c r="M304" s="4">
        <f>M303-Table13[[#This Row],[Debits]]+Table13[[#This Row],[Income]]</f>
        <v>2805.21</v>
      </c>
      <c r="N304" t="str">
        <f>IF(AND(Table13[[#This Row],[Category]]="pay",NOT(Table13[[#This Row],[Debits]]=0)),"bad","good")</f>
        <v>good</v>
      </c>
      <c r="O304" s="5"/>
    </row>
    <row r="305" spans="6:15" x14ac:dyDescent="0.3">
      <c r="F305">
        <f>MONTH(Table13[[#This Row],[Date  (DMY)]])</f>
        <v>1</v>
      </c>
      <c r="G305" s="10"/>
      <c r="L305" s="5"/>
      <c r="M305" s="4">
        <f>M304-Table13[[#This Row],[Debits]]+Table13[[#This Row],[Income]]</f>
        <v>2805.21</v>
      </c>
      <c r="N305" t="str">
        <f>IF(AND(Table13[[#This Row],[Category]]="pay",NOT(Table13[[#This Row],[Debits]]=0)),"bad","good")</f>
        <v>good</v>
      </c>
      <c r="O305" s="5"/>
    </row>
    <row r="306" spans="6:15" x14ac:dyDescent="0.3">
      <c r="F306">
        <f>MONTH(Table13[[#This Row],[Date  (DMY)]])</f>
        <v>1</v>
      </c>
      <c r="G306" s="10"/>
      <c r="L306" s="5"/>
      <c r="M306" s="4">
        <f>M305-Table13[[#This Row],[Debits]]+Table13[[#This Row],[Income]]</f>
        <v>2805.21</v>
      </c>
      <c r="N306" t="str">
        <f>IF(AND(Table13[[#This Row],[Category]]="pay",NOT(Table13[[#This Row],[Debits]]=0)),"bad","good")</f>
        <v>good</v>
      </c>
      <c r="O306" s="5"/>
    </row>
    <row r="307" spans="6:15" x14ac:dyDescent="0.3">
      <c r="F307">
        <f>MONTH(Table13[[#This Row],[Date  (DMY)]])</f>
        <v>1</v>
      </c>
      <c r="G307" s="10"/>
      <c r="L307" s="5"/>
      <c r="M307" s="4">
        <f>M306-Table13[[#This Row],[Debits]]+Table13[[#This Row],[Income]]</f>
        <v>2805.21</v>
      </c>
      <c r="N307" t="str">
        <f>IF(AND(Table13[[#This Row],[Category]]="pay",NOT(Table13[[#This Row],[Debits]]=0)),"bad","good")</f>
        <v>good</v>
      </c>
      <c r="O307" s="5"/>
    </row>
    <row r="308" spans="6:15" x14ac:dyDescent="0.3">
      <c r="F308">
        <f>MONTH(Table13[[#This Row],[Date  (DMY)]])</f>
        <v>1</v>
      </c>
      <c r="G308" s="10"/>
      <c r="L308" s="5"/>
      <c r="M308" s="4">
        <f>M307-Table13[[#This Row],[Debits]]+Table13[[#This Row],[Income]]</f>
        <v>2805.21</v>
      </c>
      <c r="N308" t="str">
        <f>IF(AND(Table13[[#This Row],[Category]]="pay",NOT(Table13[[#This Row],[Debits]]=0)),"bad","good")</f>
        <v>good</v>
      </c>
      <c r="O308" s="5"/>
    </row>
    <row r="309" spans="6:15" x14ac:dyDescent="0.3">
      <c r="F309">
        <f>MONTH(Table13[[#This Row],[Date  (DMY)]])</f>
        <v>1</v>
      </c>
      <c r="G309" s="10"/>
      <c r="L309" s="5"/>
      <c r="M309" s="4">
        <f>M308-Table13[[#This Row],[Debits]]+Table13[[#This Row],[Income]]</f>
        <v>2805.21</v>
      </c>
      <c r="N309" t="str">
        <f>IF(AND(Table13[[#This Row],[Category]]="pay",NOT(Table13[[#This Row],[Debits]]=0)),"bad","good")</f>
        <v>good</v>
      </c>
      <c r="O309" s="5"/>
    </row>
    <row r="310" spans="6:15" x14ac:dyDescent="0.3">
      <c r="F310">
        <f>MONTH(Table13[[#This Row],[Date  (DMY)]])</f>
        <v>1</v>
      </c>
      <c r="G310" s="10"/>
      <c r="L310" s="5"/>
      <c r="M310" s="4">
        <f>M309-Table13[[#This Row],[Debits]]+Table13[[#This Row],[Income]]</f>
        <v>2805.21</v>
      </c>
      <c r="N310" t="str">
        <f>IF(AND(Table13[[#This Row],[Category]]="pay",NOT(Table13[[#This Row],[Debits]]=0)),"bad","good")</f>
        <v>good</v>
      </c>
      <c r="O310" s="5"/>
    </row>
    <row r="311" spans="6:15" x14ac:dyDescent="0.3">
      <c r="F311">
        <f>MONTH(Table13[[#This Row],[Date  (DMY)]])</f>
        <v>1</v>
      </c>
      <c r="G311" s="10"/>
      <c r="L311" s="5"/>
      <c r="M311" s="4">
        <f>M310-Table13[[#This Row],[Debits]]+Table13[[#This Row],[Income]]</f>
        <v>2805.21</v>
      </c>
      <c r="N311" t="str">
        <f>IF(AND(Table13[[#This Row],[Category]]="pay",NOT(Table13[[#This Row],[Debits]]=0)),"bad","good")</f>
        <v>good</v>
      </c>
      <c r="O311" s="5"/>
    </row>
    <row r="312" spans="6:15" x14ac:dyDescent="0.3">
      <c r="F312">
        <f>MONTH(Table13[[#This Row],[Date  (DMY)]])</f>
        <v>1</v>
      </c>
      <c r="G312" s="10"/>
      <c r="L312" s="5"/>
      <c r="M312" s="4">
        <f>M311-Table13[[#This Row],[Debits]]+Table13[[#This Row],[Income]]</f>
        <v>2805.21</v>
      </c>
      <c r="N312" t="str">
        <f>IF(AND(Table13[[#This Row],[Category]]="pay",NOT(Table13[[#This Row],[Debits]]=0)),"bad","good")</f>
        <v>good</v>
      </c>
      <c r="O312" s="5"/>
    </row>
    <row r="313" spans="6:15" x14ac:dyDescent="0.3">
      <c r="F313">
        <f>MONTH(Table13[[#This Row],[Date  (DMY)]])</f>
        <v>1</v>
      </c>
      <c r="G313" s="10"/>
      <c r="L313" s="5"/>
      <c r="M313" s="4">
        <f>M312-Table13[[#This Row],[Debits]]+Table13[[#This Row],[Income]]</f>
        <v>2805.21</v>
      </c>
      <c r="N313" t="str">
        <f>IF(AND(Table13[[#This Row],[Category]]="pay",NOT(Table13[[#This Row],[Debits]]=0)),"bad","good")</f>
        <v>good</v>
      </c>
      <c r="O313" s="5"/>
    </row>
    <row r="314" spans="6:15" x14ac:dyDescent="0.3">
      <c r="F314">
        <f>MONTH(Table13[[#This Row],[Date  (DMY)]])</f>
        <v>1</v>
      </c>
      <c r="G314" s="10"/>
      <c r="L314" s="5"/>
      <c r="M314" s="4">
        <f>M313-Table13[[#This Row],[Debits]]+Table13[[#This Row],[Income]]</f>
        <v>2805.21</v>
      </c>
      <c r="N314" t="str">
        <f>IF(AND(Table13[[#This Row],[Category]]="pay",NOT(Table13[[#This Row],[Debits]]=0)),"bad","good")</f>
        <v>good</v>
      </c>
      <c r="O314" s="5"/>
    </row>
    <row r="315" spans="6:15" x14ac:dyDescent="0.3">
      <c r="F315">
        <f>MONTH(Table13[[#This Row],[Date  (DMY)]])</f>
        <v>1</v>
      </c>
      <c r="G315" s="10"/>
      <c r="L315" s="5"/>
      <c r="M315" s="4">
        <f>M314-Table13[[#This Row],[Debits]]+Table13[[#This Row],[Income]]</f>
        <v>2805.21</v>
      </c>
      <c r="N315" t="str">
        <f>IF(AND(Table13[[#This Row],[Category]]="pay",NOT(Table13[[#This Row],[Debits]]=0)),"bad","good")</f>
        <v>good</v>
      </c>
      <c r="O315" s="5"/>
    </row>
    <row r="316" spans="6:15" x14ac:dyDescent="0.3">
      <c r="F316">
        <f>MONTH(Table13[[#This Row],[Date  (DMY)]])</f>
        <v>1</v>
      </c>
      <c r="G316" s="10"/>
      <c r="L316" s="5"/>
      <c r="M316" s="4">
        <f>M315-Table13[[#This Row],[Debits]]+Table13[[#This Row],[Income]]</f>
        <v>2805.21</v>
      </c>
      <c r="N316" t="str">
        <f>IF(AND(Table13[[#This Row],[Category]]="pay",NOT(Table13[[#This Row],[Debits]]=0)),"bad","good")</f>
        <v>good</v>
      </c>
      <c r="O316" s="5"/>
    </row>
    <row r="317" spans="6:15" x14ac:dyDescent="0.3">
      <c r="F317">
        <f>MONTH(Table13[[#This Row],[Date  (DMY)]])</f>
        <v>1</v>
      </c>
      <c r="G317" s="10"/>
      <c r="L317" s="5"/>
      <c r="M317" s="4">
        <f>M316-Table13[[#This Row],[Debits]]+Table13[[#This Row],[Income]]</f>
        <v>2805.21</v>
      </c>
      <c r="N317" t="str">
        <f>IF(AND(Table13[[#This Row],[Category]]="pay",NOT(Table13[[#This Row],[Debits]]=0)),"bad","good")</f>
        <v>good</v>
      </c>
      <c r="O317" s="5"/>
    </row>
    <row r="318" spans="6:15" x14ac:dyDescent="0.3">
      <c r="F318">
        <f>MONTH(Table13[[#This Row],[Date  (DMY)]])</f>
        <v>1</v>
      </c>
      <c r="G318" s="10"/>
      <c r="L318" s="5"/>
      <c r="M318" s="4">
        <f>M317-Table13[[#This Row],[Debits]]+Table13[[#This Row],[Income]]</f>
        <v>2805.21</v>
      </c>
      <c r="N318" t="str">
        <f>IF(AND(Table13[[#This Row],[Category]]="pay",NOT(Table13[[#This Row],[Debits]]=0)),"bad","good")</f>
        <v>good</v>
      </c>
      <c r="O318" s="5"/>
    </row>
    <row r="319" spans="6:15" x14ac:dyDescent="0.3">
      <c r="F319">
        <f>MONTH(Table13[[#This Row],[Date  (DMY)]])</f>
        <v>1</v>
      </c>
      <c r="G319" s="10"/>
      <c r="L319" s="5"/>
      <c r="M319" s="4">
        <f>M318-Table13[[#This Row],[Debits]]+Table13[[#This Row],[Income]]</f>
        <v>2805.21</v>
      </c>
      <c r="N319" t="str">
        <f>IF(AND(Table13[[#This Row],[Category]]="pay",NOT(Table13[[#This Row],[Debits]]=0)),"bad","good")</f>
        <v>good</v>
      </c>
      <c r="O319" s="5"/>
    </row>
    <row r="320" spans="6:15" x14ac:dyDescent="0.3">
      <c r="F320">
        <f>MONTH(Table13[[#This Row],[Date  (DMY)]])</f>
        <v>1</v>
      </c>
      <c r="G320" s="10"/>
      <c r="L320" s="5"/>
      <c r="M320" s="4">
        <f>M319-Table13[[#This Row],[Debits]]+Table13[[#This Row],[Income]]</f>
        <v>2805.21</v>
      </c>
      <c r="N320" t="str">
        <f>IF(AND(Table13[[#This Row],[Category]]="pay",NOT(Table13[[#This Row],[Debits]]=0)),"bad","good")</f>
        <v>good</v>
      </c>
      <c r="O320" s="5"/>
    </row>
    <row r="321" spans="6:15" x14ac:dyDescent="0.3">
      <c r="F321">
        <f>MONTH(Table13[[#This Row],[Date  (DMY)]])</f>
        <v>1</v>
      </c>
      <c r="G321" s="10"/>
      <c r="L321" s="5"/>
      <c r="M321" s="4">
        <f>M320-Table13[[#This Row],[Debits]]+Table13[[#This Row],[Income]]</f>
        <v>2805.21</v>
      </c>
      <c r="N321" t="str">
        <f>IF(AND(Table13[[#This Row],[Category]]="pay",NOT(Table13[[#This Row],[Debits]]=0)),"bad","good")</f>
        <v>good</v>
      </c>
      <c r="O321" s="5"/>
    </row>
    <row r="322" spans="6:15" x14ac:dyDescent="0.3">
      <c r="F322">
        <f>MONTH(Table13[[#This Row],[Date  (DMY)]])</f>
        <v>1</v>
      </c>
      <c r="G322" s="10"/>
      <c r="L322" s="5"/>
      <c r="M322" s="4">
        <f>M321-Table13[[#This Row],[Debits]]+Table13[[#This Row],[Income]]</f>
        <v>2805.21</v>
      </c>
      <c r="N322" t="str">
        <f>IF(AND(Table13[[#This Row],[Category]]="pay",NOT(Table13[[#This Row],[Debits]]=0)),"bad","good")</f>
        <v>good</v>
      </c>
      <c r="O322" s="5"/>
    </row>
    <row r="323" spans="6:15" x14ac:dyDescent="0.3">
      <c r="F323">
        <f>MONTH(Table13[[#This Row],[Date  (DMY)]])</f>
        <v>1</v>
      </c>
      <c r="G323" s="10"/>
      <c r="L323" s="5"/>
      <c r="M323" s="4">
        <f>M322-Table13[[#This Row],[Debits]]+Table13[[#This Row],[Income]]</f>
        <v>2805.21</v>
      </c>
      <c r="N323" t="str">
        <f>IF(AND(Table13[[#This Row],[Category]]="pay",NOT(Table13[[#This Row],[Debits]]=0)),"bad","good")</f>
        <v>good</v>
      </c>
      <c r="O323" s="5"/>
    </row>
    <row r="324" spans="6:15" x14ac:dyDescent="0.3">
      <c r="F324">
        <f>MONTH(Table13[[#This Row],[Date  (DMY)]])</f>
        <v>1</v>
      </c>
      <c r="G324" s="10"/>
      <c r="L324" s="5"/>
      <c r="M324" s="4">
        <f>M323-Table13[[#This Row],[Debits]]+Table13[[#This Row],[Income]]</f>
        <v>2805.21</v>
      </c>
      <c r="N324" t="str">
        <f>IF(AND(Table13[[#This Row],[Category]]="pay",NOT(Table13[[#This Row],[Debits]]=0)),"bad","good")</f>
        <v>good</v>
      </c>
      <c r="O324" s="5"/>
    </row>
    <row r="325" spans="6:15" x14ac:dyDescent="0.3">
      <c r="F325">
        <f>MONTH(Table13[[#This Row],[Date  (DMY)]])</f>
        <v>1</v>
      </c>
      <c r="G325" s="10"/>
      <c r="L325" s="5"/>
      <c r="M325" s="4">
        <f>M324-Table13[[#This Row],[Debits]]+Table13[[#This Row],[Income]]</f>
        <v>2805.21</v>
      </c>
      <c r="N325" t="str">
        <f>IF(AND(Table13[[#This Row],[Category]]="pay",NOT(Table13[[#This Row],[Debits]]=0)),"bad","good")</f>
        <v>good</v>
      </c>
      <c r="O325" s="5"/>
    </row>
    <row r="326" spans="6:15" x14ac:dyDescent="0.3">
      <c r="F326">
        <f>MONTH(Table13[[#This Row],[Date  (DMY)]])</f>
        <v>1</v>
      </c>
      <c r="G326" s="10"/>
      <c r="L326" s="5"/>
      <c r="M326" s="4">
        <f>M325-Table13[[#This Row],[Debits]]+Table13[[#This Row],[Income]]</f>
        <v>2805.21</v>
      </c>
      <c r="N326" t="str">
        <f>IF(AND(Table13[[#This Row],[Category]]="pay",NOT(Table13[[#This Row],[Debits]]=0)),"bad","good")</f>
        <v>good</v>
      </c>
      <c r="O326" s="5"/>
    </row>
    <row r="327" spans="6:15" x14ac:dyDescent="0.3">
      <c r="F327">
        <f>MONTH(Table13[[#This Row],[Date  (DMY)]])</f>
        <v>1</v>
      </c>
      <c r="G327" s="10"/>
      <c r="L327" s="5"/>
      <c r="M327" s="4">
        <f>M326-Table13[[#This Row],[Debits]]+Table13[[#This Row],[Income]]</f>
        <v>2805.21</v>
      </c>
      <c r="N327" t="str">
        <f>IF(AND(Table13[[#This Row],[Category]]="pay",NOT(Table13[[#This Row],[Debits]]=0)),"bad","good")</f>
        <v>good</v>
      </c>
      <c r="O327" s="5"/>
    </row>
    <row r="328" spans="6:15" x14ac:dyDescent="0.3">
      <c r="F328">
        <f>MONTH(Table13[[#This Row],[Date  (DMY)]])</f>
        <v>1</v>
      </c>
      <c r="G328" s="10"/>
      <c r="L328" s="5"/>
      <c r="M328" s="4">
        <f>M327-Table13[[#This Row],[Debits]]+Table13[[#This Row],[Income]]</f>
        <v>2805.21</v>
      </c>
      <c r="N328" t="str">
        <f>IF(AND(Table13[[#This Row],[Category]]="pay",NOT(Table13[[#This Row],[Debits]]=0)),"bad","good")</f>
        <v>good</v>
      </c>
      <c r="O328" s="5"/>
    </row>
    <row r="329" spans="6:15" x14ac:dyDescent="0.3">
      <c r="F329">
        <f>MONTH(Table13[[#This Row],[Date  (DMY)]])</f>
        <v>1</v>
      </c>
      <c r="G329" s="10"/>
      <c r="L329" s="5"/>
      <c r="M329" s="4">
        <f>M328-Table13[[#This Row],[Debits]]+Table13[[#This Row],[Income]]</f>
        <v>2805.21</v>
      </c>
      <c r="N329" t="str">
        <f>IF(AND(Table13[[#This Row],[Category]]="pay",NOT(Table13[[#This Row],[Debits]]=0)),"bad","good")</f>
        <v>good</v>
      </c>
      <c r="O329" s="5"/>
    </row>
    <row r="330" spans="6:15" x14ac:dyDescent="0.3">
      <c r="F330">
        <f>MONTH(Table13[[#This Row],[Date  (DMY)]])</f>
        <v>1</v>
      </c>
      <c r="G330" s="10"/>
      <c r="L330" s="5"/>
      <c r="M330" s="4">
        <f>M329-Table13[[#This Row],[Debits]]+Table13[[#This Row],[Income]]</f>
        <v>2805.21</v>
      </c>
      <c r="N330" t="str">
        <f>IF(AND(Table13[[#This Row],[Category]]="pay",NOT(Table13[[#This Row],[Debits]]=0)),"bad","good")</f>
        <v>good</v>
      </c>
      <c r="O330" s="5"/>
    </row>
    <row r="331" spans="6:15" x14ac:dyDescent="0.3">
      <c r="F331">
        <f>MONTH(Table13[[#This Row],[Date  (DMY)]])</f>
        <v>1</v>
      </c>
      <c r="G331" s="10"/>
      <c r="L331" s="5"/>
      <c r="M331" s="4">
        <f>M330-Table13[[#This Row],[Debits]]+Table13[[#This Row],[Income]]</f>
        <v>2805.21</v>
      </c>
      <c r="N331" t="str">
        <f>IF(AND(Table13[[#This Row],[Category]]="pay",NOT(Table13[[#This Row],[Debits]]=0)),"bad","good")</f>
        <v>good</v>
      </c>
      <c r="O331" s="5"/>
    </row>
    <row r="332" spans="6:15" x14ac:dyDescent="0.3">
      <c r="F332">
        <f>MONTH(Table13[[#This Row],[Date  (DMY)]])</f>
        <v>1</v>
      </c>
      <c r="G332" s="10"/>
      <c r="L332" s="5"/>
      <c r="M332" s="4">
        <f>M331-Table13[[#This Row],[Debits]]+Table13[[#This Row],[Income]]</f>
        <v>2805.21</v>
      </c>
      <c r="N332" t="str">
        <f>IF(AND(Table13[[#This Row],[Category]]="pay",NOT(Table13[[#This Row],[Debits]]=0)),"bad","good")</f>
        <v>good</v>
      </c>
      <c r="O332" s="5"/>
    </row>
    <row r="333" spans="6:15" x14ac:dyDescent="0.3">
      <c r="F333">
        <f>MONTH(Table13[[#This Row],[Date  (DMY)]])</f>
        <v>1</v>
      </c>
      <c r="G333" s="10"/>
      <c r="L333" s="5"/>
      <c r="M333" s="4">
        <f>M332-Table13[[#This Row],[Debits]]+Table13[[#This Row],[Income]]</f>
        <v>2805.21</v>
      </c>
      <c r="N333" t="str">
        <f>IF(AND(Table13[[#This Row],[Category]]="pay",NOT(Table13[[#This Row],[Debits]]=0)),"bad","good")</f>
        <v>good</v>
      </c>
      <c r="O333" s="5"/>
    </row>
    <row r="334" spans="6:15" x14ac:dyDescent="0.3">
      <c r="F334">
        <f>MONTH(Table13[[#This Row],[Date  (DMY)]])</f>
        <v>1</v>
      </c>
      <c r="G334" s="10"/>
      <c r="L334" s="5"/>
      <c r="M334" s="4">
        <f>M333-Table13[[#This Row],[Debits]]+Table13[[#This Row],[Income]]</f>
        <v>2805.21</v>
      </c>
      <c r="N334" t="str">
        <f>IF(AND(Table13[[#This Row],[Category]]="pay",NOT(Table13[[#This Row],[Debits]]=0)),"bad","good")</f>
        <v>good</v>
      </c>
      <c r="O334" s="5"/>
    </row>
    <row r="335" spans="6:15" x14ac:dyDescent="0.3">
      <c r="F335">
        <f>MONTH(Table13[[#This Row],[Date  (DMY)]])</f>
        <v>1</v>
      </c>
      <c r="G335" s="10"/>
      <c r="L335" s="5"/>
      <c r="M335" s="4">
        <f>M334-Table13[[#This Row],[Debits]]+Table13[[#This Row],[Income]]</f>
        <v>2805.21</v>
      </c>
      <c r="N335" t="str">
        <f>IF(AND(Table13[[#This Row],[Category]]="pay",NOT(Table13[[#This Row],[Debits]]=0)),"bad","good")</f>
        <v>good</v>
      </c>
      <c r="O335" s="5"/>
    </row>
    <row r="336" spans="6:15" x14ac:dyDescent="0.3">
      <c r="F336">
        <f>MONTH(Table13[[#This Row],[Date  (DMY)]])</f>
        <v>1</v>
      </c>
      <c r="G336" s="10"/>
      <c r="L336" s="5"/>
      <c r="M336" s="4">
        <f>M335-Table13[[#This Row],[Debits]]+Table13[[#This Row],[Income]]</f>
        <v>2805.21</v>
      </c>
      <c r="N336" t="str">
        <f>IF(AND(Table13[[#This Row],[Category]]="pay",NOT(Table13[[#This Row],[Debits]]=0)),"bad","good")</f>
        <v>good</v>
      </c>
      <c r="O336" s="5"/>
    </row>
    <row r="337" spans="6:15" x14ac:dyDescent="0.3">
      <c r="F337">
        <f>MONTH(Table13[[#This Row],[Date  (DMY)]])</f>
        <v>1</v>
      </c>
      <c r="G337" s="10"/>
      <c r="L337" s="5"/>
      <c r="M337" s="4">
        <f>M336-Table13[[#This Row],[Debits]]+Table13[[#This Row],[Income]]</f>
        <v>2805.21</v>
      </c>
      <c r="N337" t="str">
        <f>IF(AND(Table13[[#This Row],[Category]]="pay",NOT(Table13[[#This Row],[Debits]]=0)),"bad","good")</f>
        <v>good</v>
      </c>
      <c r="O337" s="5"/>
    </row>
    <row r="338" spans="6:15" x14ac:dyDescent="0.3">
      <c r="F338">
        <f>MONTH(Table13[[#This Row],[Date  (DMY)]])</f>
        <v>1</v>
      </c>
      <c r="G338" s="10"/>
      <c r="L338" s="5"/>
      <c r="M338" s="4">
        <f>M337-Table13[[#This Row],[Debits]]+Table13[[#This Row],[Income]]</f>
        <v>2805.21</v>
      </c>
      <c r="N338" t="str">
        <f>IF(AND(Table13[[#This Row],[Category]]="pay",NOT(Table13[[#This Row],[Debits]]=0)),"bad","good")</f>
        <v>good</v>
      </c>
      <c r="O338" s="5"/>
    </row>
    <row r="339" spans="6:15" x14ac:dyDescent="0.3">
      <c r="F339">
        <f>MONTH(Table13[[#This Row],[Date  (DMY)]])</f>
        <v>1</v>
      </c>
      <c r="G339" s="10"/>
      <c r="L339" s="5"/>
      <c r="M339" s="4">
        <f>M338-Table13[[#This Row],[Debits]]+Table13[[#This Row],[Income]]</f>
        <v>2805.21</v>
      </c>
      <c r="N339" t="str">
        <f>IF(AND(Table13[[#This Row],[Category]]="pay",NOT(Table13[[#This Row],[Debits]]=0)),"bad","good")</f>
        <v>good</v>
      </c>
      <c r="O339" s="5"/>
    </row>
    <row r="340" spans="6:15" x14ac:dyDescent="0.3">
      <c r="F340">
        <f>MONTH(Table13[[#This Row],[Date  (DMY)]])</f>
        <v>1</v>
      </c>
      <c r="G340" s="10"/>
      <c r="L340" s="5"/>
      <c r="M340" s="4">
        <f>M339-Table13[[#This Row],[Debits]]+Table13[[#This Row],[Income]]</f>
        <v>2805.21</v>
      </c>
      <c r="N340" t="str">
        <f>IF(AND(Table13[[#This Row],[Category]]="pay",NOT(Table13[[#This Row],[Debits]]=0)),"bad","good")</f>
        <v>good</v>
      </c>
      <c r="O340" s="5"/>
    </row>
    <row r="341" spans="6:15" x14ac:dyDescent="0.3">
      <c r="F341">
        <f>MONTH(Table13[[#This Row],[Date  (DMY)]])</f>
        <v>1</v>
      </c>
      <c r="G341" s="10"/>
      <c r="L341" s="5"/>
      <c r="M341" s="4">
        <f>M340-Table13[[#This Row],[Debits]]+Table13[[#This Row],[Income]]</f>
        <v>2805.21</v>
      </c>
      <c r="N341" t="str">
        <f>IF(AND(Table13[[#This Row],[Category]]="pay",NOT(Table13[[#This Row],[Debits]]=0)),"bad","good")</f>
        <v>good</v>
      </c>
      <c r="O341" s="5"/>
    </row>
    <row r="342" spans="6:15" x14ac:dyDescent="0.3">
      <c r="F342">
        <f>MONTH(Table13[[#This Row],[Date  (DMY)]])</f>
        <v>1</v>
      </c>
      <c r="G342" s="10"/>
      <c r="L342" s="5"/>
      <c r="M342" s="4">
        <f>M341-Table13[[#This Row],[Debits]]+Table13[[#This Row],[Income]]</f>
        <v>2805.21</v>
      </c>
      <c r="N342" t="str">
        <f>IF(AND(Table13[[#This Row],[Category]]="pay",NOT(Table13[[#This Row],[Debits]]=0)),"bad","good")</f>
        <v>good</v>
      </c>
      <c r="O342" s="5"/>
    </row>
    <row r="343" spans="6:15" x14ac:dyDescent="0.3">
      <c r="F343">
        <f>MONTH(Table13[[#This Row],[Date  (DMY)]])</f>
        <v>1</v>
      </c>
      <c r="G343" s="10"/>
      <c r="L343" s="5"/>
      <c r="M343" s="4">
        <f>M342-Table13[[#This Row],[Debits]]+Table13[[#This Row],[Income]]</f>
        <v>2805.21</v>
      </c>
      <c r="N343" t="str">
        <f>IF(AND(Table13[[#This Row],[Category]]="pay",NOT(Table13[[#This Row],[Debits]]=0)),"bad","good")</f>
        <v>good</v>
      </c>
      <c r="O343" s="5"/>
    </row>
    <row r="344" spans="6:15" x14ac:dyDescent="0.3">
      <c r="F344">
        <f>MONTH(Table13[[#This Row],[Date  (DMY)]])</f>
        <v>1</v>
      </c>
      <c r="G344" s="10"/>
      <c r="L344" s="5"/>
      <c r="M344" s="4">
        <f>M343-Table13[[#This Row],[Debits]]+Table13[[#This Row],[Income]]</f>
        <v>2805.21</v>
      </c>
      <c r="N344" t="str">
        <f>IF(AND(Table13[[#This Row],[Category]]="pay",NOT(Table13[[#This Row],[Debits]]=0)),"bad","good")</f>
        <v>good</v>
      </c>
      <c r="O344" s="5"/>
    </row>
    <row r="345" spans="6:15" x14ac:dyDescent="0.3">
      <c r="F345">
        <f>MONTH(Table13[[#This Row],[Date  (DMY)]])</f>
        <v>1</v>
      </c>
      <c r="G345" s="10"/>
      <c r="L345" s="5"/>
      <c r="M345" s="4">
        <f>M344-Table13[[#This Row],[Debits]]+Table13[[#This Row],[Income]]</f>
        <v>2805.21</v>
      </c>
      <c r="N345" t="str">
        <f>IF(AND(Table13[[#This Row],[Category]]="pay",NOT(Table13[[#This Row],[Debits]]=0)),"bad","good")</f>
        <v>good</v>
      </c>
      <c r="O345" s="5"/>
    </row>
    <row r="346" spans="6:15" x14ac:dyDescent="0.3">
      <c r="F346">
        <f>MONTH(Table13[[#This Row],[Date  (DMY)]])</f>
        <v>1</v>
      </c>
      <c r="G346" s="10"/>
      <c r="L346" s="5"/>
      <c r="M346" s="4">
        <f>M345-Table13[[#This Row],[Debits]]+Table13[[#This Row],[Income]]</f>
        <v>2805.21</v>
      </c>
      <c r="N346" t="str">
        <f>IF(AND(Table13[[#This Row],[Category]]="pay",NOT(Table13[[#This Row],[Debits]]=0)),"bad","good")</f>
        <v>good</v>
      </c>
      <c r="O346" s="5"/>
    </row>
    <row r="347" spans="6:15" x14ac:dyDescent="0.3">
      <c r="F347">
        <f>MONTH(Table13[[#This Row],[Date  (DMY)]])</f>
        <v>1</v>
      </c>
      <c r="G347" s="10"/>
      <c r="L347" s="5"/>
      <c r="M347" s="4">
        <f>M346-Table13[[#This Row],[Debits]]+Table13[[#This Row],[Income]]</f>
        <v>2805.21</v>
      </c>
      <c r="N347" t="str">
        <f>IF(AND(Table13[[#This Row],[Category]]="pay",NOT(Table13[[#This Row],[Debits]]=0)),"bad","good")</f>
        <v>good</v>
      </c>
      <c r="O347" s="5"/>
    </row>
    <row r="348" spans="6:15" x14ac:dyDescent="0.3">
      <c r="F348">
        <f>MONTH(Table13[[#This Row],[Date  (DMY)]])</f>
        <v>1</v>
      </c>
      <c r="G348" s="10"/>
      <c r="L348" s="5"/>
      <c r="M348" s="4">
        <f>M347-Table13[[#This Row],[Debits]]+Table13[[#This Row],[Income]]</f>
        <v>2805.21</v>
      </c>
      <c r="N348" t="str">
        <f>IF(AND(Table13[[#This Row],[Category]]="pay",NOT(Table13[[#This Row],[Debits]]=0)),"bad","good")</f>
        <v>good</v>
      </c>
      <c r="O348" s="5"/>
    </row>
    <row r="349" spans="6:15" x14ac:dyDescent="0.3">
      <c r="F349">
        <f>MONTH(Table13[[#This Row],[Date  (DMY)]])</f>
        <v>1</v>
      </c>
      <c r="G349" s="10"/>
      <c r="L349" s="5"/>
      <c r="M349" s="4">
        <f>M348-Table13[[#This Row],[Debits]]+Table13[[#This Row],[Income]]</f>
        <v>2805.21</v>
      </c>
      <c r="N349" t="str">
        <f>IF(AND(Table13[[#This Row],[Category]]="pay",NOT(Table13[[#This Row],[Debits]]=0)),"bad","good")</f>
        <v>good</v>
      </c>
      <c r="O349" s="5"/>
    </row>
    <row r="350" spans="6:15" x14ac:dyDescent="0.3">
      <c r="F350">
        <f>MONTH(Table13[[#This Row],[Date  (DMY)]])</f>
        <v>1</v>
      </c>
      <c r="G350" s="10"/>
      <c r="L350" s="5"/>
      <c r="M350" s="4">
        <f>M349-Table13[[#This Row],[Debits]]+Table13[[#This Row],[Income]]</f>
        <v>2805.21</v>
      </c>
      <c r="N350" t="str">
        <f>IF(AND(Table13[[#This Row],[Category]]="pay",NOT(Table13[[#This Row],[Debits]]=0)),"bad","good")</f>
        <v>good</v>
      </c>
      <c r="O350" s="5"/>
    </row>
    <row r="351" spans="6:15" x14ac:dyDescent="0.3">
      <c r="F351">
        <f>MONTH(Table13[[#This Row],[Date  (DMY)]])</f>
        <v>1</v>
      </c>
      <c r="G351" s="10"/>
      <c r="L351" s="5"/>
      <c r="M351" s="4">
        <f>M350-Table13[[#This Row],[Debits]]+Table13[[#This Row],[Income]]</f>
        <v>2805.21</v>
      </c>
      <c r="N351" t="str">
        <f>IF(AND(Table13[[#This Row],[Category]]="pay",NOT(Table13[[#This Row],[Debits]]=0)),"bad","good")</f>
        <v>good</v>
      </c>
      <c r="O351" s="5"/>
    </row>
    <row r="352" spans="6:15" x14ac:dyDescent="0.3">
      <c r="F352">
        <f>MONTH(Table13[[#This Row],[Date  (DMY)]])</f>
        <v>1</v>
      </c>
      <c r="G352" s="10"/>
      <c r="L352" s="5"/>
      <c r="M352" s="4">
        <f>M351-Table13[[#This Row],[Debits]]+Table13[[#This Row],[Income]]</f>
        <v>2805.21</v>
      </c>
      <c r="N352" t="str">
        <f>IF(AND(Table13[[#This Row],[Category]]="pay",NOT(Table13[[#This Row],[Debits]]=0)),"bad","good")</f>
        <v>good</v>
      </c>
      <c r="O352" s="5"/>
    </row>
    <row r="353" spans="6:15" x14ac:dyDescent="0.3">
      <c r="F353">
        <f>MONTH(Table13[[#This Row],[Date  (DMY)]])</f>
        <v>1</v>
      </c>
      <c r="G353" s="10"/>
      <c r="L353" s="5"/>
      <c r="M353" s="4">
        <f>M352-Table13[[#This Row],[Debits]]+Table13[[#This Row],[Income]]</f>
        <v>2805.21</v>
      </c>
      <c r="N353" t="str">
        <f>IF(AND(Table13[[#This Row],[Category]]="pay",NOT(Table13[[#This Row],[Debits]]=0)),"bad","good")</f>
        <v>good</v>
      </c>
      <c r="O353" s="5"/>
    </row>
    <row r="354" spans="6:15" x14ac:dyDescent="0.3">
      <c r="F354">
        <f>MONTH(Table13[[#This Row],[Date  (DMY)]])</f>
        <v>1</v>
      </c>
      <c r="G354" s="10"/>
      <c r="L354" s="5"/>
      <c r="M354" s="4">
        <f>M353-Table13[[#This Row],[Debits]]+Table13[[#This Row],[Income]]</f>
        <v>2805.21</v>
      </c>
      <c r="N354" t="str">
        <f>IF(AND(Table13[[#This Row],[Category]]="pay",NOT(Table13[[#This Row],[Debits]]=0)),"bad","good")</f>
        <v>good</v>
      </c>
      <c r="O354" s="5"/>
    </row>
    <row r="355" spans="6:15" x14ac:dyDescent="0.3">
      <c r="F355">
        <f>MONTH(Table13[[#This Row],[Date  (DMY)]])</f>
        <v>1</v>
      </c>
      <c r="G355" s="10"/>
      <c r="L355" s="5"/>
      <c r="M355" s="4">
        <f>M354-Table13[[#This Row],[Debits]]+Table13[[#This Row],[Income]]</f>
        <v>2805.21</v>
      </c>
      <c r="N355" t="str">
        <f>IF(AND(Table13[[#This Row],[Category]]="pay",NOT(Table13[[#This Row],[Debits]]=0)),"bad","good")</f>
        <v>good</v>
      </c>
      <c r="O355" s="5"/>
    </row>
    <row r="356" spans="6:15" x14ac:dyDescent="0.3">
      <c r="F356">
        <f>MONTH(Table13[[#This Row],[Date  (DMY)]])</f>
        <v>1</v>
      </c>
      <c r="G356" s="10"/>
      <c r="L356" s="5"/>
      <c r="M356" s="4">
        <f>M355-Table13[[#This Row],[Debits]]+Table13[[#This Row],[Income]]</f>
        <v>2805.21</v>
      </c>
      <c r="N356" t="str">
        <f>IF(AND(Table13[[#This Row],[Category]]="pay",NOT(Table13[[#This Row],[Debits]]=0)),"bad","good")</f>
        <v>good</v>
      </c>
      <c r="O356" s="5"/>
    </row>
    <row r="357" spans="6:15" x14ac:dyDescent="0.3">
      <c r="F357">
        <f>MONTH(Table13[[#This Row],[Date  (DMY)]])</f>
        <v>1</v>
      </c>
      <c r="G357" s="10"/>
      <c r="L357" s="5"/>
      <c r="M357" s="4">
        <f>M356-Table13[[#This Row],[Debits]]+Table13[[#This Row],[Income]]</f>
        <v>2805.21</v>
      </c>
      <c r="N357" t="str">
        <f>IF(AND(Table13[[#This Row],[Category]]="pay",NOT(Table13[[#This Row],[Debits]]=0)),"bad","good")</f>
        <v>good</v>
      </c>
      <c r="O357" s="5"/>
    </row>
    <row r="358" spans="6:15" x14ac:dyDescent="0.3">
      <c r="F358">
        <f>MONTH(Table13[[#This Row],[Date  (DMY)]])</f>
        <v>1</v>
      </c>
      <c r="G358" s="10"/>
      <c r="L358" s="5"/>
      <c r="M358" s="4">
        <f>M357-Table13[[#This Row],[Debits]]+Table13[[#This Row],[Income]]</f>
        <v>2805.21</v>
      </c>
      <c r="N358" t="str">
        <f>IF(AND(Table13[[#This Row],[Category]]="pay",NOT(Table13[[#This Row],[Debits]]=0)),"bad","good")</f>
        <v>good</v>
      </c>
      <c r="O358" s="5"/>
    </row>
    <row r="359" spans="6:15" x14ac:dyDescent="0.3">
      <c r="F359">
        <f>MONTH(Table13[[#This Row],[Date  (DMY)]])</f>
        <v>1</v>
      </c>
      <c r="G359" s="10"/>
      <c r="L359" s="5"/>
      <c r="M359" s="4">
        <f>M358-Table13[[#This Row],[Debits]]+Table13[[#This Row],[Income]]</f>
        <v>2805.21</v>
      </c>
      <c r="N359" t="str">
        <f>IF(AND(Table13[[#This Row],[Category]]="pay",NOT(Table13[[#This Row],[Debits]]=0)),"bad","good")</f>
        <v>good</v>
      </c>
      <c r="O359" s="5"/>
    </row>
    <row r="360" spans="6:15" x14ac:dyDescent="0.3">
      <c r="F360">
        <f>MONTH(Table13[[#This Row],[Date  (DMY)]])</f>
        <v>1</v>
      </c>
      <c r="G360" s="2"/>
      <c r="L360" s="5"/>
      <c r="M360" s="4">
        <f>M359-Table13[[#This Row],[Debits]]+Table13[[#This Row],[Income]]</f>
        <v>2805.21</v>
      </c>
      <c r="N360" t="str">
        <f>IF(AND(Table13[[#This Row],[Category]]="pay",NOT(Table13[[#This Row],[Debits]]=0)),"bad","good")</f>
        <v>good</v>
      </c>
      <c r="O360" s="5"/>
    </row>
    <row r="361" spans="6:15" x14ac:dyDescent="0.3">
      <c r="F361">
        <f>MONTH(Table13[[#This Row],[Date  (DMY)]])</f>
        <v>1</v>
      </c>
      <c r="G361" s="2"/>
      <c r="L361" s="5"/>
      <c r="M361" s="4">
        <f>M360-Table13[[#This Row],[Debits]]+Table13[[#This Row],[Income]]</f>
        <v>2805.21</v>
      </c>
      <c r="N361" t="str">
        <f>IF(AND(Table13[[#This Row],[Category]]="pay",NOT(Table13[[#This Row],[Debits]]=0)),"bad","good")</f>
        <v>good</v>
      </c>
      <c r="O361" s="5"/>
    </row>
    <row r="362" spans="6:15" x14ac:dyDescent="0.3">
      <c r="F362">
        <f>MONTH(Table13[[#This Row],[Date  (DMY)]])</f>
        <v>1</v>
      </c>
      <c r="G362" s="2"/>
      <c r="L362" s="5"/>
      <c r="M362" s="4">
        <f>M361-Table13[[#This Row],[Debits]]+Table13[[#This Row],[Income]]</f>
        <v>2805.21</v>
      </c>
      <c r="N362" t="str">
        <f>IF(AND(Table13[[#This Row],[Category]]="pay",NOT(Table13[[#This Row],[Debits]]=0)),"bad","good")</f>
        <v>good</v>
      </c>
      <c r="O362" s="5"/>
    </row>
    <row r="363" spans="6:15" x14ac:dyDescent="0.3">
      <c r="F363">
        <f>MONTH(Table13[[#This Row],[Date  (DMY)]])</f>
        <v>1</v>
      </c>
      <c r="G363" s="2"/>
      <c r="L363" s="5"/>
      <c r="M363" s="4">
        <f>M362-Table13[[#This Row],[Debits]]+Table13[[#This Row],[Income]]</f>
        <v>2805.21</v>
      </c>
      <c r="N363" t="str">
        <f>IF(AND(Table13[[#This Row],[Category]]="pay",NOT(Table13[[#This Row],[Debits]]=0)),"bad","good")</f>
        <v>good</v>
      </c>
      <c r="O363" s="5"/>
    </row>
    <row r="364" spans="6:15" x14ac:dyDescent="0.3">
      <c r="F364">
        <f>MONTH(Table13[[#This Row],[Date  (DMY)]])</f>
        <v>1</v>
      </c>
      <c r="G364" s="2"/>
      <c r="L364" s="5"/>
      <c r="M364" s="4">
        <f>M363-Table13[[#This Row],[Debits]]+Table13[[#This Row],[Income]]</f>
        <v>2805.21</v>
      </c>
      <c r="N364" t="str">
        <f>IF(AND(Table13[[#This Row],[Category]]="pay",NOT(Table13[[#This Row],[Debits]]=0)),"bad","good")</f>
        <v>good</v>
      </c>
      <c r="O364" s="5"/>
    </row>
    <row r="365" spans="6:15" x14ac:dyDescent="0.3">
      <c r="F365">
        <f>MONTH(Table13[[#This Row],[Date  (DMY)]])</f>
        <v>1</v>
      </c>
      <c r="G365" s="2"/>
      <c r="L365" s="5"/>
      <c r="M365" s="4">
        <f>M364-Table13[[#This Row],[Debits]]+Table13[[#This Row],[Income]]</f>
        <v>2805.21</v>
      </c>
      <c r="N365" t="str">
        <f>IF(AND(Table13[[#This Row],[Category]]="pay",NOT(Table13[[#This Row],[Debits]]=0)),"bad","good")</f>
        <v>good</v>
      </c>
      <c r="O365" s="5"/>
    </row>
    <row r="366" spans="6:15" x14ac:dyDescent="0.3">
      <c r="F366">
        <f>MONTH(Table13[[#This Row],[Date  (DMY)]])</f>
        <v>1</v>
      </c>
      <c r="G366" s="2"/>
      <c r="L366" s="5"/>
      <c r="M366" s="4">
        <f>M365-Table13[[#This Row],[Debits]]+Table13[[#This Row],[Income]]</f>
        <v>2805.21</v>
      </c>
      <c r="N366" t="str">
        <f>IF(AND(Table13[[#This Row],[Category]]="pay",NOT(Table13[[#This Row],[Debits]]=0)),"bad","good")</f>
        <v>good</v>
      </c>
      <c r="O366" s="5"/>
    </row>
    <row r="367" spans="6:15" x14ac:dyDescent="0.3">
      <c r="F367">
        <f>MONTH(Table13[[#This Row],[Date  (DMY)]])</f>
        <v>1</v>
      </c>
      <c r="G367" s="2"/>
      <c r="L367" s="5"/>
      <c r="M367" s="4">
        <f>M366-Table13[[#This Row],[Debits]]+Table13[[#This Row],[Income]]</f>
        <v>2805.21</v>
      </c>
      <c r="N367" t="str">
        <f>IF(AND(Table13[[#This Row],[Category]]="pay",NOT(Table13[[#This Row],[Debits]]=0)),"bad","good")</f>
        <v>good</v>
      </c>
      <c r="O367" s="5"/>
    </row>
    <row r="368" spans="6:15" x14ac:dyDescent="0.3">
      <c r="F368">
        <f>MONTH(Table13[[#This Row],[Date  (DMY)]])</f>
        <v>1</v>
      </c>
      <c r="G368" s="2"/>
      <c r="L368" s="5"/>
      <c r="M368" s="4">
        <f>M367-Table13[[#This Row],[Debits]]+Table13[[#This Row],[Income]]</f>
        <v>2805.21</v>
      </c>
      <c r="N368" t="str">
        <f>IF(AND(Table13[[#This Row],[Category]]="pay",NOT(Table13[[#This Row],[Debits]]=0)),"bad","good")</f>
        <v>good</v>
      </c>
      <c r="O368" s="5"/>
    </row>
    <row r="369" spans="6:15" x14ac:dyDescent="0.3">
      <c r="F369">
        <f>MONTH(Table13[[#This Row],[Date  (DMY)]])</f>
        <v>1</v>
      </c>
      <c r="G369" s="2"/>
      <c r="L369" s="5"/>
      <c r="M369" s="4">
        <f>M368-Table13[[#This Row],[Debits]]+Table13[[#This Row],[Income]]</f>
        <v>2805.21</v>
      </c>
      <c r="N369" t="str">
        <f>IF(AND(Table13[[#This Row],[Category]]="pay",NOT(Table13[[#This Row],[Debits]]=0)),"bad","good")</f>
        <v>good</v>
      </c>
      <c r="O369" s="5"/>
    </row>
    <row r="370" spans="6:15" x14ac:dyDescent="0.3">
      <c r="F370">
        <f>MONTH(Table13[[#This Row],[Date  (DMY)]])</f>
        <v>1</v>
      </c>
      <c r="G370" s="2"/>
      <c r="L370" s="5"/>
      <c r="M370" s="4">
        <f>M369-Table13[[#This Row],[Debits]]+Table13[[#This Row],[Income]]</f>
        <v>2805.21</v>
      </c>
      <c r="N370" t="str">
        <f>IF(AND(Table13[[#This Row],[Category]]="pay",NOT(Table13[[#This Row],[Debits]]=0)),"bad","good")</f>
        <v>good</v>
      </c>
      <c r="O370" s="5"/>
    </row>
    <row r="371" spans="6:15" x14ac:dyDescent="0.3">
      <c r="F371">
        <f>MONTH(Table13[[#This Row],[Date  (DMY)]])</f>
        <v>1</v>
      </c>
      <c r="G371" s="2"/>
      <c r="L371" s="5"/>
      <c r="M371" s="4">
        <f>M370-Table13[[#This Row],[Debits]]+Table13[[#This Row],[Income]]</f>
        <v>2805.21</v>
      </c>
      <c r="N371" t="str">
        <f>IF(AND(Table13[[#This Row],[Category]]="pay",NOT(Table13[[#This Row],[Debits]]=0)),"bad","good")</f>
        <v>good</v>
      </c>
      <c r="O371" s="5"/>
    </row>
    <row r="372" spans="6:15" x14ac:dyDescent="0.3">
      <c r="F372">
        <f>MONTH(Table13[[#This Row],[Date  (DMY)]])</f>
        <v>1</v>
      </c>
      <c r="G372" s="2"/>
      <c r="L372" s="5"/>
      <c r="M372" s="4">
        <f>M371-Table13[[#This Row],[Debits]]+Table13[[#This Row],[Income]]</f>
        <v>2805.21</v>
      </c>
      <c r="N372" t="str">
        <f>IF(AND(Table13[[#This Row],[Category]]="pay",NOT(Table13[[#This Row],[Debits]]=0)),"bad","good")</f>
        <v>good</v>
      </c>
      <c r="O372" s="5"/>
    </row>
    <row r="373" spans="6:15" x14ac:dyDescent="0.3">
      <c r="F373">
        <f>MONTH(Table13[[#This Row],[Date  (DMY)]])</f>
        <v>1</v>
      </c>
      <c r="G373" s="2"/>
      <c r="L373" s="5"/>
      <c r="M373" s="4">
        <f>M372-Table13[[#This Row],[Debits]]+Table13[[#This Row],[Income]]</f>
        <v>2805.21</v>
      </c>
      <c r="N373" t="str">
        <f>IF(AND(Table13[[#This Row],[Category]]="pay",NOT(Table13[[#This Row],[Debits]]=0)),"bad","good")</f>
        <v>good</v>
      </c>
      <c r="O373" s="5"/>
    </row>
    <row r="374" spans="6:15" x14ac:dyDescent="0.3">
      <c r="F374">
        <f>MONTH(Table13[[#This Row],[Date  (DMY)]])</f>
        <v>1</v>
      </c>
      <c r="G374" s="2"/>
      <c r="L374" s="5"/>
      <c r="M374" s="4">
        <f>M373-Table13[[#This Row],[Debits]]+Table13[[#This Row],[Income]]</f>
        <v>2805.21</v>
      </c>
      <c r="N374" t="str">
        <f>IF(AND(Table13[[#This Row],[Category]]="pay",NOT(Table13[[#This Row],[Debits]]=0)),"bad","good")</f>
        <v>good</v>
      </c>
      <c r="O374" s="5"/>
    </row>
    <row r="375" spans="6:15" x14ac:dyDescent="0.3">
      <c r="F375">
        <f>MONTH(Table13[[#This Row],[Date  (DMY)]])</f>
        <v>1</v>
      </c>
      <c r="G375" s="2"/>
      <c r="L375" s="5"/>
      <c r="M375" s="4">
        <f>M374-Table13[[#This Row],[Debits]]+Table13[[#This Row],[Income]]</f>
        <v>2805.21</v>
      </c>
      <c r="N375" t="str">
        <f>IF(AND(Table13[[#This Row],[Category]]="pay",NOT(Table13[[#This Row],[Debits]]=0)),"bad","good")</f>
        <v>good</v>
      </c>
      <c r="O375" s="5"/>
    </row>
    <row r="376" spans="6:15" x14ac:dyDescent="0.3">
      <c r="F376">
        <f>MONTH(Table13[[#This Row],[Date  (DMY)]])</f>
        <v>1</v>
      </c>
      <c r="G376" s="2"/>
      <c r="L376" s="5"/>
      <c r="M376" s="4">
        <f>M375-Table13[[#This Row],[Debits]]+Table13[[#This Row],[Income]]</f>
        <v>2805.21</v>
      </c>
      <c r="N376" t="str">
        <f>IF(AND(Table13[[#This Row],[Category]]="pay",NOT(Table13[[#This Row],[Debits]]=0)),"bad","good")</f>
        <v>good</v>
      </c>
      <c r="O376" s="5"/>
    </row>
    <row r="377" spans="6:15" x14ac:dyDescent="0.3">
      <c r="F377">
        <f>MONTH(Table13[[#This Row],[Date  (DMY)]])</f>
        <v>1</v>
      </c>
      <c r="G377" s="2"/>
      <c r="L377" s="5"/>
      <c r="M377" s="4">
        <f>M376-Table13[[#This Row],[Debits]]+Table13[[#This Row],[Income]]</f>
        <v>2805.21</v>
      </c>
      <c r="N377" t="str">
        <f>IF(AND(Table13[[#This Row],[Category]]="pay",NOT(Table13[[#This Row],[Debits]]=0)),"bad","good")</f>
        <v>good</v>
      </c>
      <c r="O377" s="5"/>
    </row>
    <row r="378" spans="6:15" x14ac:dyDescent="0.3">
      <c r="F378">
        <f>MONTH(Table13[[#This Row],[Date  (DMY)]])</f>
        <v>1</v>
      </c>
      <c r="G378" s="2"/>
      <c r="L378" s="5"/>
      <c r="M378" s="4">
        <f>M377-Table13[[#This Row],[Debits]]+Table13[[#This Row],[Income]]</f>
        <v>2805.21</v>
      </c>
      <c r="N378" t="str">
        <f>IF(AND(Table13[[#This Row],[Category]]="pay",NOT(Table13[[#This Row],[Debits]]=0)),"bad","good")</f>
        <v>good</v>
      </c>
      <c r="O378" s="5"/>
    </row>
    <row r="379" spans="6:15" x14ac:dyDescent="0.3">
      <c r="F379">
        <f>MONTH(Table13[[#This Row],[Date  (DMY)]])</f>
        <v>1</v>
      </c>
      <c r="G379" s="2"/>
      <c r="L379" s="5"/>
      <c r="M379" s="4">
        <f>M378-Table13[[#This Row],[Debits]]+Table13[[#This Row],[Income]]</f>
        <v>2805.21</v>
      </c>
      <c r="N379" t="str">
        <f>IF(AND(Table13[[#This Row],[Category]]="pay",NOT(Table13[[#This Row],[Debits]]=0)),"bad","good")</f>
        <v>good</v>
      </c>
      <c r="O379" s="5"/>
    </row>
    <row r="380" spans="6:15" x14ac:dyDescent="0.3">
      <c r="F380">
        <f>MONTH(Table13[[#This Row],[Date  (DMY)]])</f>
        <v>1</v>
      </c>
      <c r="G380" s="2"/>
      <c r="L380" s="5"/>
      <c r="M380" s="4">
        <f>M379-Table13[[#This Row],[Debits]]+Table13[[#This Row],[Income]]</f>
        <v>2805.21</v>
      </c>
      <c r="N380" t="str">
        <f>IF(AND(Table13[[#This Row],[Category]]="pay",NOT(Table13[[#This Row],[Debits]]=0)),"bad","good")</f>
        <v>good</v>
      </c>
      <c r="O380" s="5"/>
    </row>
    <row r="381" spans="6:15" x14ac:dyDescent="0.3">
      <c r="F381">
        <f>MONTH(Table13[[#This Row],[Date  (DMY)]])</f>
        <v>1</v>
      </c>
      <c r="G381" s="2"/>
      <c r="L381" s="5"/>
      <c r="M381" s="4">
        <f>M380-Table13[[#This Row],[Debits]]+Table13[[#This Row],[Income]]</f>
        <v>2805.21</v>
      </c>
      <c r="N381" t="str">
        <f>IF(AND(Table13[[#This Row],[Category]]="pay",NOT(Table13[[#This Row],[Debits]]=0)),"bad","good")</f>
        <v>good</v>
      </c>
      <c r="O381" s="5"/>
    </row>
    <row r="382" spans="6:15" x14ac:dyDescent="0.3">
      <c r="F382">
        <f>MONTH(Table13[[#This Row],[Date  (DMY)]])</f>
        <v>1</v>
      </c>
      <c r="G382" s="2"/>
      <c r="L382" s="5"/>
      <c r="M382" s="4">
        <f>M381-Table13[[#This Row],[Debits]]+Table13[[#This Row],[Income]]</f>
        <v>2805.21</v>
      </c>
      <c r="N382" t="str">
        <f>IF(AND(Table13[[#This Row],[Category]]="pay",NOT(Table13[[#This Row],[Debits]]=0)),"bad","good")</f>
        <v>good</v>
      </c>
      <c r="O382" s="5"/>
    </row>
    <row r="383" spans="6:15" x14ac:dyDescent="0.3">
      <c r="F383">
        <f>MONTH(Table13[[#This Row],[Date  (DMY)]])</f>
        <v>1</v>
      </c>
      <c r="G383" s="2"/>
      <c r="L383" s="5"/>
      <c r="M383" s="4">
        <f>M382-Table13[[#This Row],[Debits]]+Table13[[#This Row],[Income]]</f>
        <v>2805.21</v>
      </c>
      <c r="N383" t="str">
        <f>IF(AND(Table13[[#This Row],[Category]]="pay",NOT(Table13[[#This Row],[Debits]]=0)),"bad","good")</f>
        <v>good</v>
      </c>
      <c r="O383" s="5"/>
    </row>
    <row r="384" spans="6:15" x14ac:dyDescent="0.3">
      <c r="F384">
        <f>MONTH(Table13[[#This Row],[Date  (DMY)]])</f>
        <v>1</v>
      </c>
      <c r="G384" s="2"/>
      <c r="L384" s="5"/>
      <c r="M384" s="4">
        <f>M383-Table13[[#This Row],[Debits]]+Table13[[#This Row],[Income]]</f>
        <v>2805.21</v>
      </c>
      <c r="N384" t="str">
        <f>IF(AND(Table13[[#This Row],[Category]]="pay",NOT(Table13[[#This Row],[Debits]]=0)),"bad","good")</f>
        <v>good</v>
      </c>
      <c r="O384" s="5"/>
    </row>
    <row r="385" spans="6:15" x14ac:dyDescent="0.3">
      <c r="F385">
        <f>MONTH(Table13[[#This Row],[Date  (DMY)]])</f>
        <v>1</v>
      </c>
      <c r="G385" s="2"/>
      <c r="L385" s="5"/>
      <c r="M385" s="4">
        <f>M384-Table13[[#This Row],[Debits]]+Table13[[#This Row],[Income]]</f>
        <v>2805.21</v>
      </c>
      <c r="N385" t="str">
        <f>IF(AND(Table13[[#This Row],[Category]]="pay",NOT(Table13[[#This Row],[Debits]]=0)),"bad","good")</f>
        <v>good</v>
      </c>
      <c r="O385" s="5"/>
    </row>
    <row r="386" spans="6:15" x14ac:dyDescent="0.3">
      <c r="F386">
        <f>MONTH(Table13[[#This Row],[Date  (DMY)]])</f>
        <v>1</v>
      </c>
      <c r="G386" s="2"/>
      <c r="L386" s="5"/>
      <c r="M386" s="4">
        <f>M385-Table13[[#This Row],[Debits]]+Table13[[#This Row],[Income]]</f>
        <v>2805.21</v>
      </c>
      <c r="N386" t="str">
        <f>IF(AND(Table13[[#This Row],[Category]]="pay",NOT(Table13[[#This Row],[Debits]]=0)),"bad","good")</f>
        <v>good</v>
      </c>
      <c r="O386" s="5"/>
    </row>
    <row r="387" spans="6:15" x14ac:dyDescent="0.3">
      <c r="F387">
        <f>MONTH(Table13[[#This Row],[Date  (DMY)]])</f>
        <v>1</v>
      </c>
      <c r="G387" s="2"/>
      <c r="L387" s="5"/>
      <c r="M387" s="4">
        <f>M386-Table13[[#This Row],[Debits]]+Table13[[#This Row],[Income]]</f>
        <v>2805.21</v>
      </c>
      <c r="N387" t="str">
        <f>IF(AND(Table13[[#This Row],[Category]]="pay",NOT(Table13[[#This Row],[Debits]]=0)),"bad","good")</f>
        <v>good</v>
      </c>
      <c r="O387" s="5"/>
    </row>
    <row r="388" spans="6:15" x14ac:dyDescent="0.3">
      <c r="F388">
        <f>MONTH(Table13[[#This Row],[Date  (DMY)]])</f>
        <v>1</v>
      </c>
      <c r="G388" s="2"/>
      <c r="L388" s="5"/>
      <c r="M388" s="4">
        <f>M387-Table13[[#This Row],[Debits]]+Table13[[#This Row],[Income]]</f>
        <v>2805.21</v>
      </c>
      <c r="N388" t="str">
        <f>IF(AND(Table13[[#This Row],[Category]]="pay",NOT(Table13[[#This Row],[Debits]]=0)),"bad","good")</f>
        <v>good</v>
      </c>
      <c r="O388" s="5"/>
    </row>
    <row r="389" spans="6:15" x14ac:dyDescent="0.3">
      <c r="F389">
        <f>MONTH(Table13[[#This Row],[Date  (DMY)]])</f>
        <v>1</v>
      </c>
      <c r="G389" s="2"/>
      <c r="L389" s="5"/>
      <c r="M389" s="4">
        <f>M388-Table13[[#This Row],[Debits]]+Table13[[#This Row],[Income]]</f>
        <v>2805.21</v>
      </c>
      <c r="N389" t="str">
        <f>IF(AND(Table13[[#This Row],[Category]]="pay",NOT(Table13[[#This Row],[Debits]]=0)),"bad","good")</f>
        <v>good</v>
      </c>
      <c r="O389" s="5"/>
    </row>
    <row r="390" spans="6:15" x14ac:dyDescent="0.3">
      <c r="F390">
        <f>MONTH(Table13[[#This Row],[Date  (DMY)]])</f>
        <v>1</v>
      </c>
      <c r="G390" s="2"/>
      <c r="L390" s="5"/>
      <c r="M390" s="4">
        <f>M389-Table13[[#This Row],[Debits]]+Table13[[#This Row],[Income]]</f>
        <v>2805.21</v>
      </c>
      <c r="N390" t="str">
        <f>IF(AND(Table13[[#This Row],[Category]]="pay",NOT(Table13[[#This Row],[Debits]]=0)),"bad","good")</f>
        <v>good</v>
      </c>
      <c r="O390" s="5"/>
    </row>
    <row r="391" spans="6:15" x14ac:dyDescent="0.3">
      <c r="F391">
        <f>MONTH(Table13[[#This Row],[Date  (DMY)]])</f>
        <v>1</v>
      </c>
      <c r="G391" s="2"/>
      <c r="L391" s="5"/>
      <c r="M391" s="4">
        <f>M390-Table13[[#This Row],[Debits]]+Table13[[#This Row],[Income]]</f>
        <v>2805.21</v>
      </c>
      <c r="N391" t="str">
        <f>IF(AND(Table13[[#This Row],[Category]]="pay",NOT(Table13[[#This Row],[Debits]]=0)),"bad","good")</f>
        <v>good</v>
      </c>
      <c r="O391" s="5"/>
    </row>
    <row r="392" spans="6:15" x14ac:dyDescent="0.3">
      <c r="F392">
        <f>MONTH(Table13[[#This Row],[Date  (DMY)]])</f>
        <v>1</v>
      </c>
      <c r="G392" s="2"/>
      <c r="L392" s="5"/>
      <c r="M392" s="4">
        <f>M391-Table13[[#This Row],[Debits]]+Table13[[#This Row],[Income]]</f>
        <v>2805.21</v>
      </c>
      <c r="N392" t="str">
        <f>IF(AND(Table13[[#This Row],[Category]]="pay",NOT(Table13[[#This Row],[Debits]]=0)),"bad","good")</f>
        <v>good</v>
      </c>
      <c r="O392" s="5"/>
    </row>
    <row r="393" spans="6:15" x14ac:dyDescent="0.3">
      <c r="F393">
        <f>MONTH(Table13[[#This Row],[Date  (DMY)]])</f>
        <v>1</v>
      </c>
      <c r="G393" s="2"/>
      <c r="L393" s="5"/>
      <c r="M393" s="4">
        <f>M392-Table13[[#This Row],[Debits]]+Table13[[#This Row],[Income]]</f>
        <v>2805.21</v>
      </c>
      <c r="N393" t="str">
        <f>IF(AND(Table13[[#This Row],[Category]]="pay",NOT(Table13[[#This Row],[Debits]]=0)),"bad","good")</f>
        <v>good</v>
      </c>
      <c r="O393" s="5"/>
    </row>
    <row r="394" spans="6:15" x14ac:dyDescent="0.3">
      <c r="F394">
        <f>MONTH(Table13[[#This Row],[Date  (DMY)]])</f>
        <v>1</v>
      </c>
      <c r="G394" s="2"/>
      <c r="L394" s="5"/>
      <c r="M394" s="4">
        <f>M393-Table13[[#This Row],[Debits]]+Table13[[#This Row],[Income]]</f>
        <v>2805.21</v>
      </c>
      <c r="N394" t="str">
        <f>IF(AND(Table13[[#This Row],[Category]]="pay",NOT(Table13[[#This Row],[Debits]]=0)),"bad","good")</f>
        <v>good</v>
      </c>
      <c r="O394" s="5"/>
    </row>
    <row r="395" spans="6:15" x14ac:dyDescent="0.3">
      <c r="F395">
        <f>MONTH(Table13[[#This Row],[Date  (DMY)]])</f>
        <v>1</v>
      </c>
      <c r="G395" s="2"/>
      <c r="L395" s="5"/>
      <c r="M395" s="4">
        <f>M394-Table13[[#This Row],[Debits]]+Table13[[#This Row],[Income]]</f>
        <v>2805.21</v>
      </c>
      <c r="N395" t="str">
        <f>IF(AND(Table13[[#This Row],[Category]]="pay",NOT(Table13[[#This Row],[Debits]]=0)),"bad","good")</f>
        <v>good</v>
      </c>
      <c r="O395" s="5"/>
    </row>
    <row r="396" spans="6:15" x14ac:dyDescent="0.3">
      <c r="F396">
        <f>MONTH(Table13[[#This Row],[Date  (DMY)]])</f>
        <v>1</v>
      </c>
      <c r="G396" s="2"/>
      <c r="L396" s="5"/>
      <c r="M396" s="4">
        <f>M395-Table13[[#This Row],[Debits]]+Table13[[#This Row],[Income]]</f>
        <v>2805.21</v>
      </c>
      <c r="N396" t="str">
        <f>IF(AND(Table13[[#This Row],[Category]]="pay",NOT(Table13[[#This Row],[Debits]]=0)),"bad","good")</f>
        <v>good</v>
      </c>
      <c r="O396" s="5"/>
    </row>
    <row r="397" spans="6:15" x14ac:dyDescent="0.3">
      <c r="F397">
        <f>MONTH(Table13[[#This Row],[Date  (DMY)]])</f>
        <v>1</v>
      </c>
      <c r="G397" s="2"/>
      <c r="L397" s="5"/>
      <c r="M397" s="4">
        <f>M396-Table13[[#This Row],[Debits]]+Table13[[#This Row],[Income]]</f>
        <v>2805.21</v>
      </c>
      <c r="N397" t="str">
        <f>IF(AND(Table13[[#This Row],[Category]]="pay",NOT(Table13[[#This Row],[Debits]]=0)),"bad","good")</f>
        <v>good</v>
      </c>
      <c r="O397" s="5"/>
    </row>
    <row r="398" spans="6:15" x14ac:dyDescent="0.3">
      <c r="F398">
        <f>MONTH(Table13[[#This Row],[Date  (DMY)]])</f>
        <v>1</v>
      </c>
      <c r="G398" s="2"/>
      <c r="L398" s="5"/>
      <c r="M398" s="4">
        <f>M397-Table13[[#This Row],[Debits]]+Table13[[#This Row],[Income]]</f>
        <v>2805.21</v>
      </c>
      <c r="N398" t="str">
        <f>IF(AND(Table13[[#This Row],[Category]]="pay",NOT(Table13[[#This Row],[Debits]]=0)),"bad","good")</f>
        <v>good</v>
      </c>
      <c r="O398" s="5"/>
    </row>
    <row r="399" spans="6:15" x14ac:dyDescent="0.3">
      <c r="F399">
        <f>MONTH(Table13[[#This Row],[Date  (DMY)]])</f>
        <v>1</v>
      </c>
      <c r="G399" s="2"/>
      <c r="L399" s="5"/>
      <c r="M399" s="4">
        <f>M398-Table13[[#This Row],[Debits]]+Table13[[#This Row],[Income]]</f>
        <v>2805.21</v>
      </c>
      <c r="N399" t="str">
        <f>IF(AND(Table13[[#This Row],[Category]]="pay",NOT(Table13[[#This Row],[Debits]]=0)),"bad","good")</f>
        <v>good</v>
      </c>
      <c r="O399" s="5"/>
    </row>
    <row r="400" spans="6:15" x14ac:dyDescent="0.3">
      <c r="F400">
        <f>MONTH(Table13[[#This Row],[Date  (DMY)]])</f>
        <v>1</v>
      </c>
      <c r="G400" s="2"/>
      <c r="L400" s="5"/>
      <c r="M400" s="4">
        <f>M399-Table13[[#This Row],[Debits]]+Table13[[#This Row],[Income]]</f>
        <v>2805.21</v>
      </c>
      <c r="N400" t="str">
        <f>IF(AND(Table13[[#This Row],[Category]]="pay",NOT(Table13[[#This Row],[Debits]]=0)),"bad","good")</f>
        <v>good</v>
      </c>
      <c r="O400" s="5"/>
    </row>
    <row r="401" spans="6:15" x14ac:dyDescent="0.3">
      <c r="F401">
        <f>MONTH(Table13[[#This Row],[Date  (DMY)]])</f>
        <v>1</v>
      </c>
      <c r="G401" s="2"/>
      <c r="L401" s="5"/>
      <c r="M401" s="4">
        <f>M400-Table13[[#This Row],[Debits]]+Table13[[#This Row],[Income]]</f>
        <v>2805.21</v>
      </c>
      <c r="N401" t="str">
        <f>IF(AND(Table13[[#This Row],[Category]]="pay",NOT(Table13[[#This Row],[Debits]]=0)),"bad","good")</f>
        <v>good</v>
      </c>
      <c r="O401" s="5"/>
    </row>
    <row r="402" spans="6:15" x14ac:dyDescent="0.3">
      <c r="F402">
        <f>MONTH(Table13[[#This Row],[Date  (DMY)]])</f>
        <v>1</v>
      </c>
      <c r="G402" s="2"/>
      <c r="L402" s="5"/>
      <c r="M402" s="4">
        <f>M401-Table13[[#This Row],[Debits]]+Table13[[#This Row],[Income]]</f>
        <v>2805.21</v>
      </c>
      <c r="N402" t="str">
        <f>IF(AND(Table13[[#This Row],[Category]]="pay",NOT(Table13[[#This Row],[Debits]]=0)),"bad","good")</f>
        <v>good</v>
      </c>
      <c r="O402" s="5"/>
    </row>
    <row r="403" spans="6:15" x14ac:dyDescent="0.3">
      <c r="F403">
        <f>MONTH(Table13[[#This Row],[Date  (DMY)]])</f>
        <v>1</v>
      </c>
      <c r="G403" s="2"/>
      <c r="L403" s="5"/>
      <c r="M403" s="4">
        <f>M402-Table13[[#This Row],[Debits]]+Table13[[#This Row],[Income]]</f>
        <v>2805.21</v>
      </c>
      <c r="N403" t="str">
        <f>IF(AND(Table13[[#This Row],[Category]]="pay",NOT(Table13[[#This Row],[Debits]]=0)),"bad","good")</f>
        <v>good</v>
      </c>
      <c r="O403" s="5"/>
    </row>
    <row r="404" spans="6:15" x14ac:dyDescent="0.3">
      <c r="F404">
        <f>MONTH(Table13[[#This Row],[Date  (DMY)]])</f>
        <v>1</v>
      </c>
      <c r="G404" s="2"/>
      <c r="L404" s="5"/>
      <c r="M404" s="4">
        <f>M403-Table13[[#This Row],[Debits]]+Table13[[#This Row],[Income]]</f>
        <v>2805.21</v>
      </c>
      <c r="N404" t="str">
        <f>IF(AND(Table13[[#This Row],[Category]]="pay",NOT(Table13[[#This Row],[Debits]]=0)),"bad","good")</f>
        <v>good</v>
      </c>
      <c r="O404" s="5"/>
    </row>
    <row r="405" spans="6:15" x14ac:dyDescent="0.3">
      <c r="F405">
        <f>MONTH(Table13[[#This Row],[Date  (DMY)]])</f>
        <v>1</v>
      </c>
      <c r="G405" s="2"/>
      <c r="L405" s="5"/>
      <c r="M405" s="4">
        <f>M404-Table13[[#This Row],[Debits]]+Table13[[#This Row],[Income]]</f>
        <v>2805.21</v>
      </c>
      <c r="N405" t="str">
        <f>IF(AND(Table13[[#This Row],[Category]]="pay",NOT(Table13[[#This Row],[Debits]]=0)),"bad","good")</f>
        <v>good</v>
      </c>
      <c r="O405" s="5"/>
    </row>
    <row r="406" spans="6:15" x14ac:dyDescent="0.3">
      <c r="F406">
        <f>MONTH(Table13[[#This Row],[Date  (DMY)]])</f>
        <v>1</v>
      </c>
      <c r="G406" s="2"/>
      <c r="L406" s="5"/>
      <c r="M406" s="4">
        <f>M405-Table13[[#This Row],[Debits]]+Table13[[#This Row],[Income]]</f>
        <v>2805.21</v>
      </c>
      <c r="N406" t="str">
        <f>IF(AND(Table13[[#This Row],[Category]]="pay",NOT(Table13[[#This Row],[Debits]]=0)),"bad","good")</f>
        <v>good</v>
      </c>
      <c r="O406" s="5"/>
    </row>
    <row r="407" spans="6:15" x14ac:dyDescent="0.3">
      <c r="F407">
        <f>MONTH(Table13[[#This Row],[Date  (DMY)]])</f>
        <v>1</v>
      </c>
      <c r="G407" s="2"/>
      <c r="L407" s="5"/>
      <c r="M407" s="4">
        <f>M406-Table13[[#This Row],[Debits]]+Table13[[#This Row],[Income]]</f>
        <v>2805.21</v>
      </c>
      <c r="N407" t="str">
        <f>IF(AND(Table13[[#This Row],[Category]]="pay",NOT(Table13[[#This Row],[Debits]]=0)),"bad","good")</f>
        <v>good</v>
      </c>
      <c r="O407" s="5"/>
    </row>
    <row r="408" spans="6:15" x14ac:dyDescent="0.3">
      <c r="F408">
        <f>MONTH(Table13[[#This Row],[Date  (DMY)]])</f>
        <v>1</v>
      </c>
      <c r="G408" s="2"/>
      <c r="L408" s="5"/>
      <c r="M408" s="4">
        <f>M407-Table13[[#This Row],[Debits]]+Table13[[#This Row],[Income]]</f>
        <v>2805.21</v>
      </c>
      <c r="N408" t="str">
        <f>IF(AND(Table13[[#This Row],[Category]]="pay",NOT(Table13[[#This Row],[Debits]]=0)),"bad","good")</f>
        <v>good</v>
      </c>
      <c r="O408" s="5"/>
    </row>
    <row r="409" spans="6:15" x14ac:dyDescent="0.3">
      <c r="F409">
        <f>MONTH(Table13[[#This Row],[Date  (DMY)]])</f>
        <v>1</v>
      </c>
      <c r="G409" s="2"/>
      <c r="L409" s="5"/>
      <c r="M409" s="4">
        <f>M408-Table13[[#This Row],[Debits]]+Table13[[#This Row],[Income]]</f>
        <v>2805.21</v>
      </c>
      <c r="N409" t="str">
        <f>IF(AND(Table13[[#This Row],[Category]]="pay",NOT(Table13[[#This Row],[Debits]]=0)),"bad","good")</f>
        <v>good</v>
      </c>
      <c r="O409" s="5"/>
    </row>
    <row r="410" spans="6:15" x14ac:dyDescent="0.3">
      <c r="F410">
        <f>MONTH(Table13[[#This Row],[Date  (DMY)]])</f>
        <v>1</v>
      </c>
      <c r="G410" s="2"/>
      <c r="L410" s="5"/>
      <c r="M410" s="4">
        <f>M409-Table13[[#This Row],[Debits]]+Table13[[#This Row],[Income]]</f>
        <v>2805.21</v>
      </c>
      <c r="N410" t="str">
        <f>IF(AND(Table13[[#This Row],[Category]]="pay",NOT(Table13[[#This Row],[Debits]]=0)),"bad","good")</f>
        <v>good</v>
      </c>
      <c r="O410" s="5"/>
    </row>
    <row r="411" spans="6:15" x14ac:dyDescent="0.3">
      <c r="F411">
        <f>MONTH(Table13[[#This Row],[Date  (DMY)]])</f>
        <v>1</v>
      </c>
      <c r="G411" s="2"/>
      <c r="L411" s="5"/>
      <c r="M411" s="4">
        <f>M410-Table13[[#This Row],[Debits]]+Table13[[#This Row],[Income]]</f>
        <v>2805.21</v>
      </c>
      <c r="N411" t="str">
        <f>IF(AND(Table13[[#This Row],[Category]]="pay",NOT(Table13[[#This Row],[Debits]]=0)),"bad","good")</f>
        <v>good</v>
      </c>
      <c r="O411" s="5"/>
    </row>
    <row r="412" spans="6:15" x14ac:dyDescent="0.3">
      <c r="F412">
        <f>MONTH(Table13[[#This Row],[Date  (DMY)]])</f>
        <v>1</v>
      </c>
      <c r="G412" s="2"/>
      <c r="L412" s="5"/>
      <c r="M412" s="4">
        <f>M411-Table13[[#This Row],[Debits]]+Table13[[#This Row],[Income]]</f>
        <v>2805.21</v>
      </c>
      <c r="N412" t="str">
        <f>IF(AND(Table13[[#This Row],[Category]]="pay",NOT(Table13[[#This Row],[Debits]]=0)),"bad","good")</f>
        <v>good</v>
      </c>
      <c r="O412" s="5"/>
    </row>
    <row r="413" spans="6:15" x14ac:dyDescent="0.3">
      <c r="F413">
        <f>MONTH(Table13[[#This Row],[Date  (DMY)]])</f>
        <v>1</v>
      </c>
      <c r="G413" s="2"/>
      <c r="L413" s="5"/>
      <c r="M413" s="4">
        <f>M412-Table13[[#This Row],[Debits]]+Table13[[#This Row],[Income]]</f>
        <v>2805.21</v>
      </c>
      <c r="N413" t="str">
        <f>IF(AND(Table13[[#This Row],[Category]]="pay",NOT(Table13[[#This Row],[Debits]]=0)),"bad","good")</f>
        <v>good</v>
      </c>
      <c r="O413" s="5"/>
    </row>
    <row r="414" spans="6:15" x14ac:dyDescent="0.3">
      <c r="F414">
        <f>MONTH(Table13[[#This Row],[Date  (DMY)]])</f>
        <v>1</v>
      </c>
      <c r="G414" s="2"/>
      <c r="L414" s="5"/>
      <c r="M414" s="4">
        <f>M413-Table13[[#This Row],[Debits]]+Table13[[#This Row],[Income]]</f>
        <v>2805.21</v>
      </c>
      <c r="N414" t="str">
        <f>IF(AND(Table13[[#This Row],[Category]]="pay",NOT(Table13[[#This Row],[Debits]]=0)),"bad","good")</f>
        <v>good</v>
      </c>
      <c r="O414" s="5"/>
    </row>
    <row r="415" spans="6:15" x14ac:dyDescent="0.3">
      <c r="F415">
        <f>MONTH(Table13[[#This Row],[Date  (DMY)]])</f>
        <v>1</v>
      </c>
      <c r="G415" s="2"/>
      <c r="L415" s="5"/>
      <c r="M415" s="4">
        <f>M414-Table13[[#This Row],[Debits]]+Table13[[#This Row],[Income]]</f>
        <v>2805.21</v>
      </c>
      <c r="N415" t="str">
        <f>IF(AND(Table13[[#This Row],[Category]]="pay",NOT(Table13[[#This Row],[Debits]]=0)),"bad","good")</f>
        <v>good</v>
      </c>
      <c r="O415" s="5"/>
    </row>
    <row r="416" spans="6:15" x14ac:dyDescent="0.3">
      <c r="F416">
        <f>MONTH(Table13[[#This Row],[Date  (DMY)]])</f>
        <v>1</v>
      </c>
      <c r="G416" s="2"/>
      <c r="L416" s="5"/>
      <c r="M416" s="4">
        <f>M415-Table13[[#This Row],[Debits]]+Table13[[#This Row],[Income]]</f>
        <v>2805.21</v>
      </c>
      <c r="N416" t="str">
        <f>IF(AND(Table13[[#This Row],[Category]]="pay",NOT(Table13[[#This Row],[Debits]]=0)),"bad","good")</f>
        <v>good</v>
      </c>
      <c r="O416" s="5"/>
    </row>
    <row r="417" spans="6:15" x14ac:dyDescent="0.3">
      <c r="F417">
        <f>MONTH(Table13[[#This Row],[Date  (DMY)]])</f>
        <v>1</v>
      </c>
      <c r="G417" s="2"/>
      <c r="L417" s="5"/>
      <c r="M417" s="4">
        <f>M416-Table13[[#This Row],[Debits]]+Table13[[#This Row],[Income]]</f>
        <v>2805.21</v>
      </c>
      <c r="N417" t="str">
        <f>IF(AND(Table13[[#This Row],[Category]]="pay",NOT(Table13[[#This Row],[Debits]]=0)),"bad","good")</f>
        <v>good</v>
      </c>
      <c r="O417" s="5"/>
    </row>
    <row r="418" spans="6:15" x14ac:dyDescent="0.3">
      <c r="F418">
        <f>MONTH(Table13[[#This Row],[Date  (DMY)]])</f>
        <v>1</v>
      </c>
      <c r="G418" s="2"/>
      <c r="L418" s="5"/>
      <c r="M418" s="4">
        <f>M417-Table13[[#This Row],[Debits]]+Table13[[#This Row],[Income]]</f>
        <v>2805.21</v>
      </c>
      <c r="N418" t="str">
        <f>IF(AND(Table13[[#This Row],[Category]]="pay",NOT(Table13[[#This Row],[Debits]]=0)),"bad","good")</f>
        <v>good</v>
      </c>
      <c r="O418" s="5"/>
    </row>
    <row r="419" spans="6:15" x14ac:dyDescent="0.3">
      <c r="F419">
        <f>MONTH(Table13[[#This Row],[Date  (DMY)]])</f>
        <v>1</v>
      </c>
      <c r="G419" s="2"/>
      <c r="L419" s="5"/>
      <c r="M419" s="4">
        <f>M418-Table13[[#This Row],[Debits]]+Table13[[#This Row],[Income]]</f>
        <v>2805.21</v>
      </c>
      <c r="N419" t="str">
        <f>IF(AND(Table13[[#This Row],[Category]]="pay",NOT(Table13[[#This Row],[Debits]]=0)),"bad","good")</f>
        <v>good</v>
      </c>
      <c r="O419" s="5"/>
    </row>
    <row r="420" spans="6:15" x14ac:dyDescent="0.3">
      <c r="F420">
        <f>MONTH(Table13[[#This Row],[Date  (DMY)]])</f>
        <v>1</v>
      </c>
      <c r="G420" s="2"/>
      <c r="L420" s="5"/>
      <c r="M420" s="4">
        <f>M419-Table13[[#This Row],[Debits]]+Table13[[#This Row],[Income]]</f>
        <v>2805.21</v>
      </c>
      <c r="N420" t="str">
        <f>IF(AND(Table13[[#This Row],[Category]]="pay",NOT(Table13[[#This Row],[Debits]]=0)),"bad","good")</f>
        <v>good</v>
      </c>
      <c r="O420" s="5"/>
    </row>
    <row r="421" spans="6:15" x14ac:dyDescent="0.3">
      <c r="F421">
        <f>MONTH(Table13[[#This Row],[Date  (DMY)]])</f>
        <v>1</v>
      </c>
      <c r="G421" s="2"/>
      <c r="L421" s="5"/>
      <c r="M421" s="4">
        <f>M420-Table13[[#This Row],[Debits]]+Table13[[#This Row],[Income]]</f>
        <v>2805.21</v>
      </c>
      <c r="N421" t="str">
        <f>IF(AND(Table13[[#This Row],[Category]]="pay",NOT(Table13[[#This Row],[Debits]]=0)),"bad","good")</f>
        <v>good</v>
      </c>
      <c r="O421" s="5"/>
    </row>
    <row r="422" spans="6:15" x14ac:dyDescent="0.3">
      <c r="F422">
        <f>MONTH(Table13[[#This Row],[Date  (DMY)]])</f>
        <v>1</v>
      </c>
      <c r="G422" s="2"/>
      <c r="L422" s="5"/>
      <c r="M422" s="4">
        <f>M421-Table13[[#This Row],[Debits]]+Table13[[#This Row],[Income]]</f>
        <v>2805.21</v>
      </c>
      <c r="N422" t="str">
        <f>IF(AND(Table13[[#This Row],[Category]]="pay",NOT(Table13[[#This Row],[Debits]]=0)),"bad","good")</f>
        <v>good</v>
      </c>
      <c r="O422" s="5"/>
    </row>
    <row r="423" spans="6:15" x14ac:dyDescent="0.3">
      <c r="F423">
        <f>MONTH(Table13[[#This Row],[Date  (DMY)]])</f>
        <v>1</v>
      </c>
      <c r="G423" s="2"/>
      <c r="L423" s="5"/>
      <c r="M423" s="4">
        <f>M422-Table13[[#This Row],[Debits]]+Table13[[#This Row],[Income]]</f>
        <v>2805.21</v>
      </c>
      <c r="N423" t="str">
        <f>IF(AND(Table13[[#This Row],[Category]]="pay",NOT(Table13[[#This Row],[Debits]]=0)),"bad","good")</f>
        <v>good</v>
      </c>
      <c r="O423" s="5"/>
    </row>
    <row r="424" spans="6:15" x14ac:dyDescent="0.3">
      <c r="F424">
        <f>MONTH(Table13[[#This Row],[Date  (DMY)]])</f>
        <v>1</v>
      </c>
      <c r="G424" s="2"/>
      <c r="L424" s="5"/>
      <c r="M424" s="4">
        <f>M423-Table13[[#This Row],[Debits]]+Table13[[#This Row],[Income]]</f>
        <v>2805.21</v>
      </c>
      <c r="N424" t="str">
        <f>IF(AND(Table13[[#This Row],[Category]]="pay",NOT(Table13[[#This Row],[Debits]]=0)),"bad","good")</f>
        <v>good</v>
      </c>
      <c r="O424" s="5"/>
    </row>
    <row r="425" spans="6:15" x14ac:dyDescent="0.3">
      <c r="F425">
        <f>MONTH(Table13[[#This Row],[Date  (DMY)]])</f>
        <v>1</v>
      </c>
      <c r="G425" s="2"/>
      <c r="L425" s="5"/>
      <c r="M425" s="4">
        <f>M424-Table13[[#This Row],[Debits]]+Table13[[#This Row],[Income]]</f>
        <v>2805.21</v>
      </c>
      <c r="N425" t="str">
        <f>IF(AND(Table13[[#This Row],[Category]]="pay",NOT(Table13[[#This Row],[Debits]]=0)),"bad","good")</f>
        <v>good</v>
      </c>
      <c r="O425" s="5"/>
    </row>
    <row r="426" spans="6:15" x14ac:dyDescent="0.3">
      <c r="F426">
        <f>MONTH(Table13[[#This Row],[Date  (DMY)]])</f>
        <v>1</v>
      </c>
      <c r="G426" s="2"/>
      <c r="L426" s="5"/>
      <c r="M426" s="4">
        <f>M425-Table13[[#This Row],[Debits]]+Table13[[#This Row],[Income]]</f>
        <v>2805.21</v>
      </c>
      <c r="N426" t="str">
        <f>IF(AND(Table13[[#This Row],[Category]]="pay",NOT(Table13[[#This Row],[Debits]]=0)),"bad","good")</f>
        <v>good</v>
      </c>
      <c r="O426" s="5"/>
    </row>
    <row r="427" spans="6:15" x14ac:dyDescent="0.3">
      <c r="F427">
        <f>MONTH(Table13[[#This Row],[Date  (DMY)]])</f>
        <v>1</v>
      </c>
      <c r="G427" s="2"/>
      <c r="L427" s="5"/>
      <c r="M427" s="4">
        <f>M426-Table13[[#This Row],[Debits]]+Table13[[#This Row],[Income]]</f>
        <v>2805.21</v>
      </c>
      <c r="N427" t="str">
        <f>IF(AND(Table13[[#This Row],[Category]]="pay",NOT(Table13[[#This Row],[Debits]]=0)),"bad","good")</f>
        <v>good</v>
      </c>
      <c r="O427" s="5"/>
    </row>
    <row r="428" spans="6:15" x14ac:dyDescent="0.3">
      <c r="F428">
        <f>MONTH(Table13[[#This Row],[Date  (DMY)]])</f>
        <v>1</v>
      </c>
      <c r="G428" s="2"/>
      <c r="L428" s="5"/>
      <c r="M428" s="4">
        <f>M427-Table13[[#This Row],[Debits]]+Table13[[#This Row],[Income]]</f>
        <v>2805.21</v>
      </c>
      <c r="N428" t="str">
        <f>IF(AND(Table13[[#This Row],[Category]]="pay",NOT(Table13[[#This Row],[Debits]]=0)),"bad","good")</f>
        <v>good</v>
      </c>
      <c r="O428" s="5"/>
    </row>
    <row r="429" spans="6:15" x14ac:dyDescent="0.3">
      <c r="F429">
        <f>MONTH(Table13[[#This Row],[Date  (DMY)]])</f>
        <v>1</v>
      </c>
      <c r="G429" s="2"/>
      <c r="L429" s="5"/>
      <c r="M429" s="4">
        <f>M428-Table13[[#This Row],[Debits]]+Table13[[#This Row],[Income]]</f>
        <v>2805.21</v>
      </c>
      <c r="N429" t="str">
        <f>IF(AND(Table13[[#This Row],[Category]]="pay",NOT(Table13[[#This Row],[Debits]]=0)),"bad","good")</f>
        <v>good</v>
      </c>
      <c r="O429" s="5"/>
    </row>
    <row r="430" spans="6:15" x14ac:dyDescent="0.3">
      <c r="F430">
        <f>MONTH(Table13[[#This Row],[Date  (DMY)]])</f>
        <v>1</v>
      </c>
      <c r="G430" s="2"/>
      <c r="L430" s="5"/>
      <c r="M430" s="4">
        <f>M429-Table13[[#This Row],[Debits]]+Table13[[#This Row],[Income]]</f>
        <v>2805.21</v>
      </c>
      <c r="N430" t="str">
        <f>IF(AND(Table13[[#This Row],[Category]]="pay",NOT(Table13[[#This Row],[Debits]]=0)),"bad","good")</f>
        <v>good</v>
      </c>
      <c r="O430" s="5"/>
    </row>
    <row r="431" spans="6:15" x14ac:dyDescent="0.3">
      <c r="F431">
        <f>MONTH(Table13[[#This Row],[Date  (DMY)]])</f>
        <v>1</v>
      </c>
      <c r="G431" s="2"/>
      <c r="L431" s="5"/>
      <c r="M431" s="4">
        <f>M430-Table13[[#This Row],[Debits]]+Table13[[#This Row],[Income]]</f>
        <v>2805.21</v>
      </c>
      <c r="N431" t="str">
        <f>IF(AND(Table13[[#This Row],[Category]]="pay",NOT(Table13[[#This Row],[Debits]]=0)),"bad","good")</f>
        <v>good</v>
      </c>
      <c r="O431" s="5"/>
    </row>
    <row r="432" spans="6:15" x14ac:dyDescent="0.3">
      <c r="F432">
        <f>MONTH(Table13[[#This Row],[Date  (DMY)]])</f>
        <v>1</v>
      </c>
      <c r="G432" s="2"/>
      <c r="L432" s="5"/>
      <c r="M432" s="4">
        <f>M431-Table13[[#This Row],[Debits]]+Table13[[#This Row],[Income]]</f>
        <v>2805.21</v>
      </c>
      <c r="N432" t="str">
        <f>IF(AND(Table13[[#This Row],[Category]]="pay",NOT(Table13[[#This Row],[Debits]]=0)),"bad","good")</f>
        <v>good</v>
      </c>
      <c r="O432" s="5"/>
    </row>
    <row r="433" spans="6:15" x14ac:dyDescent="0.3">
      <c r="F433">
        <f>MONTH(Table13[[#This Row],[Date  (DMY)]])</f>
        <v>1</v>
      </c>
      <c r="G433" s="2"/>
      <c r="L433" s="5"/>
      <c r="M433" s="4">
        <f>M432-Table13[[#This Row],[Debits]]+Table13[[#This Row],[Income]]</f>
        <v>2805.21</v>
      </c>
      <c r="N433" t="str">
        <f>IF(AND(Table13[[#This Row],[Category]]="pay",NOT(Table13[[#This Row],[Debits]]=0)),"bad","good")</f>
        <v>good</v>
      </c>
      <c r="O433" s="5"/>
    </row>
    <row r="434" spans="6:15" x14ac:dyDescent="0.3">
      <c r="F434">
        <f>MONTH(Table13[[#This Row],[Date  (DMY)]])</f>
        <v>1</v>
      </c>
      <c r="G434" s="2"/>
      <c r="L434" s="5"/>
      <c r="M434" s="4">
        <f>M433-Table13[[#This Row],[Debits]]+Table13[[#This Row],[Income]]</f>
        <v>2805.21</v>
      </c>
      <c r="N434" t="str">
        <f>IF(AND(Table13[[#This Row],[Category]]="pay",NOT(Table13[[#This Row],[Debits]]=0)),"bad","good")</f>
        <v>good</v>
      </c>
      <c r="O434" s="5"/>
    </row>
    <row r="435" spans="6:15" x14ac:dyDescent="0.3">
      <c r="F435">
        <f>MONTH(Table13[[#This Row],[Date  (DMY)]])</f>
        <v>1</v>
      </c>
      <c r="G435" s="2"/>
      <c r="L435" s="5"/>
      <c r="M435" s="4">
        <f>M434-Table13[[#This Row],[Debits]]+Table13[[#This Row],[Income]]</f>
        <v>2805.21</v>
      </c>
      <c r="N435" t="str">
        <f>IF(AND(Table13[[#This Row],[Category]]="pay",NOT(Table13[[#This Row],[Debits]]=0)),"bad","good")</f>
        <v>good</v>
      </c>
      <c r="O435" s="5"/>
    </row>
    <row r="436" spans="6:15" x14ac:dyDescent="0.3">
      <c r="F436">
        <f>MONTH(Table13[[#This Row],[Date  (DMY)]])</f>
        <v>1</v>
      </c>
      <c r="G436" s="2"/>
      <c r="L436" s="5"/>
      <c r="M436" s="4">
        <f>M435-Table13[[#This Row],[Debits]]+Table13[[#This Row],[Income]]</f>
        <v>2805.21</v>
      </c>
      <c r="N436" t="str">
        <f>IF(AND(Table13[[#This Row],[Category]]="pay",NOT(Table13[[#This Row],[Debits]]=0)),"bad","good")</f>
        <v>good</v>
      </c>
      <c r="O436" s="5"/>
    </row>
    <row r="437" spans="6:15" x14ac:dyDescent="0.3">
      <c r="F437">
        <f>MONTH(Table13[[#This Row],[Date  (DMY)]])</f>
        <v>1</v>
      </c>
      <c r="G437" s="2"/>
      <c r="L437" s="5"/>
      <c r="M437" s="4">
        <f>M436-Table13[[#This Row],[Debits]]+Table13[[#This Row],[Income]]</f>
        <v>2805.21</v>
      </c>
      <c r="N437" t="str">
        <f>IF(AND(Table13[[#This Row],[Category]]="pay",NOT(Table13[[#This Row],[Debits]]=0)),"bad","good")</f>
        <v>good</v>
      </c>
      <c r="O437" s="5"/>
    </row>
    <row r="438" spans="6:15" x14ac:dyDescent="0.3">
      <c r="F438">
        <f>MONTH(Table13[[#This Row],[Date  (DMY)]])</f>
        <v>1</v>
      </c>
      <c r="G438" s="2"/>
      <c r="L438" s="5"/>
      <c r="M438" s="4">
        <f>M437-Table13[[#This Row],[Debits]]+Table13[[#This Row],[Income]]</f>
        <v>2805.21</v>
      </c>
      <c r="N438" t="str">
        <f>IF(AND(Table13[[#This Row],[Category]]="pay",NOT(Table13[[#This Row],[Debits]]=0)),"bad","good")</f>
        <v>good</v>
      </c>
      <c r="O438" s="5"/>
    </row>
    <row r="439" spans="6:15" x14ac:dyDescent="0.3">
      <c r="F439">
        <f>MONTH(Table13[[#This Row],[Date  (DMY)]])</f>
        <v>1</v>
      </c>
      <c r="G439" s="2"/>
      <c r="L439" s="5"/>
      <c r="M439" s="4">
        <f>M438-Table13[[#This Row],[Debits]]+Table13[[#This Row],[Income]]</f>
        <v>2805.21</v>
      </c>
      <c r="N439" t="str">
        <f>IF(AND(Table13[[#This Row],[Category]]="pay",NOT(Table13[[#This Row],[Debits]]=0)),"bad","good")</f>
        <v>good</v>
      </c>
      <c r="O439" s="5"/>
    </row>
    <row r="440" spans="6:15" x14ac:dyDescent="0.3">
      <c r="F440">
        <f>MONTH(Table13[[#This Row],[Date  (DMY)]])</f>
        <v>1</v>
      </c>
      <c r="G440" s="2"/>
      <c r="L440" s="5"/>
      <c r="M440" s="4">
        <f>M439-Table13[[#This Row],[Debits]]+Table13[[#This Row],[Income]]</f>
        <v>2805.21</v>
      </c>
      <c r="N440" t="str">
        <f>IF(AND(Table13[[#This Row],[Category]]="pay",NOT(Table13[[#This Row],[Debits]]=0)),"bad","good")</f>
        <v>good</v>
      </c>
      <c r="O440" s="5"/>
    </row>
    <row r="441" spans="6:15" x14ac:dyDescent="0.3">
      <c r="F441">
        <f>MONTH(Table13[[#This Row],[Date  (DMY)]])</f>
        <v>1</v>
      </c>
      <c r="G441" s="2"/>
      <c r="L441" s="5"/>
      <c r="M441" s="4">
        <f>M440-Table13[[#This Row],[Debits]]+Table13[[#This Row],[Income]]</f>
        <v>2805.21</v>
      </c>
      <c r="N441" t="str">
        <f>IF(AND(Table13[[#This Row],[Category]]="pay",NOT(Table13[[#This Row],[Debits]]=0)),"bad","good")</f>
        <v>good</v>
      </c>
      <c r="O441" s="5"/>
    </row>
    <row r="442" spans="6:15" x14ac:dyDescent="0.3">
      <c r="F442">
        <f>MONTH(Table13[[#This Row],[Date  (DMY)]])</f>
        <v>1</v>
      </c>
      <c r="G442" s="2"/>
      <c r="L442" s="5"/>
      <c r="M442" s="4">
        <f>M441-Table13[[#This Row],[Debits]]+Table13[[#This Row],[Income]]</f>
        <v>2805.21</v>
      </c>
      <c r="N442" t="str">
        <f>IF(AND(Table13[[#This Row],[Category]]="pay",NOT(Table13[[#This Row],[Debits]]=0)),"bad","good")</f>
        <v>good</v>
      </c>
      <c r="O442" s="5"/>
    </row>
    <row r="443" spans="6:15" x14ac:dyDescent="0.3">
      <c r="F443">
        <f>MONTH(Table13[[#This Row],[Date  (DMY)]])</f>
        <v>1</v>
      </c>
      <c r="G443" s="2"/>
      <c r="L443" s="5"/>
      <c r="M443" s="4">
        <f>M442-Table13[[#This Row],[Debits]]+Table13[[#This Row],[Income]]</f>
        <v>2805.21</v>
      </c>
      <c r="N443" t="str">
        <f>IF(AND(Table13[[#This Row],[Category]]="pay",NOT(Table13[[#This Row],[Debits]]=0)),"bad","good")</f>
        <v>good</v>
      </c>
      <c r="O443" s="5"/>
    </row>
    <row r="444" spans="6:15" x14ac:dyDescent="0.3">
      <c r="F444">
        <f>MONTH(Table13[[#This Row],[Date  (DMY)]])</f>
        <v>1</v>
      </c>
      <c r="G444" s="2"/>
      <c r="L444" s="5"/>
      <c r="M444" s="4">
        <f>M443-Table13[[#This Row],[Debits]]+Table13[[#This Row],[Income]]</f>
        <v>2805.21</v>
      </c>
      <c r="N444" t="str">
        <f>IF(AND(Table13[[#This Row],[Category]]="pay",NOT(Table13[[#This Row],[Debits]]=0)),"bad","good")</f>
        <v>good</v>
      </c>
      <c r="O444" s="5"/>
    </row>
    <row r="445" spans="6:15" x14ac:dyDescent="0.3">
      <c r="F445">
        <f>MONTH(Table13[[#This Row],[Date  (DMY)]])</f>
        <v>1</v>
      </c>
      <c r="G445" s="2"/>
      <c r="L445" s="5"/>
      <c r="M445" s="4">
        <f>M444-Table13[[#This Row],[Debits]]+Table13[[#This Row],[Income]]</f>
        <v>2805.21</v>
      </c>
      <c r="N445" t="str">
        <f>IF(AND(Table13[[#This Row],[Category]]="pay",NOT(Table13[[#This Row],[Debits]]=0)),"bad","good")</f>
        <v>good</v>
      </c>
      <c r="O445" s="5"/>
    </row>
    <row r="446" spans="6:15" x14ac:dyDescent="0.3">
      <c r="F446">
        <f>MONTH(Table13[[#This Row],[Date  (DMY)]])</f>
        <v>1</v>
      </c>
      <c r="G446" s="2"/>
      <c r="L446" s="5"/>
      <c r="M446" s="4">
        <f>M445-Table13[[#This Row],[Debits]]+Table13[[#This Row],[Income]]</f>
        <v>2805.21</v>
      </c>
      <c r="N446" t="str">
        <f>IF(AND(Table13[[#This Row],[Category]]="pay",NOT(Table13[[#This Row],[Debits]]=0)),"bad","good")</f>
        <v>good</v>
      </c>
      <c r="O446" s="5"/>
    </row>
    <row r="447" spans="6:15" x14ac:dyDescent="0.3">
      <c r="F447">
        <f>MONTH(Table13[[#This Row],[Date  (DMY)]])</f>
        <v>1</v>
      </c>
      <c r="G447" s="2"/>
      <c r="L447" s="5"/>
      <c r="M447" s="4">
        <f>M446-Table13[[#This Row],[Debits]]+Table13[[#This Row],[Income]]</f>
        <v>2805.21</v>
      </c>
      <c r="N447" t="str">
        <f>IF(AND(Table13[[#This Row],[Category]]="pay",NOT(Table13[[#This Row],[Debits]]=0)),"bad","good")</f>
        <v>good</v>
      </c>
      <c r="O447" s="5"/>
    </row>
    <row r="448" spans="6:15" x14ac:dyDescent="0.3">
      <c r="F448">
        <f>MONTH(Table13[[#This Row],[Date  (DMY)]])</f>
        <v>1</v>
      </c>
      <c r="G448" s="2"/>
      <c r="L448" s="5"/>
      <c r="M448" s="4">
        <f>M447-Table13[[#This Row],[Debits]]+Table13[[#This Row],[Income]]</f>
        <v>2805.21</v>
      </c>
      <c r="N448" t="str">
        <f>IF(AND(Table13[[#This Row],[Category]]="pay",NOT(Table13[[#This Row],[Debits]]=0)),"bad","good")</f>
        <v>good</v>
      </c>
      <c r="O448" s="5"/>
    </row>
    <row r="449" spans="6:15" x14ac:dyDescent="0.3">
      <c r="F449">
        <f>MONTH(Table13[[#This Row],[Date  (DMY)]])</f>
        <v>1</v>
      </c>
      <c r="G449" s="2"/>
      <c r="L449" s="5"/>
      <c r="M449" s="4">
        <f>M448-Table13[[#This Row],[Debits]]+Table13[[#This Row],[Income]]</f>
        <v>2805.21</v>
      </c>
      <c r="N449" t="str">
        <f>IF(AND(Table13[[#This Row],[Category]]="pay",NOT(Table13[[#This Row],[Debits]]=0)),"bad","good")</f>
        <v>good</v>
      </c>
      <c r="O449" s="5"/>
    </row>
    <row r="450" spans="6:15" x14ac:dyDescent="0.3">
      <c r="F450">
        <f>MONTH(Table13[[#This Row],[Date  (DMY)]])</f>
        <v>1</v>
      </c>
      <c r="G450" s="2"/>
      <c r="L450" s="5"/>
      <c r="M450" s="4">
        <f>M449-Table13[[#This Row],[Debits]]+Table13[[#This Row],[Income]]</f>
        <v>2805.21</v>
      </c>
      <c r="N450" t="str">
        <f>IF(AND(Table13[[#This Row],[Category]]="pay",NOT(Table13[[#This Row],[Debits]]=0)),"bad","good")</f>
        <v>good</v>
      </c>
      <c r="O450" s="5"/>
    </row>
    <row r="451" spans="6:15" x14ac:dyDescent="0.3">
      <c r="F451">
        <f>MONTH(Table13[[#This Row],[Date  (DMY)]])</f>
        <v>1</v>
      </c>
      <c r="G451" s="2"/>
      <c r="L451" s="5"/>
      <c r="M451" s="4">
        <f>M450-Table13[[#This Row],[Debits]]+Table13[[#This Row],[Income]]</f>
        <v>2805.21</v>
      </c>
      <c r="N451" t="str">
        <f>IF(AND(Table13[[#This Row],[Category]]="pay",NOT(Table13[[#This Row],[Debits]]=0)),"bad","good")</f>
        <v>good</v>
      </c>
      <c r="O451" s="5"/>
    </row>
    <row r="452" spans="6:15" x14ac:dyDescent="0.3">
      <c r="F452">
        <f>MONTH(Table13[[#This Row],[Date  (DMY)]])</f>
        <v>1</v>
      </c>
      <c r="G452" s="2"/>
      <c r="L452" s="5"/>
      <c r="M452" s="4">
        <f>M451-Table13[[#This Row],[Debits]]+Table13[[#This Row],[Income]]</f>
        <v>2805.21</v>
      </c>
      <c r="N452" t="str">
        <f>IF(AND(Table13[[#This Row],[Category]]="pay",NOT(Table13[[#This Row],[Debits]]=0)),"bad","good")</f>
        <v>good</v>
      </c>
      <c r="O452" s="5"/>
    </row>
    <row r="453" spans="6:15" x14ac:dyDescent="0.3">
      <c r="F453">
        <f>MONTH(Table13[[#This Row],[Date  (DMY)]])</f>
        <v>1</v>
      </c>
      <c r="G453" s="2"/>
      <c r="L453" s="5"/>
      <c r="M453" s="4">
        <f>M452-Table13[[#This Row],[Debits]]+Table13[[#This Row],[Income]]</f>
        <v>2805.21</v>
      </c>
      <c r="N453" t="str">
        <f>IF(AND(Table13[[#This Row],[Category]]="pay",NOT(Table13[[#This Row],[Debits]]=0)),"bad","good")</f>
        <v>good</v>
      </c>
      <c r="O453" s="5"/>
    </row>
    <row r="454" spans="6:15" x14ac:dyDescent="0.3">
      <c r="F454">
        <f>MONTH(Table13[[#This Row],[Date  (DMY)]])</f>
        <v>1</v>
      </c>
      <c r="G454" s="2"/>
      <c r="L454" s="5"/>
      <c r="M454" s="4">
        <f>M453-Table13[[#This Row],[Debits]]+Table13[[#This Row],[Income]]</f>
        <v>2805.21</v>
      </c>
      <c r="N454" t="str">
        <f>IF(AND(Table13[[#This Row],[Category]]="pay",NOT(Table13[[#This Row],[Debits]]=0)),"bad","good")</f>
        <v>good</v>
      </c>
      <c r="O454" s="5"/>
    </row>
    <row r="455" spans="6:15" x14ac:dyDescent="0.3">
      <c r="F455">
        <f>MONTH(Table13[[#This Row],[Date  (DMY)]])</f>
        <v>1</v>
      </c>
      <c r="G455" s="2"/>
      <c r="L455" s="5"/>
      <c r="M455" s="4">
        <f>M454-Table13[[#This Row],[Debits]]+Table13[[#This Row],[Income]]</f>
        <v>2805.21</v>
      </c>
      <c r="N455" t="str">
        <f>IF(AND(Table13[[#This Row],[Category]]="pay",NOT(Table13[[#This Row],[Debits]]=0)),"bad","good")</f>
        <v>good</v>
      </c>
      <c r="O455" s="5"/>
    </row>
    <row r="456" spans="6:15" x14ac:dyDescent="0.3">
      <c r="F456">
        <f>MONTH(Table13[[#This Row],[Date  (DMY)]])</f>
        <v>1</v>
      </c>
      <c r="G456" s="2"/>
      <c r="L456" s="5"/>
      <c r="M456" s="4">
        <f>M455-Table13[[#This Row],[Debits]]+Table13[[#This Row],[Income]]</f>
        <v>2805.21</v>
      </c>
      <c r="N456" t="str">
        <f>IF(AND(Table13[[#This Row],[Category]]="pay",NOT(Table13[[#This Row],[Debits]]=0)),"bad","good")</f>
        <v>good</v>
      </c>
      <c r="O456" s="5"/>
    </row>
    <row r="457" spans="6:15" x14ac:dyDescent="0.3">
      <c r="F457">
        <f>MONTH(Table13[[#This Row],[Date  (DMY)]])</f>
        <v>1</v>
      </c>
      <c r="G457" s="2"/>
      <c r="L457" s="5"/>
      <c r="M457" s="4">
        <f>M456-Table13[[#This Row],[Debits]]+Table13[[#This Row],[Income]]</f>
        <v>2805.21</v>
      </c>
      <c r="N457" t="str">
        <f>IF(AND(Table13[[#This Row],[Category]]="pay",NOT(Table13[[#This Row],[Debits]]=0)),"bad","good")</f>
        <v>good</v>
      </c>
      <c r="O457" s="5"/>
    </row>
    <row r="458" spans="6:15" x14ac:dyDescent="0.3">
      <c r="F458">
        <f>MONTH(Table13[[#This Row],[Date  (DMY)]])</f>
        <v>1</v>
      </c>
      <c r="G458" s="2"/>
      <c r="L458" s="5"/>
      <c r="M458" s="4">
        <f>M457-Table13[[#This Row],[Debits]]+Table13[[#This Row],[Income]]</f>
        <v>2805.21</v>
      </c>
      <c r="N458" t="str">
        <f>IF(AND(Table13[[#This Row],[Category]]="pay",NOT(Table13[[#This Row],[Debits]]=0)),"bad","good")</f>
        <v>good</v>
      </c>
      <c r="O458" s="5"/>
    </row>
    <row r="459" spans="6:15" x14ac:dyDescent="0.3">
      <c r="F459">
        <f>MONTH(Table13[[#This Row],[Date  (DMY)]])</f>
        <v>1</v>
      </c>
      <c r="G459" s="2"/>
      <c r="L459" s="5"/>
      <c r="M459" s="4">
        <f>M458-Table13[[#This Row],[Debits]]+Table13[[#This Row],[Income]]</f>
        <v>2805.21</v>
      </c>
      <c r="N459" t="str">
        <f>IF(AND(Table13[[#This Row],[Category]]="pay",NOT(Table13[[#This Row],[Debits]]=0)),"bad","good")</f>
        <v>good</v>
      </c>
      <c r="O459" s="5"/>
    </row>
    <row r="460" spans="6:15" x14ac:dyDescent="0.3">
      <c r="F460">
        <f>MONTH(Table13[[#This Row],[Date  (DMY)]])</f>
        <v>1</v>
      </c>
      <c r="G460" s="2"/>
      <c r="L460" s="5"/>
      <c r="M460" s="4">
        <f>M459-Table13[[#This Row],[Debits]]+Table13[[#This Row],[Income]]</f>
        <v>2805.21</v>
      </c>
      <c r="N460" t="str">
        <f>IF(AND(Table13[[#This Row],[Category]]="pay",NOT(Table13[[#This Row],[Debits]]=0)),"bad","good")</f>
        <v>good</v>
      </c>
      <c r="O460" s="5"/>
    </row>
    <row r="461" spans="6:15" x14ac:dyDescent="0.3">
      <c r="F461">
        <f>MONTH(Table13[[#This Row],[Date  (DMY)]])</f>
        <v>1</v>
      </c>
      <c r="G461" s="2"/>
      <c r="L461" s="5"/>
      <c r="M461" s="4">
        <f>M460-Table13[[#This Row],[Debits]]+Table13[[#This Row],[Income]]</f>
        <v>2805.21</v>
      </c>
      <c r="N461" t="str">
        <f>IF(AND(Table13[[#This Row],[Category]]="pay",NOT(Table13[[#This Row],[Debits]]=0)),"bad","good")</f>
        <v>good</v>
      </c>
      <c r="O461" s="5"/>
    </row>
    <row r="462" spans="6:15" x14ac:dyDescent="0.3">
      <c r="F462">
        <f>MONTH(Table13[[#This Row],[Date  (DMY)]])</f>
        <v>1</v>
      </c>
      <c r="G462" s="2"/>
      <c r="L462" s="5"/>
      <c r="M462" s="4">
        <f>M461-Table13[[#This Row],[Debits]]+Table13[[#This Row],[Income]]</f>
        <v>2805.21</v>
      </c>
      <c r="N462" t="str">
        <f>IF(AND(Table13[[#This Row],[Category]]="pay",NOT(Table13[[#This Row],[Debits]]=0)),"bad","good")</f>
        <v>good</v>
      </c>
      <c r="O462" s="5"/>
    </row>
    <row r="463" spans="6:15" x14ac:dyDescent="0.3">
      <c r="F463">
        <f>MONTH(Table13[[#This Row],[Date  (DMY)]])</f>
        <v>1</v>
      </c>
      <c r="G463" s="2"/>
      <c r="L463" s="5"/>
      <c r="M463" s="4">
        <f>M462-Table13[[#This Row],[Debits]]+Table13[[#This Row],[Income]]</f>
        <v>2805.21</v>
      </c>
      <c r="N463" t="str">
        <f>IF(AND(Table13[[#This Row],[Category]]="pay",NOT(Table13[[#This Row],[Debits]]=0)),"bad","good")</f>
        <v>good</v>
      </c>
      <c r="O463" s="5"/>
    </row>
    <row r="464" spans="6:15" x14ac:dyDescent="0.3">
      <c r="F464">
        <f>MONTH(Table13[[#This Row],[Date  (DMY)]])</f>
        <v>1</v>
      </c>
      <c r="G464" s="2"/>
      <c r="L464" s="5"/>
      <c r="M464" s="4">
        <f>M463-Table13[[#This Row],[Debits]]+Table13[[#This Row],[Income]]</f>
        <v>2805.21</v>
      </c>
      <c r="N464" t="str">
        <f>IF(AND(Table13[[#This Row],[Category]]="pay",NOT(Table13[[#This Row],[Debits]]=0)),"bad","good")</f>
        <v>good</v>
      </c>
      <c r="O464" s="5"/>
    </row>
    <row r="465" spans="6:15" x14ac:dyDescent="0.3">
      <c r="F465">
        <f>MONTH(Table13[[#This Row],[Date  (DMY)]])</f>
        <v>1</v>
      </c>
      <c r="G465" s="2"/>
      <c r="L465" s="5"/>
      <c r="M465" s="4">
        <f>M464-Table13[[#This Row],[Debits]]+Table13[[#This Row],[Income]]</f>
        <v>2805.21</v>
      </c>
      <c r="N465" t="str">
        <f>IF(AND(Table13[[#This Row],[Category]]="pay",NOT(Table13[[#This Row],[Debits]]=0)),"bad","good")</f>
        <v>good</v>
      </c>
      <c r="O465" s="5"/>
    </row>
    <row r="466" spans="6:15" x14ac:dyDescent="0.3">
      <c r="F466">
        <f>MONTH(Table13[[#This Row],[Date  (DMY)]])</f>
        <v>1</v>
      </c>
      <c r="G466" s="2"/>
      <c r="L466" s="5"/>
      <c r="M466" s="4">
        <f>M465-Table13[[#This Row],[Debits]]+Table13[[#This Row],[Income]]</f>
        <v>2805.21</v>
      </c>
      <c r="N466" t="str">
        <f>IF(AND(Table13[[#This Row],[Category]]="pay",NOT(Table13[[#This Row],[Debits]]=0)),"bad","good")</f>
        <v>good</v>
      </c>
      <c r="O466" s="5"/>
    </row>
    <row r="467" spans="6:15" x14ac:dyDescent="0.3">
      <c r="F467">
        <f>MONTH(Table13[[#This Row],[Date  (DMY)]])</f>
        <v>1</v>
      </c>
      <c r="G467" s="2"/>
      <c r="L467" s="5"/>
      <c r="M467" s="4">
        <f>M466-Table13[[#This Row],[Debits]]+Table13[[#This Row],[Income]]</f>
        <v>2805.21</v>
      </c>
      <c r="N467" t="str">
        <f>IF(AND(Table13[[#This Row],[Category]]="pay",NOT(Table13[[#This Row],[Debits]]=0)),"bad","good")</f>
        <v>good</v>
      </c>
      <c r="O467" s="5"/>
    </row>
    <row r="468" spans="6:15" x14ac:dyDescent="0.3">
      <c r="F468">
        <f>MONTH(Table13[[#This Row],[Date  (DMY)]])</f>
        <v>1</v>
      </c>
      <c r="G468" s="2"/>
      <c r="L468" s="5"/>
      <c r="M468" s="4">
        <f>M467-Table13[[#This Row],[Debits]]+Table13[[#This Row],[Income]]</f>
        <v>2805.21</v>
      </c>
      <c r="N468" t="str">
        <f>IF(AND(Table13[[#This Row],[Category]]="pay",NOT(Table13[[#This Row],[Debits]]=0)),"bad","good")</f>
        <v>good</v>
      </c>
      <c r="O468" s="5"/>
    </row>
    <row r="469" spans="6:15" x14ac:dyDescent="0.3">
      <c r="F469">
        <f>MONTH(Table13[[#This Row],[Date  (DMY)]])</f>
        <v>1</v>
      </c>
      <c r="G469" s="2"/>
      <c r="L469" s="5"/>
      <c r="M469" s="4">
        <f>M468-Table13[[#This Row],[Debits]]+Table13[[#This Row],[Income]]</f>
        <v>2805.21</v>
      </c>
      <c r="N469" t="str">
        <f>IF(AND(Table13[[#This Row],[Category]]="pay",NOT(Table13[[#This Row],[Debits]]=0)),"bad","good")</f>
        <v>good</v>
      </c>
      <c r="O469" s="5"/>
    </row>
    <row r="470" spans="6:15" x14ac:dyDescent="0.3">
      <c r="F470">
        <f>MONTH(Table13[[#This Row],[Date  (DMY)]])</f>
        <v>1</v>
      </c>
      <c r="G470" s="2"/>
      <c r="L470" s="5"/>
      <c r="M470" s="4">
        <f>M469-Table13[[#This Row],[Debits]]+Table13[[#This Row],[Income]]</f>
        <v>2805.21</v>
      </c>
      <c r="N470" t="str">
        <f>IF(AND(Table13[[#This Row],[Category]]="pay",NOT(Table13[[#This Row],[Debits]]=0)),"bad","good")</f>
        <v>good</v>
      </c>
      <c r="O470" s="5"/>
    </row>
    <row r="471" spans="6:15" x14ac:dyDescent="0.3">
      <c r="F471">
        <f>MONTH(Table13[[#This Row],[Date  (DMY)]])</f>
        <v>1</v>
      </c>
      <c r="G471" s="2"/>
      <c r="L471" s="5"/>
      <c r="M471" s="4">
        <f>M470-Table13[[#This Row],[Debits]]+Table13[[#This Row],[Income]]</f>
        <v>2805.21</v>
      </c>
      <c r="N471" t="str">
        <f>IF(AND(Table13[[#This Row],[Category]]="pay",NOT(Table13[[#This Row],[Debits]]=0)),"bad","good")</f>
        <v>good</v>
      </c>
      <c r="O471" s="5"/>
    </row>
    <row r="472" spans="6:15" x14ac:dyDescent="0.3">
      <c r="F472">
        <f>MONTH(Table13[[#This Row],[Date  (DMY)]])</f>
        <v>1</v>
      </c>
      <c r="G472" s="2"/>
      <c r="L472" s="5"/>
      <c r="M472" s="4">
        <f>M471-Table13[[#This Row],[Debits]]+Table13[[#This Row],[Income]]</f>
        <v>2805.21</v>
      </c>
      <c r="N472" t="str">
        <f>IF(AND(Table13[[#This Row],[Category]]="pay",NOT(Table13[[#This Row],[Debits]]=0)),"bad","good")</f>
        <v>good</v>
      </c>
      <c r="O472" s="5"/>
    </row>
    <row r="473" spans="6:15" x14ac:dyDescent="0.3">
      <c r="F473">
        <f>MONTH(Table13[[#This Row],[Date  (DMY)]])</f>
        <v>1</v>
      </c>
      <c r="G473" s="2"/>
      <c r="L473" s="5"/>
      <c r="M473" s="4">
        <f>M472-Table13[[#This Row],[Debits]]+Table13[[#This Row],[Income]]</f>
        <v>2805.21</v>
      </c>
      <c r="N473" t="str">
        <f>IF(AND(Table13[[#This Row],[Category]]="pay",NOT(Table13[[#This Row],[Debits]]=0)),"bad","good")</f>
        <v>good</v>
      </c>
      <c r="O473" s="5"/>
    </row>
    <row r="474" spans="6:15" x14ac:dyDescent="0.3">
      <c r="F474">
        <f>MONTH(Table13[[#This Row],[Date  (DMY)]])</f>
        <v>1</v>
      </c>
      <c r="G474" s="2"/>
      <c r="L474" s="5"/>
      <c r="M474" s="4">
        <f>M473-Table13[[#This Row],[Debits]]+Table13[[#This Row],[Income]]</f>
        <v>2805.21</v>
      </c>
      <c r="N474" t="str">
        <f>IF(AND(Table13[[#This Row],[Category]]="pay",NOT(Table13[[#This Row],[Debits]]=0)),"bad","good")</f>
        <v>good</v>
      </c>
      <c r="O474" s="5"/>
    </row>
    <row r="475" spans="6:15" x14ac:dyDescent="0.3">
      <c r="F475">
        <f>MONTH(Table13[[#This Row],[Date  (DMY)]])</f>
        <v>1</v>
      </c>
      <c r="G475" s="2"/>
      <c r="L475" s="5"/>
      <c r="M475" s="4">
        <f>M474-Table13[[#This Row],[Debits]]+Table13[[#This Row],[Income]]</f>
        <v>2805.21</v>
      </c>
      <c r="N475" t="str">
        <f>IF(AND(Table13[[#This Row],[Category]]="pay",NOT(Table13[[#This Row],[Debits]]=0)),"bad","good")</f>
        <v>good</v>
      </c>
      <c r="O475" s="5"/>
    </row>
    <row r="476" spans="6:15" x14ac:dyDescent="0.3">
      <c r="F476">
        <f>MONTH(Table13[[#This Row],[Date  (DMY)]])</f>
        <v>1</v>
      </c>
      <c r="G476" s="2"/>
      <c r="L476" s="5"/>
      <c r="M476" s="4">
        <f>M475-Table13[[#This Row],[Debits]]+Table13[[#This Row],[Income]]</f>
        <v>2805.21</v>
      </c>
      <c r="N476" t="str">
        <f>IF(AND(Table13[[#This Row],[Category]]="pay",NOT(Table13[[#This Row],[Debits]]=0)),"bad","good")</f>
        <v>good</v>
      </c>
      <c r="O476" s="5"/>
    </row>
    <row r="477" spans="6:15" x14ac:dyDescent="0.3">
      <c r="F477">
        <f>MONTH(Table13[[#This Row],[Date  (DMY)]])</f>
        <v>1</v>
      </c>
      <c r="G477" s="2"/>
      <c r="L477" s="5"/>
      <c r="M477" s="4">
        <f>M476-Table13[[#This Row],[Debits]]+Table13[[#This Row],[Income]]</f>
        <v>2805.21</v>
      </c>
      <c r="N477" t="str">
        <f>IF(AND(Table13[[#This Row],[Category]]="pay",NOT(Table13[[#This Row],[Debits]]=0)),"bad","good")</f>
        <v>good</v>
      </c>
      <c r="O477" s="5"/>
    </row>
    <row r="478" spans="6:15" x14ac:dyDescent="0.3">
      <c r="F478">
        <f>MONTH(Table13[[#This Row],[Date  (DMY)]])</f>
        <v>1</v>
      </c>
      <c r="G478" s="2"/>
      <c r="L478" s="5"/>
      <c r="M478" s="4">
        <f>M477-Table13[[#This Row],[Debits]]+Table13[[#This Row],[Income]]</f>
        <v>2805.21</v>
      </c>
      <c r="N478" t="str">
        <f>IF(AND(Table13[[#This Row],[Category]]="pay",NOT(Table13[[#This Row],[Debits]]=0)),"bad","good")</f>
        <v>good</v>
      </c>
      <c r="O478" s="5"/>
    </row>
    <row r="479" spans="6:15" x14ac:dyDescent="0.3">
      <c r="F479">
        <f>MONTH(Table13[[#This Row],[Date  (DMY)]])</f>
        <v>1</v>
      </c>
      <c r="G479" s="2"/>
      <c r="L479" s="5"/>
      <c r="M479" s="4">
        <f>M478-Table13[[#This Row],[Debits]]+Table13[[#This Row],[Income]]</f>
        <v>2805.21</v>
      </c>
      <c r="N479" t="str">
        <f>IF(AND(Table13[[#This Row],[Category]]="pay",NOT(Table13[[#This Row],[Debits]]=0)),"bad","good")</f>
        <v>good</v>
      </c>
      <c r="O479" s="5"/>
    </row>
    <row r="480" spans="6:15" x14ac:dyDescent="0.3">
      <c r="F480">
        <f>MONTH(Table13[[#This Row],[Date  (DMY)]])</f>
        <v>1</v>
      </c>
      <c r="G480" s="2"/>
      <c r="L480" s="5"/>
      <c r="M480" s="4">
        <f>M479-Table13[[#This Row],[Debits]]+Table13[[#This Row],[Income]]</f>
        <v>2805.21</v>
      </c>
      <c r="N480" t="str">
        <f>IF(AND(Table13[[#This Row],[Category]]="pay",NOT(Table13[[#This Row],[Debits]]=0)),"bad","good")</f>
        <v>good</v>
      </c>
      <c r="O480" s="5"/>
    </row>
    <row r="481" spans="6:15" x14ac:dyDescent="0.3">
      <c r="F481">
        <f>MONTH(Table13[[#This Row],[Date  (DMY)]])</f>
        <v>1</v>
      </c>
      <c r="G481" s="2"/>
      <c r="L481" s="5"/>
      <c r="M481" s="4">
        <f>M480-Table13[[#This Row],[Debits]]+Table13[[#This Row],[Income]]</f>
        <v>2805.21</v>
      </c>
      <c r="N481" t="str">
        <f>IF(AND(Table13[[#This Row],[Category]]="pay",NOT(Table13[[#This Row],[Debits]]=0)),"bad","good")</f>
        <v>good</v>
      </c>
      <c r="O481" s="5"/>
    </row>
    <row r="482" spans="6:15" x14ac:dyDescent="0.3">
      <c r="F482">
        <f>MONTH(Table13[[#This Row],[Date  (DMY)]])</f>
        <v>1</v>
      </c>
      <c r="G482" s="2"/>
      <c r="L482" s="5"/>
      <c r="M482" s="4">
        <f>M481-Table13[[#This Row],[Debits]]+Table13[[#This Row],[Income]]</f>
        <v>2805.21</v>
      </c>
      <c r="N482" t="str">
        <f>IF(AND(Table13[[#This Row],[Category]]="pay",NOT(Table13[[#This Row],[Debits]]=0)),"bad","good")</f>
        <v>good</v>
      </c>
      <c r="O482" s="5"/>
    </row>
    <row r="483" spans="6:15" x14ac:dyDescent="0.3">
      <c r="F483">
        <f>MONTH(Table13[[#This Row],[Date  (DMY)]])</f>
        <v>1</v>
      </c>
      <c r="G483" s="2"/>
      <c r="L483" s="5"/>
      <c r="M483" s="4">
        <f>M482-Table13[[#This Row],[Debits]]+Table13[[#This Row],[Income]]</f>
        <v>2805.21</v>
      </c>
      <c r="N483" t="str">
        <f>IF(AND(Table13[[#This Row],[Category]]="pay",NOT(Table13[[#This Row],[Debits]]=0)),"bad","good")</f>
        <v>good</v>
      </c>
      <c r="O483" s="5"/>
    </row>
    <row r="484" spans="6:15" x14ac:dyDescent="0.3">
      <c r="F484">
        <f>MONTH(Table13[[#This Row],[Date  (DMY)]])</f>
        <v>1</v>
      </c>
      <c r="G484" s="2"/>
      <c r="L484" s="5"/>
      <c r="M484" s="4">
        <f>M483-Table13[[#This Row],[Debits]]+Table13[[#This Row],[Income]]</f>
        <v>2805.21</v>
      </c>
      <c r="N484" t="str">
        <f>IF(AND(Table13[[#This Row],[Category]]="pay",NOT(Table13[[#This Row],[Debits]]=0)),"bad","good")</f>
        <v>good</v>
      </c>
      <c r="O484" s="5"/>
    </row>
    <row r="485" spans="6:15" x14ac:dyDescent="0.3">
      <c r="F485">
        <f>MONTH(Table13[[#This Row],[Date  (DMY)]])</f>
        <v>1</v>
      </c>
      <c r="G485" s="2"/>
      <c r="L485" s="5"/>
      <c r="M485" s="4">
        <f>M484-Table13[[#This Row],[Debits]]+Table13[[#This Row],[Income]]</f>
        <v>2805.21</v>
      </c>
      <c r="N485" t="str">
        <f>IF(AND(Table13[[#This Row],[Category]]="pay",NOT(Table13[[#This Row],[Debits]]=0)),"bad","good")</f>
        <v>good</v>
      </c>
      <c r="O485" s="5"/>
    </row>
    <row r="486" spans="6:15" x14ac:dyDescent="0.3">
      <c r="F486">
        <f>MONTH(Table13[[#This Row],[Date  (DMY)]])</f>
        <v>1</v>
      </c>
      <c r="G486" s="2"/>
      <c r="L486" s="5"/>
      <c r="M486" s="4">
        <f>M485-Table13[[#This Row],[Debits]]+Table13[[#This Row],[Income]]</f>
        <v>2805.21</v>
      </c>
      <c r="N486" t="str">
        <f>IF(AND(Table13[[#This Row],[Category]]="pay",NOT(Table13[[#This Row],[Debits]]=0)),"bad","good")</f>
        <v>good</v>
      </c>
      <c r="O486" s="5"/>
    </row>
    <row r="487" spans="6:15" x14ac:dyDescent="0.3">
      <c r="F487">
        <f>MONTH(Table13[[#This Row],[Date  (DMY)]])</f>
        <v>1</v>
      </c>
      <c r="G487" s="2"/>
      <c r="L487" s="5"/>
      <c r="M487" s="4">
        <f>M486-Table13[[#This Row],[Debits]]+Table13[[#This Row],[Income]]</f>
        <v>2805.21</v>
      </c>
      <c r="N487" t="str">
        <f>IF(AND(Table13[[#This Row],[Category]]="pay",NOT(Table13[[#This Row],[Debits]]=0)),"bad","good")</f>
        <v>good</v>
      </c>
      <c r="O487" s="5"/>
    </row>
    <row r="488" spans="6:15" x14ac:dyDescent="0.3">
      <c r="F488">
        <f>MONTH(Table13[[#This Row],[Date  (DMY)]])</f>
        <v>1</v>
      </c>
      <c r="G488" s="2"/>
      <c r="L488" s="5"/>
      <c r="M488" s="4">
        <f>M487-Table13[[#This Row],[Debits]]+Table13[[#This Row],[Income]]</f>
        <v>2805.21</v>
      </c>
      <c r="N488" t="str">
        <f>IF(AND(Table13[[#This Row],[Category]]="pay",NOT(Table13[[#This Row],[Debits]]=0)),"bad","good")</f>
        <v>good</v>
      </c>
      <c r="O488" s="5"/>
    </row>
    <row r="489" spans="6:15" x14ac:dyDescent="0.3">
      <c r="F489">
        <f>MONTH(Table13[[#This Row],[Date  (DMY)]])</f>
        <v>1</v>
      </c>
      <c r="G489" s="2"/>
      <c r="L489" s="5"/>
      <c r="M489" s="4">
        <f>M488-Table13[[#This Row],[Debits]]+Table13[[#This Row],[Income]]</f>
        <v>2805.21</v>
      </c>
      <c r="N489" t="str">
        <f>IF(AND(Table13[[#This Row],[Category]]="pay",NOT(Table13[[#This Row],[Debits]]=0)),"bad","good")</f>
        <v>good</v>
      </c>
      <c r="O489" s="5"/>
    </row>
    <row r="490" spans="6:15" x14ac:dyDescent="0.3">
      <c r="F490">
        <f>MONTH(Table13[[#This Row],[Date  (DMY)]])</f>
        <v>1</v>
      </c>
      <c r="G490" s="2"/>
      <c r="L490" s="5"/>
      <c r="M490" s="4">
        <f>M489-Table13[[#This Row],[Debits]]+Table13[[#This Row],[Income]]</f>
        <v>2805.21</v>
      </c>
      <c r="N490" t="str">
        <f>IF(AND(Table13[[#This Row],[Category]]="pay",NOT(Table13[[#This Row],[Debits]]=0)),"bad","good")</f>
        <v>good</v>
      </c>
      <c r="O490" s="5"/>
    </row>
    <row r="491" spans="6:15" x14ac:dyDescent="0.3">
      <c r="F491">
        <f>MONTH(Table13[[#This Row],[Date  (DMY)]])</f>
        <v>1</v>
      </c>
      <c r="G491" s="2"/>
      <c r="L491" s="5"/>
      <c r="M491" s="4">
        <f>M490-Table13[[#This Row],[Debits]]+Table13[[#This Row],[Income]]</f>
        <v>2805.21</v>
      </c>
      <c r="N491" t="str">
        <f>IF(AND(Table13[[#This Row],[Category]]="pay",NOT(Table13[[#This Row],[Debits]]=0)),"bad","good")</f>
        <v>good</v>
      </c>
      <c r="O491" s="5"/>
    </row>
    <row r="492" spans="6:15" x14ac:dyDescent="0.3">
      <c r="F492">
        <f>MONTH(Table13[[#This Row],[Date  (DMY)]])</f>
        <v>1</v>
      </c>
      <c r="G492" s="2"/>
      <c r="L492" s="5"/>
      <c r="M492" s="4">
        <f>M491-Table13[[#This Row],[Debits]]+Table13[[#This Row],[Income]]</f>
        <v>2805.21</v>
      </c>
      <c r="N492" t="str">
        <f>IF(AND(Table13[[#This Row],[Category]]="pay",NOT(Table13[[#This Row],[Debits]]=0)),"bad","good")</f>
        <v>good</v>
      </c>
      <c r="O492" s="5"/>
    </row>
    <row r="493" spans="6:15" x14ac:dyDescent="0.3">
      <c r="F493">
        <f>MONTH(Table13[[#This Row],[Date  (DMY)]])</f>
        <v>1</v>
      </c>
      <c r="G493" s="2"/>
      <c r="L493" s="5"/>
      <c r="M493" s="4">
        <f>M492-Table13[[#This Row],[Debits]]+Table13[[#This Row],[Income]]</f>
        <v>2805.21</v>
      </c>
      <c r="N493" t="str">
        <f>IF(AND(Table13[[#This Row],[Category]]="pay",NOT(Table13[[#This Row],[Debits]]=0)),"bad","good")</f>
        <v>good</v>
      </c>
      <c r="O493" s="5"/>
    </row>
    <row r="494" spans="6:15" x14ac:dyDescent="0.3">
      <c r="F494">
        <f>MONTH(Table13[[#This Row],[Date  (DMY)]])</f>
        <v>1</v>
      </c>
      <c r="G494" s="2"/>
      <c r="L494" s="5"/>
      <c r="M494" s="4">
        <f>M493-Table13[[#This Row],[Debits]]+Table13[[#This Row],[Income]]</f>
        <v>2805.21</v>
      </c>
      <c r="N494" t="str">
        <f>IF(AND(Table13[[#This Row],[Category]]="pay",NOT(Table13[[#This Row],[Debits]]=0)),"bad","good")</f>
        <v>good</v>
      </c>
      <c r="O494" s="5"/>
    </row>
    <row r="495" spans="6:15" x14ac:dyDescent="0.3">
      <c r="F495">
        <f>MONTH(Table13[[#This Row],[Date  (DMY)]])</f>
        <v>1</v>
      </c>
      <c r="G495" s="2"/>
      <c r="L495" s="5"/>
      <c r="M495" s="4">
        <f>M494-Table13[[#This Row],[Debits]]+Table13[[#This Row],[Income]]</f>
        <v>2805.21</v>
      </c>
      <c r="N495" t="str">
        <f>IF(AND(Table13[[#This Row],[Category]]="pay",NOT(Table13[[#This Row],[Debits]]=0)),"bad","good")</f>
        <v>good</v>
      </c>
      <c r="O495" s="5"/>
    </row>
    <row r="496" spans="6:15" x14ac:dyDescent="0.3">
      <c r="F496">
        <f>MONTH(Table13[[#This Row],[Date  (DMY)]])</f>
        <v>1</v>
      </c>
      <c r="G496" s="2"/>
      <c r="L496" s="5"/>
      <c r="M496" s="4">
        <f>M495-Table13[[#This Row],[Debits]]+Table13[[#This Row],[Income]]</f>
        <v>2805.21</v>
      </c>
      <c r="N496" t="str">
        <f>IF(AND(Table13[[#This Row],[Category]]="pay",NOT(Table13[[#This Row],[Debits]]=0)),"bad","good")</f>
        <v>good</v>
      </c>
      <c r="O496" s="5"/>
    </row>
    <row r="497" spans="6:15" x14ac:dyDescent="0.3">
      <c r="F497">
        <f>MONTH(Table13[[#This Row],[Date  (DMY)]])</f>
        <v>1</v>
      </c>
      <c r="G497" s="2"/>
      <c r="L497" s="5"/>
      <c r="M497" s="4">
        <f>M496-Table13[[#This Row],[Debits]]+Table13[[#This Row],[Income]]</f>
        <v>2805.21</v>
      </c>
      <c r="N497" t="str">
        <f>IF(AND(Table13[[#This Row],[Category]]="pay",NOT(Table13[[#This Row],[Debits]]=0)),"bad","good")</f>
        <v>good</v>
      </c>
      <c r="O497" s="5"/>
    </row>
    <row r="498" spans="6:15" x14ac:dyDescent="0.3">
      <c r="F498">
        <f>MONTH(Table13[[#This Row],[Date  (DMY)]])</f>
        <v>1</v>
      </c>
      <c r="G498" s="2"/>
      <c r="L498" s="5"/>
      <c r="M498" s="4">
        <f>M497-Table13[[#This Row],[Debits]]+Table13[[#This Row],[Income]]</f>
        <v>2805.21</v>
      </c>
      <c r="N498" t="str">
        <f>IF(AND(Table13[[#This Row],[Category]]="pay",NOT(Table13[[#This Row],[Debits]]=0)),"bad","good")</f>
        <v>good</v>
      </c>
      <c r="O498" s="5"/>
    </row>
    <row r="499" spans="6:15" x14ac:dyDescent="0.3">
      <c r="F499">
        <f>MONTH(Table13[[#This Row],[Date  (DMY)]])</f>
        <v>1</v>
      </c>
      <c r="G499" s="2"/>
      <c r="L499" s="5"/>
      <c r="M499" s="4">
        <f>M498-Table13[[#This Row],[Debits]]+Table13[[#This Row],[Income]]</f>
        <v>2805.21</v>
      </c>
      <c r="N499" t="str">
        <f>IF(AND(Table13[[#This Row],[Category]]="pay",NOT(Table13[[#This Row],[Debits]]=0)),"bad","good")</f>
        <v>good</v>
      </c>
      <c r="O499" s="5"/>
    </row>
    <row r="500" spans="6:15" x14ac:dyDescent="0.3">
      <c r="F500">
        <f>MONTH(Table13[[#This Row],[Date  (DMY)]])</f>
        <v>1</v>
      </c>
      <c r="G500" s="2"/>
      <c r="L500" s="5"/>
      <c r="M500" s="4">
        <f>M499-Table13[[#This Row],[Debits]]+Table13[[#This Row],[Income]]</f>
        <v>2805.21</v>
      </c>
      <c r="N500" t="str">
        <f>IF(AND(Table13[[#This Row],[Category]]="pay",NOT(Table13[[#This Row],[Debits]]=0)),"bad","good")</f>
        <v>good</v>
      </c>
      <c r="O500" s="5"/>
    </row>
    <row r="501" spans="6:15" x14ac:dyDescent="0.3">
      <c r="F501">
        <f>MONTH(Table13[[#This Row],[Date  (DMY)]])</f>
        <v>1</v>
      </c>
      <c r="G501" s="2"/>
      <c r="L501" s="5"/>
      <c r="M501" s="4">
        <f>M500-Table13[[#This Row],[Debits]]+Table13[[#This Row],[Income]]</f>
        <v>2805.21</v>
      </c>
      <c r="N501" t="str">
        <f>IF(AND(Table13[[#This Row],[Category]]="pay",NOT(Table13[[#This Row],[Debits]]=0)),"bad","good")</f>
        <v>good</v>
      </c>
      <c r="O501" s="5"/>
    </row>
    <row r="502" spans="6:15" x14ac:dyDescent="0.3">
      <c r="F502">
        <f>MONTH(Table13[[#This Row],[Date  (DMY)]])</f>
        <v>1</v>
      </c>
      <c r="G502" s="2"/>
      <c r="L502" s="5"/>
      <c r="M502" s="4">
        <f>M501-Table13[[#This Row],[Debits]]+Table13[[#This Row],[Income]]</f>
        <v>2805.21</v>
      </c>
      <c r="N502" t="str">
        <f>IF(AND(Table13[[#This Row],[Category]]="pay",NOT(Table13[[#This Row],[Debits]]=0)),"bad","good")</f>
        <v>good</v>
      </c>
      <c r="O502" s="5"/>
    </row>
    <row r="503" spans="6:15" x14ac:dyDescent="0.3">
      <c r="F503">
        <f>MONTH(Table13[[#This Row],[Date  (DMY)]])</f>
        <v>1</v>
      </c>
      <c r="G503" s="2"/>
      <c r="L503" s="5"/>
      <c r="M503" s="4">
        <f>M502-Table13[[#This Row],[Debits]]+Table13[[#This Row],[Income]]</f>
        <v>2805.21</v>
      </c>
      <c r="N503" t="str">
        <f>IF(AND(Table13[[#This Row],[Category]]="pay",NOT(Table13[[#This Row],[Debits]]=0)),"bad","good")</f>
        <v>good</v>
      </c>
      <c r="O503" s="5"/>
    </row>
    <row r="504" spans="6:15" x14ac:dyDescent="0.3">
      <c r="F504">
        <f>MONTH(Table13[[#This Row],[Date  (DMY)]])</f>
        <v>1</v>
      </c>
      <c r="G504" s="2"/>
      <c r="L504" s="5"/>
      <c r="M504" s="4">
        <f>M503-Table13[[#This Row],[Debits]]+Table13[[#This Row],[Income]]</f>
        <v>2805.21</v>
      </c>
      <c r="N504" t="str">
        <f>IF(AND(Table13[[#This Row],[Category]]="pay",NOT(Table13[[#This Row],[Debits]]=0)),"bad","good")</f>
        <v>good</v>
      </c>
      <c r="O504" s="5"/>
    </row>
    <row r="505" spans="6:15" x14ac:dyDescent="0.3">
      <c r="F505">
        <f>MONTH(Table13[[#This Row],[Date  (DMY)]])</f>
        <v>1</v>
      </c>
      <c r="G505" s="2"/>
      <c r="L505" s="5"/>
      <c r="M505" s="4">
        <f>M504-Table13[[#This Row],[Debits]]+Table13[[#This Row],[Income]]</f>
        <v>2805.21</v>
      </c>
      <c r="N505" t="str">
        <f>IF(AND(Table13[[#This Row],[Category]]="pay",NOT(Table13[[#This Row],[Debits]]=0)),"bad","good")</f>
        <v>good</v>
      </c>
      <c r="O505" s="5"/>
    </row>
    <row r="506" spans="6:15" x14ac:dyDescent="0.3">
      <c r="F506">
        <f>MONTH(Table13[[#This Row],[Date  (DMY)]])</f>
        <v>1</v>
      </c>
      <c r="G506" s="2"/>
      <c r="L506" s="5"/>
      <c r="M506" s="4">
        <f>M505-Table13[[#This Row],[Debits]]+Table13[[#This Row],[Income]]</f>
        <v>2805.21</v>
      </c>
      <c r="N506" t="str">
        <f>IF(AND(Table13[[#This Row],[Category]]="pay",NOT(Table13[[#This Row],[Debits]]=0)),"bad","good")</f>
        <v>good</v>
      </c>
      <c r="O506" s="5"/>
    </row>
    <row r="507" spans="6:15" x14ac:dyDescent="0.3">
      <c r="F507">
        <f>MONTH(Table13[[#This Row],[Date  (DMY)]])</f>
        <v>1</v>
      </c>
      <c r="G507" s="2"/>
      <c r="L507" s="5"/>
      <c r="M507" s="4">
        <f>M506-Table13[[#This Row],[Debits]]+Table13[[#This Row],[Income]]</f>
        <v>2805.21</v>
      </c>
      <c r="N507" t="str">
        <f>IF(AND(Table13[[#This Row],[Category]]="pay",NOT(Table13[[#This Row],[Debits]]=0)),"bad","good")</f>
        <v>good</v>
      </c>
      <c r="O507" s="5"/>
    </row>
    <row r="508" spans="6:15" x14ac:dyDescent="0.3">
      <c r="F508">
        <f>MONTH(Table13[[#This Row],[Date  (DMY)]])</f>
        <v>1</v>
      </c>
      <c r="G508" s="2"/>
      <c r="L508" s="5"/>
      <c r="M508" s="4">
        <f>M507-Table13[[#This Row],[Debits]]+Table13[[#This Row],[Income]]</f>
        <v>2805.21</v>
      </c>
      <c r="N508" t="str">
        <f>IF(AND(Table13[[#This Row],[Category]]="pay",NOT(Table13[[#This Row],[Debits]]=0)),"bad","good")</f>
        <v>good</v>
      </c>
      <c r="O508" s="5"/>
    </row>
    <row r="509" spans="6:15" x14ac:dyDescent="0.3">
      <c r="F509">
        <f>MONTH(Table13[[#This Row],[Date  (DMY)]])</f>
        <v>1</v>
      </c>
      <c r="G509" s="2"/>
      <c r="L509" s="5"/>
      <c r="M509" s="4">
        <f>M508-Table13[[#This Row],[Debits]]+Table13[[#This Row],[Income]]</f>
        <v>2805.21</v>
      </c>
      <c r="N509" t="str">
        <f>IF(AND(Table13[[#This Row],[Category]]="pay",NOT(Table13[[#This Row],[Debits]]=0)),"bad","good")</f>
        <v>good</v>
      </c>
      <c r="O509" s="5"/>
    </row>
    <row r="510" spans="6:15" x14ac:dyDescent="0.3">
      <c r="F510">
        <f>MONTH(Table13[[#This Row],[Date  (DMY)]])</f>
        <v>1</v>
      </c>
      <c r="G510" s="2"/>
      <c r="L510" s="5"/>
      <c r="M510" s="4">
        <f>M509-Table13[[#This Row],[Debits]]+Table13[[#This Row],[Income]]</f>
        <v>2805.21</v>
      </c>
      <c r="N510" t="str">
        <f>IF(AND(Table13[[#This Row],[Category]]="pay",NOT(Table13[[#This Row],[Debits]]=0)),"bad","good")</f>
        <v>good</v>
      </c>
      <c r="O510" s="5"/>
    </row>
    <row r="511" spans="6:15" x14ac:dyDescent="0.3">
      <c r="F511">
        <f>MONTH(Table13[[#This Row],[Date  (DMY)]])</f>
        <v>1</v>
      </c>
      <c r="G511" s="2"/>
      <c r="L511" s="5"/>
      <c r="M511" s="4">
        <f>M510-Table13[[#This Row],[Debits]]+Table13[[#This Row],[Income]]</f>
        <v>2805.21</v>
      </c>
      <c r="N511" t="str">
        <f>IF(AND(Table13[[#This Row],[Category]]="pay",NOT(Table13[[#This Row],[Debits]]=0)),"bad","good")</f>
        <v>good</v>
      </c>
      <c r="O511" s="5"/>
    </row>
    <row r="512" spans="6:15" x14ac:dyDescent="0.3">
      <c r="F512">
        <f>MONTH(Table13[[#This Row],[Date  (DMY)]])</f>
        <v>1</v>
      </c>
      <c r="G512" s="2"/>
      <c r="L512" s="5"/>
      <c r="M512" s="4">
        <f>M511-Table13[[#This Row],[Debits]]+Table13[[#This Row],[Income]]</f>
        <v>2805.21</v>
      </c>
      <c r="N512" t="str">
        <f>IF(AND(Table13[[#This Row],[Category]]="pay",NOT(Table13[[#This Row],[Debits]]=0)),"bad","good")</f>
        <v>good</v>
      </c>
      <c r="O512" s="5"/>
    </row>
    <row r="513" spans="6:15" x14ac:dyDescent="0.3">
      <c r="F513">
        <f>MONTH(Table13[[#This Row],[Date  (DMY)]])</f>
        <v>1</v>
      </c>
      <c r="G513" s="2"/>
      <c r="L513" s="5"/>
      <c r="M513" s="4">
        <f>M512-Table13[[#This Row],[Debits]]+Table13[[#This Row],[Income]]</f>
        <v>2805.21</v>
      </c>
      <c r="N513" t="str">
        <f>IF(AND(Table13[[#This Row],[Category]]="pay",NOT(Table13[[#This Row],[Debits]]=0)),"bad","good")</f>
        <v>good</v>
      </c>
      <c r="O513" s="5"/>
    </row>
    <row r="514" spans="6:15" x14ac:dyDescent="0.3">
      <c r="F514">
        <f>MONTH(Table13[[#This Row],[Date  (DMY)]])</f>
        <v>1</v>
      </c>
      <c r="G514" s="2"/>
      <c r="L514" s="5"/>
      <c r="M514" s="4">
        <f>M513-Table13[[#This Row],[Debits]]+Table13[[#This Row],[Income]]</f>
        <v>2805.21</v>
      </c>
      <c r="N514" t="str">
        <f>IF(AND(Table13[[#This Row],[Category]]="pay",NOT(Table13[[#This Row],[Debits]]=0)),"bad","good")</f>
        <v>good</v>
      </c>
      <c r="O514" s="5"/>
    </row>
    <row r="515" spans="6:15" x14ac:dyDescent="0.3">
      <c r="F515">
        <f>MONTH(Table13[[#This Row],[Date  (DMY)]])</f>
        <v>1</v>
      </c>
      <c r="G515" s="2"/>
      <c r="L515" s="5"/>
      <c r="M515" s="4">
        <f>M514-Table13[[#This Row],[Debits]]+Table13[[#This Row],[Income]]</f>
        <v>2805.21</v>
      </c>
      <c r="N515" t="str">
        <f>IF(AND(Table13[[#This Row],[Category]]="pay",NOT(Table13[[#This Row],[Debits]]=0)),"bad","good")</f>
        <v>good</v>
      </c>
      <c r="O515" s="5"/>
    </row>
    <row r="516" spans="6:15" x14ac:dyDescent="0.3">
      <c r="F516">
        <f>MONTH(Table13[[#This Row],[Date  (DMY)]])</f>
        <v>1</v>
      </c>
      <c r="G516" s="2"/>
      <c r="L516" s="5"/>
      <c r="M516" s="4">
        <f>M515-Table13[[#This Row],[Debits]]+Table13[[#This Row],[Income]]</f>
        <v>2805.21</v>
      </c>
      <c r="N516" t="str">
        <f>IF(AND(Table13[[#This Row],[Category]]="pay",NOT(Table13[[#This Row],[Debits]]=0)),"bad","good")</f>
        <v>good</v>
      </c>
      <c r="O516" s="5"/>
    </row>
    <row r="517" spans="6:15" x14ac:dyDescent="0.3">
      <c r="F517">
        <f>MONTH(Table13[[#This Row],[Date  (DMY)]])</f>
        <v>1</v>
      </c>
      <c r="G517" s="2"/>
      <c r="L517" s="5"/>
      <c r="M517" s="4">
        <f>M516-Table13[[#This Row],[Debits]]+Table13[[#This Row],[Income]]</f>
        <v>2805.21</v>
      </c>
      <c r="N517" t="str">
        <f>IF(AND(Table13[[#This Row],[Category]]="pay",NOT(Table13[[#This Row],[Debits]]=0)),"bad","good")</f>
        <v>good</v>
      </c>
      <c r="O517" s="5"/>
    </row>
    <row r="518" spans="6:15" x14ac:dyDescent="0.3">
      <c r="F518">
        <f>MONTH(Table13[[#This Row],[Date  (DMY)]])</f>
        <v>1</v>
      </c>
      <c r="G518" s="2"/>
      <c r="L518" s="5"/>
      <c r="M518" s="4">
        <f>M517-Table13[[#This Row],[Debits]]+Table13[[#This Row],[Income]]</f>
        <v>2805.21</v>
      </c>
      <c r="N518" t="str">
        <f>IF(AND(Table13[[#This Row],[Category]]="pay",NOT(Table13[[#This Row],[Debits]]=0)),"bad","good")</f>
        <v>good</v>
      </c>
      <c r="O518" s="5"/>
    </row>
    <row r="519" spans="6:15" x14ac:dyDescent="0.3">
      <c r="F519">
        <f>MONTH(Table13[[#This Row],[Date  (DMY)]])</f>
        <v>1</v>
      </c>
      <c r="G519" s="2"/>
      <c r="L519" s="5"/>
      <c r="M519" s="4">
        <f>M518-Table13[[#This Row],[Debits]]+Table13[[#This Row],[Income]]</f>
        <v>2805.21</v>
      </c>
      <c r="N519" t="str">
        <f>IF(AND(Table13[[#This Row],[Category]]="pay",NOT(Table13[[#This Row],[Debits]]=0)),"bad","good")</f>
        <v>good</v>
      </c>
      <c r="O519" s="5"/>
    </row>
    <row r="520" spans="6:15" x14ac:dyDescent="0.3">
      <c r="F520">
        <f>MONTH(Table13[[#This Row],[Date  (DMY)]])</f>
        <v>1</v>
      </c>
      <c r="G520" s="2"/>
      <c r="L520" s="5"/>
      <c r="M520" s="4">
        <f>M519-Table13[[#This Row],[Debits]]+Table13[[#This Row],[Income]]</f>
        <v>2805.21</v>
      </c>
      <c r="N520" t="str">
        <f>IF(AND(Table13[[#This Row],[Category]]="pay",NOT(Table13[[#This Row],[Debits]]=0)),"bad","good")</f>
        <v>good</v>
      </c>
      <c r="O520" s="5"/>
    </row>
    <row r="521" spans="6:15" x14ac:dyDescent="0.3">
      <c r="F521">
        <f>MONTH(Table13[[#This Row],[Date  (DMY)]])</f>
        <v>1</v>
      </c>
      <c r="G521" s="2"/>
      <c r="L521" s="5"/>
      <c r="M521" s="4">
        <f>M520-Table13[[#This Row],[Debits]]+Table13[[#This Row],[Income]]</f>
        <v>2805.21</v>
      </c>
      <c r="N521" t="str">
        <f>IF(AND(Table13[[#This Row],[Category]]="pay",NOT(Table13[[#This Row],[Debits]]=0)),"bad","good")</f>
        <v>good</v>
      </c>
      <c r="O521" s="5"/>
    </row>
    <row r="522" spans="6:15" x14ac:dyDescent="0.3">
      <c r="F522">
        <f>MONTH(Table13[[#This Row],[Date  (DMY)]])</f>
        <v>1</v>
      </c>
      <c r="G522" s="2"/>
      <c r="L522" s="5"/>
      <c r="M522" s="4">
        <f>M521-Table13[[#This Row],[Debits]]+Table13[[#This Row],[Income]]</f>
        <v>2805.21</v>
      </c>
      <c r="N522" t="str">
        <f>IF(AND(Table13[[#This Row],[Category]]="pay",NOT(Table13[[#This Row],[Debits]]=0)),"bad","good")</f>
        <v>good</v>
      </c>
      <c r="O522" s="5"/>
    </row>
    <row r="523" spans="6:15" x14ac:dyDescent="0.3">
      <c r="F523">
        <f>MONTH(Table13[[#This Row],[Date  (DMY)]])</f>
        <v>1</v>
      </c>
      <c r="G523" s="2"/>
      <c r="L523" s="5"/>
      <c r="M523" s="4">
        <f>M522-Table13[[#This Row],[Debits]]+Table13[[#This Row],[Income]]</f>
        <v>2805.21</v>
      </c>
      <c r="N523" t="str">
        <f>IF(AND(Table13[[#This Row],[Category]]="pay",NOT(Table13[[#This Row],[Debits]]=0)),"bad","good")</f>
        <v>good</v>
      </c>
      <c r="O523" s="5"/>
    </row>
    <row r="524" spans="6:15" x14ac:dyDescent="0.3">
      <c r="F524">
        <f>MONTH(Table13[[#This Row],[Date  (DMY)]])</f>
        <v>1</v>
      </c>
      <c r="G524" s="2"/>
      <c r="L524" s="5"/>
      <c r="M524" s="4">
        <f>M523-Table13[[#This Row],[Debits]]+Table13[[#This Row],[Income]]</f>
        <v>2805.21</v>
      </c>
      <c r="N524" t="str">
        <f>IF(AND(Table13[[#This Row],[Category]]="pay",NOT(Table13[[#This Row],[Debits]]=0)),"bad","good")</f>
        <v>good</v>
      </c>
      <c r="O524" s="5"/>
    </row>
    <row r="525" spans="6:15" x14ac:dyDescent="0.3">
      <c r="F525">
        <f>MONTH(Table13[[#This Row],[Date  (DMY)]])</f>
        <v>1</v>
      </c>
      <c r="G525" s="2"/>
      <c r="L525" s="5"/>
      <c r="M525" s="4">
        <f>M524-Table13[[#This Row],[Debits]]+Table13[[#This Row],[Income]]</f>
        <v>2805.21</v>
      </c>
      <c r="N525" t="str">
        <f>IF(AND(Table13[[#This Row],[Category]]="pay",NOT(Table13[[#This Row],[Debits]]=0)),"bad","good")</f>
        <v>good</v>
      </c>
      <c r="O525" s="5"/>
    </row>
    <row r="526" spans="6:15" x14ac:dyDescent="0.3">
      <c r="F526">
        <f>MONTH(Table13[[#This Row],[Date  (DMY)]])</f>
        <v>1</v>
      </c>
      <c r="G526" s="2"/>
      <c r="L526" s="5"/>
      <c r="M526" s="4">
        <f>M525-Table13[[#This Row],[Debits]]+Table13[[#This Row],[Income]]</f>
        <v>2805.21</v>
      </c>
      <c r="N526" t="str">
        <f>IF(AND(Table13[[#This Row],[Category]]="pay",NOT(Table13[[#This Row],[Debits]]=0)),"bad","good")</f>
        <v>good</v>
      </c>
      <c r="O526" s="5"/>
    </row>
    <row r="527" spans="6:15" x14ac:dyDescent="0.3">
      <c r="F527">
        <f>MONTH(Table13[[#This Row],[Date  (DMY)]])</f>
        <v>1</v>
      </c>
      <c r="G527" s="2"/>
      <c r="L527" s="5"/>
      <c r="M527" s="4">
        <f>M526-Table13[[#This Row],[Debits]]+Table13[[#This Row],[Income]]</f>
        <v>2805.21</v>
      </c>
      <c r="N527" t="str">
        <f>IF(AND(Table13[[#This Row],[Category]]="pay",NOT(Table13[[#This Row],[Debits]]=0)),"bad","good")</f>
        <v>good</v>
      </c>
      <c r="O527" s="5"/>
    </row>
    <row r="528" spans="6:15" x14ac:dyDescent="0.3">
      <c r="F528">
        <f>MONTH(Table13[[#This Row],[Date  (DMY)]])</f>
        <v>1</v>
      </c>
      <c r="G528" s="2"/>
      <c r="L528" s="5"/>
      <c r="M528" s="4">
        <f>M527-Table13[[#This Row],[Debits]]+Table13[[#This Row],[Income]]</f>
        <v>2805.21</v>
      </c>
      <c r="N528" t="str">
        <f>IF(AND(Table13[[#This Row],[Category]]="pay",NOT(Table13[[#This Row],[Debits]]=0)),"bad","good")</f>
        <v>good</v>
      </c>
      <c r="O528" s="5"/>
    </row>
    <row r="529" spans="6:15" x14ac:dyDescent="0.3">
      <c r="F529">
        <f>MONTH(Table13[[#This Row],[Date  (DMY)]])</f>
        <v>1</v>
      </c>
      <c r="G529" s="2"/>
      <c r="L529" s="5"/>
      <c r="M529" s="4">
        <f>M528-Table13[[#This Row],[Debits]]+Table13[[#This Row],[Income]]</f>
        <v>2805.21</v>
      </c>
      <c r="N529" t="str">
        <f>IF(AND(Table13[[#This Row],[Category]]="pay",NOT(Table13[[#This Row],[Debits]]=0)),"bad","good")</f>
        <v>good</v>
      </c>
      <c r="O529" s="5"/>
    </row>
    <row r="530" spans="6:15" x14ac:dyDescent="0.3">
      <c r="F530">
        <f>MONTH(Table13[[#This Row],[Date  (DMY)]])</f>
        <v>1</v>
      </c>
      <c r="G530" s="2"/>
      <c r="L530" s="5"/>
      <c r="M530" s="4">
        <f>M529-Table13[[#This Row],[Debits]]+Table13[[#This Row],[Income]]</f>
        <v>2805.21</v>
      </c>
      <c r="N530" t="str">
        <f>IF(AND(Table13[[#This Row],[Category]]="pay",NOT(Table13[[#This Row],[Debits]]=0)),"bad","good")</f>
        <v>good</v>
      </c>
      <c r="O530" s="5"/>
    </row>
    <row r="531" spans="6:15" x14ac:dyDescent="0.3">
      <c r="F531">
        <f>MONTH(Table13[[#This Row],[Date  (DMY)]])</f>
        <v>1</v>
      </c>
      <c r="G531" s="2"/>
      <c r="L531" s="5"/>
      <c r="M531" s="4">
        <f>M530-Table13[[#This Row],[Debits]]+Table13[[#This Row],[Income]]</f>
        <v>2805.21</v>
      </c>
      <c r="N531" t="str">
        <f>IF(AND(Table13[[#This Row],[Category]]="pay",NOT(Table13[[#This Row],[Debits]]=0)),"bad","good")</f>
        <v>good</v>
      </c>
      <c r="O531" s="5"/>
    </row>
    <row r="532" spans="6:15" x14ac:dyDescent="0.3">
      <c r="F532">
        <f>MONTH(Table13[[#This Row],[Date  (DMY)]])</f>
        <v>1</v>
      </c>
      <c r="G532" s="2"/>
      <c r="L532" s="5"/>
      <c r="M532" s="4">
        <f>M531-Table13[[#This Row],[Debits]]+Table13[[#This Row],[Income]]</f>
        <v>2805.21</v>
      </c>
      <c r="N532" t="str">
        <f>IF(AND(Table13[[#This Row],[Category]]="pay",NOT(Table13[[#This Row],[Debits]]=0)),"bad","good")</f>
        <v>good</v>
      </c>
      <c r="O532" s="5"/>
    </row>
    <row r="533" spans="6:15" x14ac:dyDescent="0.3">
      <c r="F533">
        <f>MONTH(Table13[[#This Row],[Date  (DMY)]])</f>
        <v>1</v>
      </c>
      <c r="G533" s="2"/>
      <c r="L533" s="5"/>
      <c r="M533" s="4">
        <f>M532-Table13[[#This Row],[Debits]]+Table13[[#This Row],[Income]]</f>
        <v>2805.21</v>
      </c>
      <c r="N533" t="str">
        <f>IF(AND(Table13[[#This Row],[Category]]="pay",NOT(Table13[[#This Row],[Debits]]=0)),"bad","good")</f>
        <v>good</v>
      </c>
      <c r="O533" s="5"/>
    </row>
    <row r="534" spans="6:15" x14ac:dyDescent="0.3">
      <c r="F534">
        <f>MONTH(Table13[[#This Row],[Date  (DMY)]])</f>
        <v>1</v>
      </c>
      <c r="G534" s="2"/>
      <c r="L534" s="5"/>
      <c r="M534" s="4">
        <f>M533-Table13[[#This Row],[Debits]]+Table13[[#This Row],[Income]]</f>
        <v>2805.21</v>
      </c>
      <c r="N534" t="str">
        <f>IF(AND(Table13[[#This Row],[Category]]="pay",NOT(Table13[[#This Row],[Debits]]=0)),"bad","good")</f>
        <v>good</v>
      </c>
      <c r="O534" s="5"/>
    </row>
    <row r="535" spans="6:15" x14ac:dyDescent="0.3">
      <c r="F535">
        <f>MONTH(Table13[[#This Row],[Date  (DMY)]])</f>
        <v>1</v>
      </c>
      <c r="G535" s="2"/>
      <c r="L535" s="5"/>
      <c r="M535" s="4">
        <f>M534-Table13[[#This Row],[Debits]]+Table13[[#This Row],[Income]]</f>
        <v>2805.21</v>
      </c>
      <c r="N535" t="str">
        <f>IF(AND(Table13[[#This Row],[Category]]="pay",NOT(Table13[[#This Row],[Debits]]=0)),"bad","good")</f>
        <v>good</v>
      </c>
      <c r="O535" s="5"/>
    </row>
    <row r="536" spans="6:15" x14ac:dyDescent="0.3">
      <c r="F536">
        <f>MONTH(Table13[[#This Row],[Date  (DMY)]])</f>
        <v>1</v>
      </c>
      <c r="G536" s="2"/>
      <c r="L536" s="5"/>
      <c r="M536" s="4">
        <f>M535-Table13[[#This Row],[Debits]]+Table13[[#This Row],[Income]]</f>
        <v>2805.21</v>
      </c>
      <c r="N536" t="str">
        <f>IF(AND(Table13[[#This Row],[Category]]="pay",NOT(Table13[[#This Row],[Debits]]=0)),"bad","good")</f>
        <v>good</v>
      </c>
      <c r="O536" s="5"/>
    </row>
    <row r="537" spans="6:15" x14ac:dyDescent="0.3">
      <c r="F537">
        <f>MONTH(Table13[[#This Row],[Date  (DMY)]])</f>
        <v>1</v>
      </c>
      <c r="G537" s="2"/>
      <c r="L537" s="5"/>
      <c r="M537" s="4">
        <f>M536-Table13[[#This Row],[Debits]]+Table13[[#This Row],[Income]]</f>
        <v>2805.21</v>
      </c>
      <c r="N537" t="str">
        <f>IF(AND(Table13[[#This Row],[Category]]="pay",NOT(Table13[[#This Row],[Debits]]=0)),"bad","good")</f>
        <v>good</v>
      </c>
      <c r="O537" s="5"/>
    </row>
    <row r="538" spans="6:15" x14ac:dyDescent="0.3">
      <c r="F538">
        <f>MONTH(Table13[[#This Row],[Date  (DMY)]])</f>
        <v>1</v>
      </c>
      <c r="G538" s="2"/>
      <c r="L538" s="5"/>
      <c r="M538" s="4">
        <f>M537-Table13[[#This Row],[Debits]]+Table13[[#This Row],[Income]]</f>
        <v>2805.21</v>
      </c>
      <c r="N538" t="str">
        <f>IF(AND(Table13[[#This Row],[Category]]="pay",NOT(Table13[[#This Row],[Debits]]=0)),"bad","good")</f>
        <v>good</v>
      </c>
      <c r="O538" s="5"/>
    </row>
    <row r="539" spans="6:15" x14ac:dyDescent="0.3">
      <c r="F539">
        <f>MONTH(Table13[[#This Row],[Date  (DMY)]])</f>
        <v>1</v>
      </c>
      <c r="G539" s="2"/>
      <c r="L539" s="5"/>
      <c r="M539" s="4">
        <f>M538-Table13[[#This Row],[Debits]]+Table13[[#This Row],[Income]]</f>
        <v>2805.21</v>
      </c>
      <c r="N539" t="str">
        <f>IF(AND(Table13[[#This Row],[Category]]="pay",NOT(Table13[[#This Row],[Debits]]=0)),"bad","good")</f>
        <v>good</v>
      </c>
      <c r="O539" s="5"/>
    </row>
    <row r="540" spans="6:15" x14ac:dyDescent="0.3">
      <c r="F540">
        <f>MONTH(Table13[[#This Row],[Date  (DMY)]])</f>
        <v>1</v>
      </c>
      <c r="G540" s="2"/>
      <c r="L540" s="5"/>
      <c r="M540" s="4">
        <f>M539-Table13[[#This Row],[Debits]]+Table13[[#This Row],[Income]]</f>
        <v>2805.21</v>
      </c>
      <c r="N540" t="str">
        <f>IF(AND(Table13[[#This Row],[Category]]="pay",NOT(Table13[[#This Row],[Debits]]=0)),"bad","good")</f>
        <v>good</v>
      </c>
      <c r="O540" s="5"/>
    </row>
    <row r="541" spans="6:15" x14ac:dyDescent="0.3">
      <c r="F541">
        <f>MONTH(Table13[[#This Row],[Date  (DMY)]])</f>
        <v>1</v>
      </c>
      <c r="G541" s="2"/>
      <c r="L541" s="5"/>
      <c r="M541" s="4">
        <f>M540-Table13[[#This Row],[Debits]]+Table13[[#This Row],[Income]]</f>
        <v>2805.21</v>
      </c>
      <c r="N541" t="str">
        <f>IF(AND(Table13[[#This Row],[Category]]="pay",NOT(Table13[[#This Row],[Debits]]=0)),"bad","good")</f>
        <v>good</v>
      </c>
      <c r="O541" s="5"/>
    </row>
    <row r="542" spans="6:15" x14ac:dyDescent="0.3">
      <c r="F542">
        <f>MONTH(Table13[[#This Row],[Date  (DMY)]])</f>
        <v>1</v>
      </c>
      <c r="G542" s="2"/>
      <c r="L542" s="5"/>
      <c r="M542" s="4">
        <f>M541-Table13[[#This Row],[Debits]]+Table13[[#This Row],[Income]]</f>
        <v>2805.21</v>
      </c>
      <c r="N542" t="str">
        <f>IF(AND(Table13[[#This Row],[Category]]="pay",NOT(Table13[[#This Row],[Debits]]=0)),"bad","good")</f>
        <v>good</v>
      </c>
      <c r="O542" s="5"/>
    </row>
    <row r="543" spans="6:15" x14ac:dyDescent="0.3">
      <c r="F543">
        <f>MONTH(Table13[[#This Row],[Date  (DMY)]])</f>
        <v>1</v>
      </c>
      <c r="G543" s="2"/>
      <c r="L543" s="5"/>
      <c r="M543" s="4">
        <f>M542-Table13[[#This Row],[Debits]]+Table13[[#This Row],[Income]]</f>
        <v>2805.21</v>
      </c>
      <c r="N543" t="str">
        <f>IF(AND(Table13[[#This Row],[Category]]="pay",NOT(Table13[[#This Row],[Debits]]=0)),"bad","good")</f>
        <v>good</v>
      </c>
      <c r="O543" s="5"/>
    </row>
    <row r="544" spans="6:15" x14ac:dyDescent="0.3">
      <c r="F544">
        <f>MONTH(Table13[[#This Row],[Date  (DMY)]])</f>
        <v>1</v>
      </c>
      <c r="G544" s="2"/>
      <c r="L544" s="5"/>
      <c r="M544" s="4">
        <f>M543-Table13[[#This Row],[Debits]]+Table13[[#This Row],[Income]]</f>
        <v>2805.21</v>
      </c>
      <c r="N544" t="str">
        <f>IF(AND(Table13[[#This Row],[Category]]="pay",NOT(Table13[[#This Row],[Debits]]=0)),"bad","good")</f>
        <v>good</v>
      </c>
      <c r="O544" s="5"/>
    </row>
    <row r="545" spans="6:15" x14ac:dyDescent="0.3">
      <c r="F545">
        <f>MONTH(Table13[[#This Row],[Date  (DMY)]])</f>
        <v>1</v>
      </c>
      <c r="G545" s="2"/>
      <c r="L545" s="5"/>
      <c r="M545" s="4">
        <f>M544-Table13[[#This Row],[Debits]]+Table13[[#This Row],[Income]]</f>
        <v>2805.21</v>
      </c>
      <c r="N545" t="str">
        <f>IF(AND(Table13[[#This Row],[Category]]="pay",NOT(Table13[[#This Row],[Debits]]=0)),"bad","good")</f>
        <v>good</v>
      </c>
      <c r="O545" s="5"/>
    </row>
    <row r="546" spans="6:15" x14ac:dyDescent="0.3">
      <c r="F546">
        <f>MONTH(Table13[[#This Row],[Date  (DMY)]])</f>
        <v>1</v>
      </c>
      <c r="G546" s="2"/>
      <c r="L546" s="5"/>
      <c r="M546" s="4">
        <f>M545-Table13[[#This Row],[Debits]]+Table13[[#This Row],[Income]]</f>
        <v>2805.21</v>
      </c>
      <c r="N546" t="str">
        <f>IF(AND(Table13[[#This Row],[Category]]="pay",NOT(Table13[[#This Row],[Debits]]=0)),"bad","good")</f>
        <v>good</v>
      </c>
      <c r="O546" s="5"/>
    </row>
    <row r="547" spans="6:15" x14ac:dyDescent="0.3">
      <c r="F547">
        <f>MONTH(Table13[[#This Row],[Date  (DMY)]])</f>
        <v>1</v>
      </c>
      <c r="G547" s="2"/>
      <c r="L547" s="5"/>
      <c r="M547" s="4">
        <f>M546-Table13[[#This Row],[Debits]]+Table13[[#This Row],[Income]]</f>
        <v>2805.21</v>
      </c>
      <c r="N547" t="str">
        <f>IF(AND(Table13[[#This Row],[Category]]="pay",NOT(Table13[[#This Row],[Debits]]=0)),"bad","good")</f>
        <v>good</v>
      </c>
      <c r="O547" s="5"/>
    </row>
    <row r="548" spans="6:15" x14ac:dyDescent="0.3">
      <c r="F548">
        <f>MONTH(Table13[[#This Row],[Date  (DMY)]])</f>
        <v>1</v>
      </c>
      <c r="G548" s="2"/>
      <c r="L548" s="5"/>
      <c r="M548" s="4">
        <f>M547-Table13[[#This Row],[Debits]]+Table13[[#This Row],[Income]]</f>
        <v>2805.21</v>
      </c>
      <c r="N548" t="str">
        <f>IF(AND(Table13[[#This Row],[Category]]="pay",NOT(Table13[[#This Row],[Debits]]=0)),"bad","good")</f>
        <v>good</v>
      </c>
      <c r="O548" s="5"/>
    </row>
    <row r="549" spans="6:15" x14ac:dyDescent="0.3">
      <c r="F549">
        <f>MONTH(Table13[[#This Row],[Date  (DMY)]])</f>
        <v>1</v>
      </c>
      <c r="G549" s="2"/>
      <c r="L549" s="5"/>
      <c r="M549" s="4">
        <f>M548-Table13[[#This Row],[Debits]]+Table13[[#This Row],[Income]]</f>
        <v>2805.21</v>
      </c>
      <c r="N549" t="str">
        <f>IF(AND(Table13[[#This Row],[Category]]="pay",NOT(Table13[[#This Row],[Debits]]=0)),"bad","good")</f>
        <v>good</v>
      </c>
      <c r="O549" s="5"/>
    </row>
    <row r="550" spans="6:15" x14ac:dyDescent="0.3">
      <c r="F550">
        <f>MONTH(Table13[[#This Row],[Date  (DMY)]])</f>
        <v>1</v>
      </c>
      <c r="G550" s="2"/>
      <c r="L550" s="5"/>
      <c r="M550" s="4">
        <f>M549-Table13[[#This Row],[Debits]]+Table13[[#This Row],[Income]]</f>
        <v>2805.21</v>
      </c>
      <c r="N550" t="str">
        <f>IF(AND(Table13[[#This Row],[Category]]="pay",NOT(Table13[[#This Row],[Debits]]=0)),"bad","good")</f>
        <v>good</v>
      </c>
      <c r="O550" s="5"/>
    </row>
    <row r="551" spans="6:15" x14ac:dyDescent="0.3">
      <c r="F551">
        <f>MONTH(Table13[[#This Row],[Date  (DMY)]])</f>
        <v>1</v>
      </c>
      <c r="G551" s="2"/>
      <c r="L551" s="5"/>
      <c r="M551" s="4">
        <f>M550-Table13[[#This Row],[Debits]]+Table13[[#This Row],[Income]]</f>
        <v>2805.21</v>
      </c>
      <c r="N551" t="str">
        <f>IF(AND(Table13[[#This Row],[Category]]="pay",NOT(Table13[[#This Row],[Debits]]=0)),"bad","good")</f>
        <v>good</v>
      </c>
      <c r="O551" s="5"/>
    </row>
    <row r="552" spans="6:15" x14ac:dyDescent="0.3">
      <c r="F552">
        <f>MONTH(Table13[[#This Row],[Date  (DMY)]])</f>
        <v>1</v>
      </c>
      <c r="G552" s="2"/>
      <c r="L552" s="5"/>
      <c r="M552" s="4">
        <f>M551-Table13[[#This Row],[Debits]]+Table13[[#This Row],[Income]]</f>
        <v>2805.21</v>
      </c>
      <c r="N552" t="str">
        <f>IF(AND(Table13[[#This Row],[Category]]="pay",NOT(Table13[[#This Row],[Debits]]=0)),"bad","good")</f>
        <v>good</v>
      </c>
      <c r="O552" s="5"/>
    </row>
    <row r="553" spans="6:15" x14ac:dyDescent="0.3">
      <c r="F553">
        <f>MONTH(Table13[[#This Row],[Date  (DMY)]])</f>
        <v>1</v>
      </c>
      <c r="G553" s="2"/>
      <c r="L553" s="5"/>
      <c r="M553" s="4">
        <f>M552-Table13[[#This Row],[Debits]]+Table13[[#This Row],[Income]]</f>
        <v>2805.21</v>
      </c>
      <c r="N553" t="str">
        <f>IF(AND(Table13[[#This Row],[Category]]="pay",NOT(Table13[[#This Row],[Debits]]=0)),"bad","good")</f>
        <v>good</v>
      </c>
      <c r="O553" s="5"/>
    </row>
    <row r="554" spans="6:15" x14ac:dyDescent="0.3">
      <c r="F554">
        <f>MONTH(Table13[[#This Row],[Date  (DMY)]])</f>
        <v>1</v>
      </c>
      <c r="G554" s="2"/>
      <c r="L554" s="5"/>
      <c r="M554" s="4">
        <f>M553-Table13[[#This Row],[Debits]]+Table13[[#This Row],[Income]]</f>
        <v>2805.21</v>
      </c>
      <c r="N554" t="str">
        <f>IF(AND(Table13[[#This Row],[Category]]="pay",NOT(Table13[[#This Row],[Debits]]=0)),"bad","good")</f>
        <v>good</v>
      </c>
      <c r="O554" s="5"/>
    </row>
    <row r="555" spans="6:15" x14ac:dyDescent="0.3">
      <c r="F555">
        <f>MONTH(Table13[[#This Row],[Date  (DMY)]])</f>
        <v>1</v>
      </c>
      <c r="G555" s="2"/>
      <c r="L555" s="5"/>
      <c r="M555" s="4">
        <f>M554-Table13[[#This Row],[Debits]]+Table13[[#This Row],[Income]]</f>
        <v>2805.21</v>
      </c>
      <c r="N555" t="str">
        <f>IF(AND(Table13[[#This Row],[Category]]="pay",NOT(Table13[[#This Row],[Debits]]=0)),"bad","good")</f>
        <v>good</v>
      </c>
      <c r="O555" s="5"/>
    </row>
    <row r="556" spans="6:15" x14ac:dyDescent="0.3">
      <c r="F556">
        <f>MONTH(Table13[[#This Row],[Date  (DMY)]])</f>
        <v>1</v>
      </c>
      <c r="G556" s="2"/>
      <c r="L556" s="5"/>
      <c r="M556" s="4">
        <f>M555-Table13[[#This Row],[Debits]]+Table13[[#This Row],[Income]]</f>
        <v>2805.21</v>
      </c>
      <c r="N556" t="str">
        <f>IF(AND(Table13[[#This Row],[Category]]="pay",NOT(Table13[[#This Row],[Debits]]=0)),"bad","good")</f>
        <v>good</v>
      </c>
      <c r="O556" s="5"/>
    </row>
    <row r="557" spans="6:15" x14ac:dyDescent="0.3">
      <c r="F557">
        <f>MONTH(Table13[[#This Row],[Date  (DMY)]])</f>
        <v>1</v>
      </c>
      <c r="G557" s="2"/>
      <c r="L557" s="5"/>
      <c r="M557" s="4">
        <f>M556-Table13[[#This Row],[Debits]]+Table13[[#This Row],[Income]]</f>
        <v>2805.21</v>
      </c>
      <c r="N557" t="str">
        <f>IF(AND(Table13[[#This Row],[Category]]="pay",NOT(Table13[[#This Row],[Debits]]=0)),"bad","good")</f>
        <v>good</v>
      </c>
      <c r="O557" s="5"/>
    </row>
    <row r="558" spans="6:15" x14ac:dyDescent="0.3">
      <c r="F558">
        <f>MONTH(Table13[[#This Row],[Date  (DMY)]])</f>
        <v>1</v>
      </c>
      <c r="G558" s="2"/>
      <c r="L558" s="5"/>
      <c r="M558" s="4">
        <f>M557-Table13[[#This Row],[Debits]]+Table13[[#This Row],[Income]]</f>
        <v>2805.21</v>
      </c>
      <c r="N558" t="str">
        <f>IF(AND(Table13[[#This Row],[Category]]="pay",NOT(Table13[[#This Row],[Debits]]=0)),"bad","good")</f>
        <v>good</v>
      </c>
      <c r="O558" s="5"/>
    </row>
    <row r="559" spans="6:15" x14ac:dyDescent="0.3">
      <c r="F559">
        <f>MONTH(Table13[[#This Row],[Date  (DMY)]])</f>
        <v>1</v>
      </c>
      <c r="G559" s="2"/>
      <c r="L559" s="5"/>
      <c r="M559" s="4">
        <f>M558-Table13[[#This Row],[Debits]]+Table13[[#This Row],[Income]]</f>
        <v>2805.21</v>
      </c>
      <c r="N559" t="str">
        <f>IF(AND(Table13[[#This Row],[Category]]="pay",NOT(Table13[[#This Row],[Debits]]=0)),"bad","good")</f>
        <v>good</v>
      </c>
      <c r="O559" s="5"/>
    </row>
    <row r="560" spans="6:15" x14ac:dyDescent="0.3">
      <c r="F560">
        <f>MONTH(Table13[[#This Row],[Date  (DMY)]])</f>
        <v>1</v>
      </c>
      <c r="G560" s="2"/>
      <c r="L560" s="5"/>
      <c r="M560" s="4">
        <f>M559-Table13[[#This Row],[Debits]]+Table13[[#This Row],[Income]]</f>
        <v>2805.21</v>
      </c>
      <c r="N560" t="str">
        <f>IF(AND(Table13[[#This Row],[Category]]="pay",NOT(Table13[[#This Row],[Debits]]=0)),"bad","good")</f>
        <v>good</v>
      </c>
      <c r="O560" s="5"/>
    </row>
    <row r="561" spans="6:15" x14ac:dyDescent="0.3">
      <c r="F561">
        <f>MONTH(Table13[[#This Row],[Date  (DMY)]])</f>
        <v>1</v>
      </c>
      <c r="G561" s="2"/>
      <c r="L561" s="5"/>
      <c r="M561" s="4">
        <f>M560-Table13[[#This Row],[Debits]]+Table13[[#This Row],[Income]]</f>
        <v>2805.21</v>
      </c>
      <c r="N561" t="str">
        <f>IF(AND(Table13[[#This Row],[Category]]="pay",NOT(Table13[[#This Row],[Debits]]=0)),"bad","good")</f>
        <v>good</v>
      </c>
      <c r="O561" s="5"/>
    </row>
    <row r="562" spans="6:15" x14ac:dyDescent="0.3">
      <c r="F562">
        <f>MONTH(Table13[[#This Row],[Date  (DMY)]])</f>
        <v>1</v>
      </c>
      <c r="G562" s="2"/>
      <c r="L562" s="5"/>
      <c r="M562" s="4">
        <f>M561-Table13[[#This Row],[Debits]]+Table13[[#This Row],[Income]]</f>
        <v>2805.21</v>
      </c>
      <c r="N562" t="str">
        <f>IF(AND(Table13[[#This Row],[Category]]="pay",NOT(Table13[[#This Row],[Debits]]=0)),"bad","good")</f>
        <v>good</v>
      </c>
      <c r="O562" s="5"/>
    </row>
    <row r="563" spans="6:15" x14ac:dyDescent="0.3">
      <c r="F563">
        <f>MONTH(Table13[[#This Row],[Date  (DMY)]])</f>
        <v>1</v>
      </c>
      <c r="G563" s="2"/>
      <c r="L563" s="5"/>
      <c r="M563" s="4">
        <f>M562-Table13[[#This Row],[Debits]]+Table13[[#This Row],[Income]]</f>
        <v>2805.21</v>
      </c>
      <c r="N563" t="str">
        <f>IF(AND(Table13[[#This Row],[Category]]="pay",NOT(Table13[[#This Row],[Debits]]=0)),"bad","good")</f>
        <v>good</v>
      </c>
      <c r="O563" s="5"/>
    </row>
    <row r="564" spans="6:15" x14ac:dyDescent="0.3">
      <c r="F564">
        <f>MONTH(Table13[[#This Row],[Date  (DMY)]])</f>
        <v>1</v>
      </c>
      <c r="G564" s="2"/>
      <c r="L564" s="5"/>
      <c r="M564" s="4">
        <f>M563-Table13[[#This Row],[Debits]]+Table13[[#This Row],[Income]]</f>
        <v>2805.21</v>
      </c>
      <c r="N564" t="str">
        <f>IF(AND(Table13[[#This Row],[Category]]="pay",NOT(Table13[[#This Row],[Debits]]=0)),"bad","good")</f>
        <v>good</v>
      </c>
      <c r="O564" s="5"/>
    </row>
    <row r="565" spans="6:15" x14ac:dyDescent="0.3">
      <c r="F565">
        <f>MONTH(Table13[[#This Row],[Date  (DMY)]])</f>
        <v>1</v>
      </c>
      <c r="G565" s="2"/>
      <c r="L565" s="5"/>
      <c r="M565" s="4">
        <f>M564-Table13[[#This Row],[Debits]]+Table13[[#This Row],[Income]]</f>
        <v>2805.21</v>
      </c>
      <c r="N565" t="str">
        <f>IF(AND(Table13[[#This Row],[Category]]="pay",NOT(Table13[[#This Row],[Debits]]=0)),"bad","good")</f>
        <v>good</v>
      </c>
      <c r="O565" s="5"/>
    </row>
    <row r="566" spans="6:15" x14ac:dyDescent="0.3">
      <c r="F566">
        <f>MONTH(Table13[[#This Row],[Date  (DMY)]])</f>
        <v>1</v>
      </c>
      <c r="G566" s="2"/>
      <c r="L566" s="5"/>
      <c r="M566" s="4">
        <f>M565-Table13[[#This Row],[Debits]]+Table13[[#This Row],[Income]]</f>
        <v>2805.21</v>
      </c>
      <c r="N566" t="str">
        <f>IF(AND(Table13[[#This Row],[Category]]="pay",NOT(Table13[[#This Row],[Debits]]=0)),"bad","good")</f>
        <v>good</v>
      </c>
      <c r="O566" s="5"/>
    </row>
    <row r="567" spans="6:15" x14ac:dyDescent="0.3">
      <c r="F567">
        <f>MONTH(Table13[[#This Row],[Date  (DMY)]])</f>
        <v>1</v>
      </c>
      <c r="G567" s="2"/>
      <c r="L567" s="5"/>
      <c r="M567" s="4">
        <f>M566-Table13[[#This Row],[Debits]]+Table13[[#This Row],[Income]]</f>
        <v>2805.21</v>
      </c>
      <c r="N567" t="str">
        <f>IF(AND(Table13[[#This Row],[Category]]="pay",NOT(Table13[[#This Row],[Debits]]=0)),"bad","good")</f>
        <v>good</v>
      </c>
      <c r="O567" s="5"/>
    </row>
    <row r="568" spans="6:15" x14ac:dyDescent="0.3">
      <c r="F568">
        <f>MONTH(Table13[[#This Row],[Date  (DMY)]])</f>
        <v>1</v>
      </c>
      <c r="G568" s="2"/>
      <c r="L568" s="5"/>
      <c r="M568" s="4">
        <f>M567-Table13[[#This Row],[Debits]]+Table13[[#This Row],[Income]]</f>
        <v>2805.21</v>
      </c>
      <c r="N568" t="str">
        <f>IF(AND(Table13[[#This Row],[Category]]="pay",NOT(Table13[[#This Row],[Debits]]=0)),"bad","good")</f>
        <v>good</v>
      </c>
      <c r="O568" s="5"/>
    </row>
    <row r="569" spans="6:15" x14ac:dyDescent="0.3">
      <c r="F569">
        <f>MONTH(Table13[[#This Row],[Date  (DMY)]])</f>
        <v>1</v>
      </c>
      <c r="G569" s="2"/>
      <c r="L569" s="5"/>
      <c r="M569" s="4">
        <f>M568-Table13[[#This Row],[Debits]]+Table13[[#This Row],[Income]]</f>
        <v>2805.21</v>
      </c>
      <c r="N569" t="str">
        <f>IF(AND(Table13[[#This Row],[Category]]="pay",NOT(Table13[[#This Row],[Debits]]=0)),"bad","good")</f>
        <v>good</v>
      </c>
      <c r="O569" s="5"/>
    </row>
    <row r="570" spans="6:15" x14ac:dyDescent="0.3">
      <c r="F570">
        <f>MONTH(Table13[[#This Row],[Date  (DMY)]])</f>
        <v>1</v>
      </c>
      <c r="G570" s="2"/>
      <c r="L570" s="5"/>
      <c r="M570" s="4">
        <f>M569-Table13[[#This Row],[Debits]]+Table13[[#This Row],[Income]]</f>
        <v>2805.21</v>
      </c>
      <c r="N570" t="str">
        <f>IF(AND(Table13[[#This Row],[Category]]="pay",NOT(Table13[[#This Row],[Debits]]=0)),"bad","good")</f>
        <v>good</v>
      </c>
      <c r="O570" s="5"/>
    </row>
    <row r="571" spans="6:15" x14ac:dyDescent="0.3">
      <c r="F571">
        <f>MONTH(Table13[[#This Row],[Date  (DMY)]])</f>
        <v>1</v>
      </c>
      <c r="G571" s="2"/>
      <c r="L571" s="5"/>
      <c r="M571" s="4">
        <f>M570-Table13[[#This Row],[Debits]]+Table13[[#This Row],[Income]]</f>
        <v>2805.21</v>
      </c>
      <c r="N571" t="str">
        <f>IF(AND(Table13[[#This Row],[Category]]="pay",NOT(Table13[[#This Row],[Debits]]=0)),"bad","good")</f>
        <v>good</v>
      </c>
      <c r="O571" s="5"/>
    </row>
    <row r="572" spans="6:15" x14ac:dyDescent="0.3">
      <c r="F572">
        <f>MONTH(Table13[[#This Row],[Date  (DMY)]])</f>
        <v>1</v>
      </c>
      <c r="G572" s="2"/>
      <c r="L572" s="5"/>
      <c r="M572" s="4">
        <f>M571-Table13[[#This Row],[Debits]]+Table13[[#This Row],[Income]]</f>
        <v>2805.21</v>
      </c>
      <c r="N572" t="str">
        <f>IF(AND(Table13[[#This Row],[Category]]="pay",NOT(Table13[[#This Row],[Debits]]=0)),"bad","good")</f>
        <v>good</v>
      </c>
      <c r="O572" s="5"/>
    </row>
    <row r="573" spans="6:15" x14ac:dyDescent="0.3">
      <c r="F573">
        <f>MONTH(Table13[[#This Row],[Date  (DMY)]])</f>
        <v>1</v>
      </c>
      <c r="G573" s="2"/>
      <c r="L573" s="5"/>
      <c r="M573" s="4">
        <f>M572-Table13[[#This Row],[Debits]]+Table13[[#This Row],[Income]]</f>
        <v>2805.21</v>
      </c>
      <c r="N573" t="str">
        <f>IF(AND(Table13[[#This Row],[Category]]="pay",NOT(Table13[[#This Row],[Debits]]=0)),"bad","good")</f>
        <v>good</v>
      </c>
      <c r="O573" s="5"/>
    </row>
    <row r="574" spans="6:15" x14ac:dyDescent="0.3">
      <c r="F574">
        <f>MONTH(Table13[[#This Row],[Date  (DMY)]])</f>
        <v>1</v>
      </c>
      <c r="G574" s="2"/>
      <c r="L574" s="5"/>
      <c r="M574" s="4">
        <f>M573-Table13[[#This Row],[Debits]]+Table13[[#This Row],[Income]]</f>
        <v>2805.21</v>
      </c>
      <c r="N574" t="str">
        <f>IF(AND(Table13[[#This Row],[Category]]="pay",NOT(Table13[[#This Row],[Debits]]=0)),"bad","good")</f>
        <v>good</v>
      </c>
      <c r="O574" s="5"/>
    </row>
    <row r="575" spans="6:15" x14ac:dyDescent="0.3">
      <c r="F575">
        <f>MONTH(Table13[[#This Row],[Date  (DMY)]])</f>
        <v>1</v>
      </c>
      <c r="G575" s="2"/>
      <c r="L575" s="5"/>
      <c r="M575" s="4">
        <f>M574-Table13[[#This Row],[Debits]]+Table13[[#This Row],[Income]]</f>
        <v>2805.21</v>
      </c>
      <c r="N575" t="str">
        <f>IF(AND(Table13[[#This Row],[Category]]="pay",NOT(Table13[[#This Row],[Debits]]=0)),"bad","good")</f>
        <v>good</v>
      </c>
      <c r="O575" s="5"/>
    </row>
    <row r="576" spans="6:15" x14ac:dyDescent="0.3">
      <c r="F576">
        <f>MONTH(Table13[[#This Row],[Date  (DMY)]])</f>
        <v>1</v>
      </c>
      <c r="G576" s="2"/>
      <c r="L576" s="5"/>
      <c r="M576" s="4">
        <f>M575-Table13[[#This Row],[Debits]]+Table13[[#This Row],[Income]]</f>
        <v>2805.21</v>
      </c>
      <c r="N576" t="str">
        <f>IF(AND(Table13[[#This Row],[Category]]="pay",NOT(Table13[[#This Row],[Debits]]=0)),"bad","good")</f>
        <v>good</v>
      </c>
      <c r="O576" s="5"/>
    </row>
    <row r="577" spans="6:15" x14ac:dyDescent="0.3">
      <c r="F577">
        <f>MONTH(Table13[[#This Row],[Date  (DMY)]])</f>
        <v>1</v>
      </c>
      <c r="G577" s="2"/>
      <c r="L577" s="5"/>
      <c r="M577" s="4">
        <f>M576-Table13[[#This Row],[Debits]]+Table13[[#This Row],[Income]]</f>
        <v>2805.21</v>
      </c>
      <c r="N577" t="str">
        <f>IF(AND(Table13[[#This Row],[Category]]="pay",NOT(Table13[[#This Row],[Debits]]=0)),"bad","good")</f>
        <v>good</v>
      </c>
      <c r="O577" s="5"/>
    </row>
    <row r="578" spans="6:15" x14ac:dyDescent="0.3">
      <c r="F578">
        <f>MONTH(Table13[[#This Row],[Date  (DMY)]])</f>
        <v>1</v>
      </c>
      <c r="G578" s="2"/>
      <c r="L578" s="5"/>
      <c r="M578" s="4">
        <f>M577-Table13[[#This Row],[Debits]]+Table13[[#This Row],[Income]]</f>
        <v>2805.21</v>
      </c>
      <c r="N578" t="str">
        <f>IF(AND(Table13[[#This Row],[Category]]="pay",NOT(Table13[[#This Row],[Debits]]=0)),"bad","good")</f>
        <v>good</v>
      </c>
      <c r="O578" s="5"/>
    </row>
    <row r="579" spans="6:15" x14ac:dyDescent="0.3">
      <c r="F579">
        <f>MONTH(Table13[[#This Row],[Date  (DMY)]])</f>
        <v>1</v>
      </c>
      <c r="G579" s="2"/>
      <c r="L579" s="5"/>
      <c r="M579" s="4">
        <f>M578-Table13[[#This Row],[Debits]]+Table13[[#This Row],[Income]]</f>
        <v>2805.21</v>
      </c>
      <c r="N579" t="str">
        <f>IF(AND(Table13[[#This Row],[Category]]="pay",NOT(Table13[[#This Row],[Debits]]=0)),"bad","good")</f>
        <v>good</v>
      </c>
      <c r="O579" s="5"/>
    </row>
    <row r="580" spans="6:15" x14ac:dyDescent="0.3">
      <c r="F580">
        <f>MONTH(Table13[[#This Row],[Date  (DMY)]])</f>
        <v>1</v>
      </c>
      <c r="G580" s="2"/>
      <c r="L580" s="5"/>
      <c r="M580" s="4">
        <f>M579-Table13[[#This Row],[Debits]]+Table13[[#This Row],[Income]]</f>
        <v>2805.21</v>
      </c>
      <c r="N580" t="str">
        <f>IF(AND(Table13[[#This Row],[Category]]="pay",NOT(Table13[[#This Row],[Debits]]=0)),"bad","good")</f>
        <v>good</v>
      </c>
      <c r="O580" s="5"/>
    </row>
    <row r="581" spans="6:15" x14ac:dyDescent="0.3">
      <c r="F581">
        <f>MONTH(Table13[[#This Row],[Date  (DMY)]])</f>
        <v>1</v>
      </c>
      <c r="G581" s="2"/>
      <c r="L581" s="5"/>
      <c r="M581" s="4">
        <f>M580-Table13[[#This Row],[Debits]]+Table13[[#This Row],[Income]]</f>
        <v>2805.21</v>
      </c>
      <c r="N581" t="str">
        <f>IF(AND(Table13[[#This Row],[Category]]="pay",NOT(Table13[[#This Row],[Debits]]=0)),"bad","good")</f>
        <v>good</v>
      </c>
      <c r="O581" s="5"/>
    </row>
    <row r="582" spans="6:15" x14ac:dyDescent="0.3">
      <c r="F582">
        <f>MONTH(Table13[[#This Row],[Date  (DMY)]])</f>
        <v>1</v>
      </c>
      <c r="G582" s="2"/>
      <c r="L582" s="5"/>
      <c r="M582" s="4">
        <f>M581-Table13[[#This Row],[Debits]]+Table13[[#This Row],[Income]]</f>
        <v>2805.21</v>
      </c>
      <c r="N582" t="str">
        <f>IF(AND(Table13[[#This Row],[Category]]="pay",NOT(Table13[[#This Row],[Debits]]=0)),"bad","good")</f>
        <v>good</v>
      </c>
      <c r="O582" s="5"/>
    </row>
    <row r="583" spans="6:15" x14ac:dyDescent="0.3">
      <c r="F583">
        <f>MONTH(Table13[[#This Row],[Date  (DMY)]])</f>
        <v>1</v>
      </c>
      <c r="G583" s="2"/>
      <c r="L583" s="5"/>
      <c r="M583" s="4">
        <f>M582-Table13[[#This Row],[Debits]]+Table13[[#This Row],[Income]]</f>
        <v>2805.21</v>
      </c>
      <c r="N583" t="str">
        <f>IF(AND(Table13[[#This Row],[Category]]="pay",NOT(Table13[[#This Row],[Debits]]=0)),"bad","good")</f>
        <v>good</v>
      </c>
      <c r="O583" s="5"/>
    </row>
    <row r="584" spans="6:15" x14ac:dyDescent="0.3">
      <c r="F584">
        <f>MONTH(Table13[[#This Row],[Date  (DMY)]])</f>
        <v>1</v>
      </c>
      <c r="G584" s="2"/>
      <c r="L584" s="5"/>
      <c r="M584" s="4">
        <f>M583-Table13[[#This Row],[Debits]]+Table13[[#This Row],[Income]]</f>
        <v>2805.21</v>
      </c>
      <c r="N584" t="str">
        <f>IF(AND(Table13[[#This Row],[Category]]="pay",NOT(Table13[[#This Row],[Debits]]=0)),"bad","good")</f>
        <v>good</v>
      </c>
      <c r="O584" s="5"/>
    </row>
    <row r="585" spans="6:15" x14ac:dyDescent="0.3">
      <c r="F585">
        <f>MONTH(Table13[[#This Row],[Date  (DMY)]])</f>
        <v>1</v>
      </c>
      <c r="G585" s="2"/>
      <c r="L585" s="5"/>
      <c r="M585" s="4">
        <f>M584-Table13[[#This Row],[Debits]]+Table13[[#This Row],[Income]]</f>
        <v>2805.21</v>
      </c>
      <c r="N585" t="str">
        <f>IF(AND(Table13[[#This Row],[Category]]="pay",NOT(Table13[[#This Row],[Debits]]=0)),"bad","good")</f>
        <v>good</v>
      </c>
      <c r="O585" s="5"/>
    </row>
    <row r="586" spans="6:15" x14ac:dyDescent="0.3">
      <c r="F586">
        <f>MONTH(Table13[[#This Row],[Date  (DMY)]])</f>
        <v>1</v>
      </c>
      <c r="G586" s="2"/>
      <c r="L586" s="5"/>
      <c r="M586" s="4">
        <f>M585-Table13[[#This Row],[Debits]]+Table13[[#This Row],[Income]]</f>
        <v>2805.21</v>
      </c>
      <c r="N586" t="str">
        <f>IF(AND(Table13[[#This Row],[Category]]="pay",NOT(Table13[[#This Row],[Debits]]=0)),"bad","good")</f>
        <v>good</v>
      </c>
      <c r="O586" s="5"/>
    </row>
    <row r="587" spans="6:15" x14ac:dyDescent="0.3">
      <c r="F587">
        <f>MONTH(Table13[[#This Row],[Date  (DMY)]])</f>
        <v>1</v>
      </c>
      <c r="G587" s="2"/>
      <c r="L587" s="5"/>
      <c r="M587" s="4">
        <f>M586-Table13[[#This Row],[Debits]]+Table13[[#This Row],[Income]]</f>
        <v>2805.21</v>
      </c>
      <c r="N587" t="str">
        <f>IF(AND(Table13[[#This Row],[Category]]="pay",NOT(Table13[[#This Row],[Debits]]=0)),"bad","good")</f>
        <v>good</v>
      </c>
      <c r="O587" s="5"/>
    </row>
    <row r="588" spans="6:15" x14ac:dyDescent="0.3">
      <c r="F588">
        <f>MONTH(Table13[[#This Row],[Date  (DMY)]])</f>
        <v>1</v>
      </c>
      <c r="G588" s="2"/>
      <c r="L588" s="5"/>
      <c r="M588" s="4">
        <f>M587-Table13[[#This Row],[Debits]]+Table13[[#This Row],[Income]]</f>
        <v>2805.21</v>
      </c>
      <c r="N588" t="str">
        <f>IF(AND(Table13[[#This Row],[Category]]="pay",NOT(Table13[[#This Row],[Debits]]=0)),"bad","good")</f>
        <v>good</v>
      </c>
      <c r="O588" s="5"/>
    </row>
    <row r="589" spans="6:15" x14ac:dyDescent="0.3">
      <c r="F589">
        <f>MONTH(Table13[[#This Row],[Date  (DMY)]])</f>
        <v>1</v>
      </c>
      <c r="G589" s="2"/>
      <c r="L589" s="5"/>
      <c r="M589" s="4">
        <f>M588-Table13[[#This Row],[Debits]]+Table13[[#This Row],[Income]]</f>
        <v>2805.21</v>
      </c>
      <c r="N589" t="str">
        <f>IF(AND(Table13[[#This Row],[Category]]="pay",NOT(Table13[[#This Row],[Debits]]=0)),"bad","good")</f>
        <v>good</v>
      </c>
      <c r="O589" s="5"/>
    </row>
    <row r="590" spans="6:15" x14ac:dyDescent="0.3">
      <c r="F590">
        <f>MONTH(Table13[[#This Row],[Date  (DMY)]])</f>
        <v>1</v>
      </c>
      <c r="G590" s="2"/>
      <c r="L590" s="5"/>
      <c r="M590" s="4">
        <f>M589-Table13[[#This Row],[Debits]]+Table13[[#This Row],[Income]]</f>
        <v>2805.21</v>
      </c>
      <c r="N590" t="str">
        <f>IF(AND(Table13[[#This Row],[Category]]="pay",NOT(Table13[[#This Row],[Debits]]=0)),"bad","good")</f>
        <v>good</v>
      </c>
      <c r="O590" s="5"/>
    </row>
    <row r="591" spans="6:15" x14ac:dyDescent="0.3">
      <c r="F591">
        <f>MONTH(Table13[[#This Row],[Date  (DMY)]])</f>
        <v>1</v>
      </c>
      <c r="G591" s="2"/>
      <c r="L591" s="5"/>
      <c r="M591" s="4">
        <f>M590-Table13[[#This Row],[Debits]]+Table13[[#This Row],[Income]]</f>
        <v>2805.21</v>
      </c>
      <c r="N591" t="str">
        <f>IF(AND(Table13[[#This Row],[Category]]="pay",NOT(Table13[[#This Row],[Debits]]=0)),"bad","good")</f>
        <v>good</v>
      </c>
      <c r="O591" s="5"/>
    </row>
    <row r="592" spans="6:15" x14ac:dyDescent="0.3">
      <c r="F592">
        <f>MONTH(Table13[[#This Row],[Date  (DMY)]])</f>
        <v>1</v>
      </c>
      <c r="G592" s="2"/>
      <c r="L592" s="5"/>
      <c r="M592" s="4">
        <f>M591-Table13[[#This Row],[Debits]]+Table13[[#This Row],[Income]]</f>
        <v>2805.21</v>
      </c>
      <c r="N592" t="str">
        <f>IF(AND(Table13[[#This Row],[Category]]="pay",NOT(Table13[[#This Row],[Debits]]=0)),"bad","good")</f>
        <v>good</v>
      </c>
      <c r="O592" s="5"/>
    </row>
    <row r="593" spans="6:15" x14ac:dyDescent="0.3">
      <c r="F593">
        <f>MONTH(Table13[[#This Row],[Date  (DMY)]])</f>
        <v>1</v>
      </c>
      <c r="G593" s="2"/>
      <c r="L593" s="5"/>
      <c r="M593" s="4">
        <f>M592-Table13[[#This Row],[Debits]]+Table13[[#This Row],[Income]]</f>
        <v>2805.21</v>
      </c>
      <c r="N593" t="str">
        <f>IF(AND(Table13[[#This Row],[Category]]="pay",NOT(Table13[[#This Row],[Debits]]=0)),"bad","good")</f>
        <v>good</v>
      </c>
      <c r="O593" s="5"/>
    </row>
    <row r="594" spans="6:15" x14ac:dyDescent="0.3">
      <c r="F594">
        <f>MONTH(Table13[[#This Row],[Date  (DMY)]])</f>
        <v>1</v>
      </c>
      <c r="G594" s="2"/>
      <c r="L594" s="5"/>
      <c r="M594" s="4">
        <f>M593-Table13[[#This Row],[Debits]]+Table13[[#This Row],[Income]]</f>
        <v>2805.21</v>
      </c>
      <c r="N594" t="str">
        <f>IF(AND(Table13[[#This Row],[Category]]="pay",NOT(Table13[[#This Row],[Debits]]=0)),"bad","good")</f>
        <v>good</v>
      </c>
      <c r="O594" s="5"/>
    </row>
    <row r="595" spans="6:15" x14ac:dyDescent="0.3">
      <c r="F595">
        <f>MONTH(Table13[[#This Row],[Date  (DMY)]])</f>
        <v>1</v>
      </c>
      <c r="G595" s="2"/>
      <c r="L595" s="5"/>
      <c r="M595" s="4">
        <f>M594-Table13[[#This Row],[Debits]]+Table13[[#This Row],[Income]]</f>
        <v>2805.21</v>
      </c>
      <c r="N595" t="str">
        <f>IF(AND(Table13[[#This Row],[Category]]="pay",NOT(Table13[[#This Row],[Debits]]=0)),"bad","good")</f>
        <v>good</v>
      </c>
      <c r="O595" s="5"/>
    </row>
    <row r="596" spans="6:15" x14ac:dyDescent="0.3">
      <c r="F596">
        <f>MONTH(Table13[[#This Row],[Date  (DMY)]])</f>
        <v>1</v>
      </c>
      <c r="G596" s="2"/>
      <c r="L596" s="5"/>
      <c r="M596" s="4">
        <f>M595-Table13[[#This Row],[Debits]]+Table13[[#This Row],[Income]]</f>
        <v>2805.21</v>
      </c>
      <c r="N596" t="str">
        <f>IF(AND(Table13[[#This Row],[Category]]="pay",NOT(Table13[[#This Row],[Debits]]=0)),"bad","good")</f>
        <v>good</v>
      </c>
      <c r="O596" s="5"/>
    </row>
    <row r="597" spans="6:15" x14ac:dyDescent="0.3">
      <c r="F597">
        <f>MONTH(Table13[[#This Row],[Date  (DMY)]])</f>
        <v>1</v>
      </c>
      <c r="G597" s="2"/>
      <c r="L597" s="5"/>
      <c r="M597" s="4">
        <f>M596-Table13[[#This Row],[Debits]]+Table13[[#This Row],[Income]]</f>
        <v>2805.21</v>
      </c>
      <c r="N597" t="str">
        <f>IF(AND(Table13[[#This Row],[Category]]="pay",NOT(Table13[[#This Row],[Debits]]=0)),"bad","good")</f>
        <v>good</v>
      </c>
      <c r="O597" s="5"/>
    </row>
    <row r="598" spans="6:15" x14ac:dyDescent="0.3">
      <c r="F598">
        <f>MONTH(Table13[[#This Row],[Date  (DMY)]])</f>
        <v>1</v>
      </c>
      <c r="G598" s="2"/>
      <c r="L598" s="5"/>
      <c r="M598" s="4">
        <f>M597-Table13[[#This Row],[Debits]]+Table13[[#This Row],[Income]]</f>
        <v>2805.21</v>
      </c>
      <c r="N598" t="str">
        <f>IF(AND(Table13[[#This Row],[Category]]="pay",NOT(Table13[[#This Row],[Debits]]=0)),"bad","good")</f>
        <v>good</v>
      </c>
      <c r="O598" s="5"/>
    </row>
    <row r="599" spans="6:15" x14ac:dyDescent="0.3">
      <c r="F599">
        <f>MONTH(Table13[[#This Row],[Date  (DMY)]])</f>
        <v>1</v>
      </c>
      <c r="G599" s="2"/>
      <c r="L599" s="5"/>
      <c r="M599" s="4">
        <f>M598-Table13[[#This Row],[Debits]]+Table13[[#This Row],[Income]]</f>
        <v>2805.21</v>
      </c>
      <c r="N599" t="str">
        <f>IF(AND(Table13[[#This Row],[Category]]="pay",NOT(Table13[[#This Row],[Debits]]=0)),"bad","good")</f>
        <v>good</v>
      </c>
      <c r="O599" s="5"/>
    </row>
    <row r="600" spans="6:15" x14ac:dyDescent="0.3">
      <c r="F600">
        <f>MONTH(Table13[[#This Row],[Date  (DMY)]])</f>
        <v>1</v>
      </c>
      <c r="G600" s="2"/>
      <c r="L600" s="5"/>
      <c r="M600" s="4">
        <f>M599-Table13[[#This Row],[Debits]]+Table13[[#This Row],[Income]]</f>
        <v>2805.21</v>
      </c>
      <c r="N600" t="str">
        <f>IF(AND(Table13[[#This Row],[Category]]="pay",NOT(Table13[[#This Row],[Debits]]=0)),"bad","good")</f>
        <v>good</v>
      </c>
      <c r="O600" s="5"/>
    </row>
    <row r="601" spans="6:15" x14ac:dyDescent="0.3">
      <c r="F601">
        <f>MONTH(Table13[[#This Row],[Date  (DMY)]])</f>
        <v>1</v>
      </c>
      <c r="G601" s="2"/>
      <c r="L601" s="5"/>
      <c r="M601" s="4">
        <f>M600-Table13[[#This Row],[Debits]]+Table13[[#This Row],[Income]]</f>
        <v>2805.21</v>
      </c>
      <c r="N601" t="str">
        <f>IF(AND(Table13[[#This Row],[Category]]="pay",NOT(Table13[[#This Row],[Debits]]=0)),"bad","good")</f>
        <v>good</v>
      </c>
      <c r="O601" s="5"/>
    </row>
    <row r="602" spans="6:15" x14ac:dyDescent="0.3">
      <c r="F602">
        <f>MONTH(Table13[[#This Row],[Date  (DMY)]])</f>
        <v>1</v>
      </c>
      <c r="G602" s="2"/>
      <c r="L602" s="5"/>
      <c r="M602" s="4">
        <f>M601-Table13[[#This Row],[Debits]]+Table13[[#This Row],[Income]]</f>
        <v>2805.21</v>
      </c>
      <c r="N602" t="str">
        <f>IF(AND(Table13[[#This Row],[Category]]="pay",NOT(Table13[[#This Row],[Debits]]=0)),"bad","good")</f>
        <v>good</v>
      </c>
      <c r="O602" s="5"/>
    </row>
    <row r="603" spans="6:15" x14ac:dyDescent="0.3">
      <c r="F603">
        <f>MONTH(Table13[[#This Row],[Date  (DMY)]])</f>
        <v>1</v>
      </c>
      <c r="G603" s="2"/>
      <c r="L603" s="5"/>
      <c r="M603" s="4">
        <f>M602-Table13[[#This Row],[Debits]]+Table13[[#This Row],[Income]]</f>
        <v>2805.21</v>
      </c>
      <c r="N603" t="str">
        <f>IF(AND(Table13[[#This Row],[Category]]="pay",NOT(Table13[[#This Row],[Debits]]=0)),"bad","good")</f>
        <v>good</v>
      </c>
      <c r="O603" s="5"/>
    </row>
    <row r="604" spans="6:15" x14ac:dyDescent="0.3">
      <c r="F604">
        <f>MONTH(Table13[[#This Row],[Date  (DMY)]])</f>
        <v>1</v>
      </c>
      <c r="G604" s="2"/>
      <c r="L604" s="5"/>
      <c r="M604" s="4">
        <f>M603-Table13[[#This Row],[Debits]]+Table13[[#This Row],[Income]]</f>
        <v>2805.21</v>
      </c>
      <c r="N604" t="str">
        <f>IF(AND(Table13[[#This Row],[Category]]="pay",NOT(Table13[[#This Row],[Debits]]=0)),"bad","good")</f>
        <v>good</v>
      </c>
      <c r="O604" s="5"/>
    </row>
    <row r="605" spans="6:15" x14ac:dyDescent="0.3">
      <c r="F605">
        <f>MONTH(Table13[[#This Row],[Date  (DMY)]])</f>
        <v>1</v>
      </c>
      <c r="G605" s="2"/>
      <c r="L605" s="5"/>
      <c r="M605" s="4">
        <f>M604-Table13[[#This Row],[Debits]]+Table13[[#This Row],[Income]]</f>
        <v>2805.21</v>
      </c>
      <c r="N605" t="str">
        <f>IF(AND(Table13[[#This Row],[Category]]="pay",NOT(Table13[[#This Row],[Debits]]=0)),"bad","good")</f>
        <v>good</v>
      </c>
      <c r="O605" s="5"/>
    </row>
    <row r="606" spans="6:15" x14ac:dyDescent="0.3">
      <c r="F606">
        <f>MONTH(Table13[[#This Row],[Date  (DMY)]])</f>
        <v>1</v>
      </c>
      <c r="G606" s="2"/>
      <c r="L606" s="5"/>
      <c r="M606" s="4">
        <f>M605-Table13[[#This Row],[Debits]]+Table13[[#This Row],[Income]]</f>
        <v>2805.21</v>
      </c>
      <c r="N606" t="str">
        <f>IF(AND(Table13[[#This Row],[Category]]="pay",NOT(Table13[[#This Row],[Debits]]=0)),"bad","good")</f>
        <v>good</v>
      </c>
      <c r="O606" s="5"/>
    </row>
    <row r="607" spans="6:15" x14ac:dyDescent="0.3">
      <c r="F607">
        <f>MONTH(Table13[[#This Row],[Date  (DMY)]])</f>
        <v>1</v>
      </c>
      <c r="G607" s="2"/>
      <c r="L607" s="5"/>
      <c r="M607" s="4">
        <f>M606-Table13[[#This Row],[Debits]]+Table13[[#This Row],[Income]]</f>
        <v>2805.21</v>
      </c>
      <c r="N607" t="str">
        <f>IF(AND(Table13[[#This Row],[Category]]="pay",NOT(Table13[[#This Row],[Debits]]=0)),"bad","good")</f>
        <v>good</v>
      </c>
      <c r="O607" s="5"/>
    </row>
    <row r="608" spans="6:15" x14ac:dyDescent="0.3">
      <c r="F608">
        <f>MONTH(Table13[[#This Row],[Date  (DMY)]])</f>
        <v>1</v>
      </c>
      <c r="G608" s="2"/>
      <c r="L608" s="5"/>
      <c r="M608" s="4">
        <f>M607-Table13[[#This Row],[Debits]]+Table13[[#This Row],[Income]]</f>
        <v>2805.21</v>
      </c>
      <c r="N608" t="str">
        <f>IF(AND(Table13[[#This Row],[Category]]="pay",NOT(Table13[[#This Row],[Debits]]=0)),"bad","good")</f>
        <v>good</v>
      </c>
      <c r="O608" s="5"/>
    </row>
    <row r="609" spans="6:15" x14ac:dyDescent="0.3">
      <c r="F609">
        <f>MONTH(Table13[[#This Row],[Date  (DMY)]])</f>
        <v>1</v>
      </c>
      <c r="G609" s="2"/>
      <c r="L609" s="5"/>
      <c r="M609" s="4">
        <f>M608-Table13[[#This Row],[Debits]]+Table13[[#This Row],[Income]]</f>
        <v>2805.21</v>
      </c>
      <c r="N609" t="str">
        <f>IF(AND(Table13[[#This Row],[Category]]="pay",NOT(Table13[[#This Row],[Debits]]=0)),"bad","good")</f>
        <v>good</v>
      </c>
      <c r="O609" s="5"/>
    </row>
    <row r="610" spans="6:15" x14ac:dyDescent="0.3">
      <c r="F610">
        <f>MONTH(Table13[[#This Row],[Date  (DMY)]])</f>
        <v>1</v>
      </c>
      <c r="G610" s="2"/>
      <c r="L610" s="5"/>
      <c r="M610" s="4">
        <f>M609-Table13[[#This Row],[Debits]]+Table13[[#This Row],[Income]]</f>
        <v>2805.21</v>
      </c>
      <c r="N610" t="str">
        <f>IF(AND(Table13[[#This Row],[Category]]="pay",NOT(Table13[[#This Row],[Debits]]=0)),"bad","good")</f>
        <v>good</v>
      </c>
      <c r="O610" s="5"/>
    </row>
    <row r="611" spans="6:15" x14ac:dyDescent="0.3">
      <c r="F611">
        <f>MONTH(Table13[[#This Row],[Date  (DMY)]])</f>
        <v>1</v>
      </c>
      <c r="G611" s="2"/>
      <c r="L611" s="5"/>
      <c r="M611" s="4">
        <f>M610-Table13[[#This Row],[Debits]]+Table13[[#This Row],[Income]]</f>
        <v>2805.21</v>
      </c>
      <c r="N611" t="str">
        <f>IF(AND(Table13[[#This Row],[Category]]="pay",NOT(Table13[[#This Row],[Debits]]=0)),"bad","good")</f>
        <v>good</v>
      </c>
      <c r="O611" s="5"/>
    </row>
    <row r="612" spans="6:15" x14ac:dyDescent="0.3">
      <c r="F612">
        <f>MONTH(Table13[[#This Row],[Date  (DMY)]])</f>
        <v>1</v>
      </c>
      <c r="G612" s="2"/>
      <c r="L612" s="5"/>
      <c r="M612" s="4">
        <f>M611-Table13[[#This Row],[Debits]]+Table13[[#This Row],[Income]]</f>
        <v>2805.21</v>
      </c>
      <c r="N612" t="str">
        <f>IF(AND(Table13[[#This Row],[Category]]="pay",NOT(Table13[[#This Row],[Debits]]=0)),"bad","good")</f>
        <v>good</v>
      </c>
      <c r="O612" s="5"/>
    </row>
    <row r="613" spans="6:15" x14ac:dyDescent="0.3">
      <c r="F613">
        <f>MONTH(Table13[[#This Row],[Date  (DMY)]])</f>
        <v>1</v>
      </c>
      <c r="G613" s="2"/>
      <c r="L613" s="5"/>
      <c r="M613" s="4">
        <f>M612-Table13[[#This Row],[Debits]]+Table13[[#This Row],[Income]]</f>
        <v>2805.21</v>
      </c>
      <c r="N613" t="str">
        <f>IF(AND(Table13[[#This Row],[Category]]="pay",NOT(Table13[[#This Row],[Debits]]=0)),"bad","good")</f>
        <v>good</v>
      </c>
      <c r="O613" s="5"/>
    </row>
    <row r="614" spans="6:15" x14ac:dyDescent="0.3">
      <c r="F614">
        <f>MONTH(Table13[[#This Row],[Date  (DMY)]])</f>
        <v>1</v>
      </c>
      <c r="G614" s="2"/>
      <c r="L614" s="5"/>
      <c r="M614" s="4">
        <f>M613-Table13[[#This Row],[Debits]]+Table13[[#This Row],[Income]]</f>
        <v>2805.21</v>
      </c>
      <c r="N614" t="str">
        <f>IF(AND(Table13[[#This Row],[Category]]="pay",NOT(Table13[[#This Row],[Debits]]=0)),"bad","good")</f>
        <v>good</v>
      </c>
      <c r="O614" s="5"/>
    </row>
    <row r="615" spans="6:15" x14ac:dyDescent="0.3">
      <c r="F615">
        <f>MONTH(Table13[[#This Row],[Date  (DMY)]])</f>
        <v>1</v>
      </c>
      <c r="G615" s="2"/>
      <c r="L615" s="5"/>
      <c r="M615" s="4">
        <f>M614-Table13[[#This Row],[Debits]]+Table13[[#This Row],[Income]]</f>
        <v>2805.21</v>
      </c>
      <c r="N615" t="str">
        <f>IF(AND(Table13[[#This Row],[Category]]="pay",NOT(Table13[[#This Row],[Debits]]=0)),"bad","good")</f>
        <v>good</v>
      </c>
      <c r="O615" s="5"/>
    </row>
    <row r="616" spans="6:15" x14ac:dyDescent="0.3">
      <c r="F616">
        <f>MONTH(Table13[[#This Row],[Date  (DMY)]])</f>
        <v>1</v>
      </c>
      <c r="G616" s="2"/>
      <c r="L616" s="5"/>
      <c r="M616" s="4">
        <f>M615-Table13[[#This Row],[Debits]]+Table13[[#This Row],[Income]]</f>
        <v>2805.21</v>
      </c>
      <c r="N616" t="str">
        <f>IF(AND(Table13[[#This Row],[Category]]="pay",NOT(Table13[[#This Row],[Debits]]=0)),"bad","good")</f>
        <v>good</v>
      </c>
      <c r="O616" s="5"/>
    </row>
    <row r="617" spans="6:15" x14ac:dyDescent="0.3">
      <c r="F617">
        <f>MONTH(Table13[[#This Row],[Date  (DMY)]])</f>
        <v>1</v>
      </c>
      <c r="G617" s="2"/>
      <c r="L617" s="5"/>
      <c r="M617" s="4">
        <f>M616-Table13[[#This Row],[Debits]]+Table13[[#This Row],[Income]]</f>
        <v>2805.21</v>
      </c>
      <c r="N617" t="str">
        <f>IF(AND(Table13[[#This Row],[Category]]="pay",NOT(Table13[[#This Row],[Debits]]=0)),"bad","good")</f>
        <v>good</v>
      </c>
      <c r="O617" s="5"/>
    </row>
    <row r="618" spans="6:15" x14ac:dyDescent="0.3">
      <c r="F618">
        <f>MONTH(Table13[[#This Row],[Date  (DMY)]])</f>
        <v>1</v>
      </c>
      <c r="G618" s="2"/>
      <c r="L618" s="5"/>
      <c r="M618" s="4">
        <f>M617-Table13[[#This Row],[Debits]]+Table13[[#This Row],[Income]]</f>
        <v>2805.21</v>
      </c>
      <c r="N618" t="str">
        <f>IF(AND(Table13[[#This Row],[Category]]="pay",NOT(Table13[[#This Row],[Debits]]=0)),"bad","good")</f>
        <v>good</v>
      </c>
      <c r="O618" s="5"/>
    </row>
    <row r="619" spans="6:15" x14ac:dyDescent="0.3">
      <c r="F619">
        <f>MONTH(Table13[[#This Row],[Date  (DMY)]])</f>
        <v>1</v>
      </c>
      <c r="G619" s="2"/>
      <c r="L619" s="5"/>
      <c r="M619" s="4">
        <f>M618-Table13[[#This Row],[Debits]]+Table13[[#This Row],[Income]]</f>
        <v>2805.21</v>
      </c>
      <c r="N619" t="str">
        <f>IF(AND(Table13[[#This Row],[Category]]="pay",NOT(Table13[[#This Row],[Debits]]=0)),"bad","good")</f>
        <v>good</v>
      </c>
      <c r="O619" s="5"/>
    </row>
    <row r="620" spans="6:15" x14ac:dyDescent="0.3">
      <c r="F620">
        <f>MONTH(Table13[[#This Row],[Date  (DMY)]])</f>
        <v>1</v>
      </c>
      <c r="G620" s="2"/>
      <c r="L620" s="5"/>
      <c r="M620" s="4">
        <f>M619-Table13[[#This Row],[Debits]]+Table13[[#This Row],[Income]]</f>
        <v>2805.21</v>
      </c>
      <c r="N620" t="str">
        <f>IF(AND(Table13[[#This Row],[Category]]="pay",NOT(Table13[[#This Row],[Debits]]=0)),"bad","good")</f>
        <v>good</v>
      </c>
      <c r="O620" s="5"/>
    </row>
    <row r="621" spans="6:15" x14ac:dyDescent="0.3">
      <c r="F621">
        <f>MONTH(Table13[[#This Row],[Date  (DMY)]])</f>
        <v>1</v>
      </c>
      <c r="G621" s="2"/>
      <c r="L621" s="5"/>
      <c r="M621" s="4">
        <f>M620-Table13[[#This Row],[Debits]]+Table13[[#This Row],[Income]]</f>
        <v>2805.21</v>
      </c>
      <c r="N621" t="str">
        <f>IF(AND(Table13[[#This Row],[Category]]="pay",NOT(Table13[[#This Row],[Debits]]=0)),"bad","good")</f>
        <v>good</v>
      </c>
      <c r="O621" s="5"/>
    </row>
    <row r="622" spans="6:15" x14ac:dyDescent="0.3">
      <c r="F622">
        <f>MONTH(Table13[[#This Row],[Date  (DMY)]])</f>
        <v>1</v>
      </c>
      <c r="G622" s="2"/>
      <c r="L622" s="5"/>
      <c r="M622" s="4">
        <f>M621-Table13[[#This Row],[Debits]]+Table13[[#This Row],[Income]]</f>
        <v>2805.21</v>
      </c>
      <c r="N622" t="str">
        <f>IF(AND(Table13[[#This Row],[Category]]="pay",NOT(Table13[[#This Row],[Debits]]=0)),"bad","good")</f>
        <v>good</v>
      </c>
      <c r="O622" s="5"/>
    </row>
    <row r="623" spans="6:15" x14ac:dyDescent="0.3">
      <c r="F623">
        <f>MONTH(Table13[[#This Row],[Date  (DMY)]])</f>
        <v>1</v>
      </c>
      <c r="G623" s="2"/>
      <c r="L623" s="5"/>
      <c r="M623" s="4">
        <f>M622-Table13[[#This Row],[Debits]]+Table13[[#This Row],[Income]]</f>
        <v>2805.21</v>
      </c>
      <c r="N623" t="str">
        <f>IF(AND(Table13[[#This Row],[Category]]="pay",NOT(Table13[[#This Row],[Debits]]=0)),"bad","good")</f>
        <v>good</v>
      </c>
      <c r="O623" s="5"/>
    </row>
    <row r="624" spans="6:15" x14ac:dyDescent="0.3">
      <c r="F624">
        <f>MONTH(Table13[[#This Row],[Date  (DMY)]])</f>
        <v>1</v>
      </c>
      <c r="G624" s="2"/>
      <c r="L624" s="5"/>
      <c r="M624" s="4">
        <f>M623-Table13[[#This Row],[Debits]]+Table13[[#This Row],[Income]]</f>
        <v>2805.21</v>
      </c>
      <c r="N624" t="str">
        <f>IF(AND(Table13[[#This Row],[Category]]="pay",NOT(Table13[[#This Row],[Debits]]=0)),"bad","good")</f>
        <v>good</v>
      </c>
      <c r="O624" s="5"/>
    </row>
    <row r="625" spans="6:15" x14ac:dyDescent="0.3">
      <c r="F625">
        <f>MONTH(Table13[[#This Row],[Date  (DMY)]])</f>
        <v>1</v>
      </c>
      <c r="G625" s="2"/>
      <c r="L625" s="5"/>
      <c r="M625" s="4">
        <f>M624-Table13[[#This Row],[Debits]]+Table13[[#This Row],[Income]]</f>
        <v>2805.21</v>
      </c>
      <c r="N625" t="str">
        <f>IF(AND(Table13[[#This Row],[Category]]="pay",NOT(Table13[[#This Row],[Debits]]=0)),"bad","good")</f>
        <v>good</v>
      </c>
      <c r="O625" s="5"/>
    </row>
    <row r="626" spans="6:15" x14ac:dyDescent="0.3">
      <c r="F626">
        <f>MONTH(Table13[[#This Row],[Date  (DMY)]])</f>
        <v>1</v>
      </c>
      <c r="G626" s="2"/>
      <c r="L626" s="5"/>
      <c r="M626" s="4">
        <f>M625-Table13[[#This Row],[Debits]]+Table13[[#This Row],[Income]]</f>
        <v>2805.21</v>
      </c>
      <c r="N626" t="str">
        <f>IF(AND(Table13[[#This Row],[Category]]="pay",NOT(Table13[[#This Row],[Debits]]=0)),"bad","good")</f>
        <v>good</v>
      </c>
      <c r="O626" s="5"/>
    </row>
    <row r="627" spans="6:15" x14ac:dyDescent="0.3">
      <c r="F627">
        <f>MONTH(Table13[[#This Row],[Date  (DMY)]])</f>
        <v>1</v>
      </c>
      <c r="G627" s="2"/>
      <c r="L627" s="5"/>
      <c r="M627" s="4">
        <f>M626-Table13[[#This Row],[Debits]]+Table13[[#This Row],[Income]]</f>
        <v>2805.21</v>
      </c>
      <c r="N627" t="str">
        <f>IF(AND(Table13[[#This Row],[Category]]="pay",NOT(Table13[[#This Row],[Debits]]=0)),"bad","good")</f>
        <v>good</v>
      </c>
      <c r="O627" s="5"/>
    </row>
    <row r="628" spans="6:15" x14ac:dyDescent="0.3">
      <c r="F628">
        <f>MONTH(Table13[[#This Row],[Date  (DMY)]])</f>
        <v>1</v>
      </c>
      <c r="G628" s="2"/>
      <c r="L628" s="5"/>
      <c r="M628" s="4">
        <f>M627-Table13[[#This Row],[Debits]]+Table13[[#This Row],[Income]]</f>
        <v>2805.21</v>
      </c>
      <c r="N628" t="str">
        <f>IF(AND(Table13[[#This Row],[Category]]="pay",NOT(Table13[[#This Row],[Debits]]=0)),"bad","good")</f>
        <v>good</v>
      </c>
      <c r="O628" s="5"/>
    </row>
    <row r="629" spans="6:15" x14ac:dyDescent="0.3">
      <c r="F629">
        <f>MONTH(Table13[[#This Row],[Date  (DMY)]])</f>
        <v>1</v>
      </c>
      <c r="G629" s="2"/>
      <c r="L629" s="5"/>
      <c r="M629" s="4">
        <f>M628-Table13[[#This Row],[Debits]]+Table13[[#This Row],[Income]]</f>
        <v>2805.21</v>
      </c>
      <c r="N629" t="str">
        <f>IF(AND(Table13[[#This Row],[Category]]="pay",NOT(Table13[[#This Row],[Debits]]=0)),"bad","good")</f>
        <v>good</v>
      </c>
      <c r="O629" s="5"/>
    </row>
    <row r="630" spans="6:15" x14ac:dyDescent="0.3">
      <c r="F630">
        <f>MONTH(Table13[[#This Row],[Date  (DMY)]])</f>
        <v>1</v>
      </c>
      <c r="G630" s="2"/>
      <c r="L630" s="5"/>
      <c r="M630" s="4">
        <f>M629-Table13[[#This Row],[Debits]]+Table13[[#This Row],[Income]]</f>
        <v>2805.21</v>
      </c>
      <c r="N630" t="str">
        <f>IF(AND(Table13[[#This Row],[Category]]="pay",NOT(Table13[[#This Row],[Debits]]=0)),"bad","good")</f>
        <v>good</v>
      </c>
      <c r="O630" s="5"/>
    </row>
    <row r="631" spans="6:15" x14ac:dyDescent="0.3">
      <c r="F631">
        <f>MONTH(Table13[[#This Row],[Date  (DMY)]])</f>
        <v>1</v>
      </c>
      <c r="G631" s="2"/>
      <c r="L631" s="5"/>
      <c r="M631" s="4">
        <f>M630-Table13[[#This Row],[Debits]]+Table13[[#This Row],[Income]]</f>
        <v>2805.21</v>
      </c>
      <c r="N631" t="str">
        <f>IF(AND(Table13[[#This Row],[Category]]="pay",NOT(Table13[[#This Row],[Debits]]=0)),"bad","good")</f>
        <v>good</v>
      </c>
      <c r="O631" s="5"/>
    </row>
    <row r="632" spans="6:15" x14ac:dyDescent="0.3">
      <c r="F632">
        <f>MONTH(Table13[[#This Row],[Date  (DMY)]])</f>
        <v>1</v>
      </c>
      <c r="G632" s="2"/>
      <c r="L632" s="5"/>
      <c r="M632" s="4">
        <f>M631-Table13[[#This Row],[Debits]]+Table13[[#This Row],[Income]]</f>
        <v>2805.21</v>
      </c>
      <c r="N632" t="str">
        <f>IF(AND(Table13[[#This Row],[Category]]="pay",NOT(Table13[[#This Row],[Debits]]=0)),"bad","good")</f>
        <v>good</v>
      </c>
      <c r="O632" s="5"/>
    </row>
    <row r="633" spans="6:15" x14ac:dyDescent="0.3">
      <c r="F633">
        <f>MONTH(Table13[[#This Row],[Date  (DMY)]])</f>
        <v>1</v>
      </c>
      <c r="G633" s="2"/>
      <c r="L633" s="5"/>
      <c r="M633" s="4">
        <f>M632-Table13[[#This Row],[Debits]]+Table13[[#This Row],[Income]]</f>
        <v>2805.21</v>
      </c>
      <c r="N633" t="str">
        <f>IF(AND(Table13[[#This Row],[Category]]="pay",NOT(Table13[[#This Row],[Debits]]=0)),"bad","good")</f>
        <v>good</v>
      </c>
      <c r="O633" s="5"/>
    </row>
    <row r="634" spans="6:15" x14ac:dyDescent="0.3">
      <c r="F634">
        <f>MONTH(Table13[[#This Row],[Date  (DMY)]])</f>
        <v>1</v>
      </c>
      <c r="G634" s="2"/>
      <c r="L634" s="5"/>
      <c r="M634" s="4">
        <f>M633-Table13[[#This Row],[Debits]]+Table13[[#This Row],[Income]]</f>
        <v>2805.21</v>
      </c>
      <c r="N634" t="str">
        <f>IF(AND(Table13[[#This Row],[Category]]="pay",NOT(Table13[[#This Row],[Debits]]=0)),"bad","good")</f>
        <v>good</v>
      </c>
      <c r="O634" s="5"/>
    </row>
    <row r="635" spans="6:15" x14ac:dyDescent="0.3">
      <c r="F635">
        <f>MONTH(Table13[[#This Row],[Date  (DMY)]])</f>
        <v>1</v>
      </c>
      <c r="G635" s="2"/>
      <c r="L635" s="5"/>
      <c r="M635" s="4">
        <f>M634-Table13[[#This Row],[Debits]]+Table13[[#This Row],[Income]]</f>
        <v>2805.21</v>
      </c>
      <c r="N635" t="str">
        <f>IF(AND(Table13[[#This Row],[Category]]="pay",NOT(Table13[[#This Row],[Debits]]=0)),"bad","good")</f>
        <v>good</v>
      </c>
      <c r="O635" s="5"/>
    </row>
    <row r="636" spans="6:15" x14ac:dyDescent="0.3">
      <c r="F636">
        <f>MONTH(Table13[[#This Row],[Date  (DMY)]])</f>
        <v>1</v>
      </c>
      <c r="G636" s="2"/>
      <c r="L636" s="5"/>
      <c r="M636" s="4">
        <f>M635-Table13[[#This Row],[Debits]]+Table13[[#This Row],[Income]]</f>
        <v>2805.21</v>
      </c>
      <c r="N636" t="str">
        <f>IF(AND(Table13[[#This Row],[Category]]="pay",NOT(Table13[[#This Row],[Debits]]=0)),"bad","good")</f>
        <v>good</v>
      </c>
      <c r="O636" s="5"/>
    </row>
    <row r="637" spans="6:15" x14ac:dyDescent="0.3">
      <c r="F637">
        <f>MONTH(Table13[[#This Row],[Date  (DMY)]])</f>
        <v>1</v>
      </c>
      <c r="G637" s="2"/>
      <c r="L637" s="5"/>
      <c r="M637" s="4">
        <f>M636-Table13[[#This Row],[Debits]]+Table13[[#This Row],[Income]]</f>
        <v>2805.21</v>
      </c>
      <c r="N637" t="str">
        <f>IF(AND(Table13[[#This Row],[Category]]="pay",NOT(Table13[[#This Row],[Debits]]=0)),"bad","good")</f>
        <v>good</v>
      </c>
      <c r="O637" s="5"/>
    </row>
    <row r="638" spans="6:15" x14ac:dyDescent="0.3">
      <c r="F638">
        <f>MONTH(Table13[[#This Row],[Date  (DMY)]])</f>
        <v>1</v>
      </c>
      <c r="G638" s="2"/>
      <c r="L638" s="5"/>
      <c r="M638" s="4">
        <f>M637-Table13[[#This Row],[Debits]]+Table13[[#This Row],[Income]]</f>
        <v>2805.21</v>
      </c>
      <c r="N638" t="str">
        <f>IF(AND(Table13[[#This Row],[Category]]="pay",NOT(Table13[[#This Row],[Debits]]=0)),"bad","good")</f>
        <v>good</v>
      </c>
      <c r="O638" s="5"/>
    </row>
    <row r="639" spans="6:15" x14ac:dyDescent="0.3">
      <c r="F639">
        <f>MONTH(Table13[[#This Row],[Date  (DMY)]])</f>
        <v>1</v>
      </c>
      <c r="G639" s="2"/>
      <c r="L639" s="5"/>
      <c r="M639" s="4">
        <f>M638-Table13[[#This Row],[Debits]]+Table13[[#This Row],[Income]]</f>
        <v>2805.21</v>
      </c>
      <c r="N639" t="str">
        <f>IF(AND(Table13[[#This Row],[Category]]="pay",NOT(Table13[[#This Row],[Debits]]=0)),"bad","good")</f>
        <v>good</v>
      </c>
      <c r="O639" s="5"/>
    </row>
    <row r="640" spans="6:15" x14ac:dyDescent="0.3">
      <c r="F640">
        <f>MONTH(Table13[[#This Row],[Date  (DMY)]])</f>
        <v>1</v>
      </c>
      <c r="G640" s="2"/>
      <c r="L640" s="5"/>
      <c r="M640" s="4">
        <f>M639-Table13[[#This Row],[Debits]]+Table13[[#This Row],[Income]]</f>
        <v>2805.21</v>
      </c>
      <c r="N640" t="str">
        <f>IF(AND(Table13[[#This Row],[Category]]="pay",NOT(Table13[[#This Row],[Debits]]=0)),"bad","good")</f>
        <v>good</v>
      </c>
      <c r="O640" s="5"/>
    </row>
    <row r="641" spans="6:15" x14ac:dyDescent="0.3">
      <c r="F641">
        <f>MONTH(Table13[[#This Row],[Date  (DMY)]])</f>
        <v>1</v>
      </c>
      <c r="G641" s="2"/>
      <c r="L641" s="5"/>
      <c r="M641" s="4">
        <f>M640-Table13[[#This Row],[Debits]]+Table13[[#This Row],[Income]]</f>
        <v>2805.21</v>
      </c>
      <c r="N641" t="str">
        <f>IF(AND(Table13[[#This Row],[Category]]="pay",NOT(Table13[[#This Row],[Debits]]=0)),"bad","good")</f>
        <v>good</v>
      </c>
      <c r="O641" s="5"/>
    </row>
    <row r="642" spans="6:15" x14ac:dyDescent="0.3">
      <c r="F642">
        <f>MONTH(Table13[[#This Row],[Date  (DMY)]])</f>
        <v>1</v>
      </c>
      <c r="G642" s="2"/>
      <c r="L642" s="5"/>
      <c r="M642" s="4">
        <f>M641-Table13[[#This Row],[Debits]]+Table13[[#This Row],[Income]]</f>
        <v>2805.21</v>
      </c>
      <c r="N642" t="str">
        <f>IF(AND(Table13[[#This Row],[Category]]="pay",NOT(Table13[[#This Row],[Debits]]=0)),"bad","good")</f>
        <v>good</v>
      </c>
      <c r="O642" s="5"/>
    </row>
    <row r="643" spans="6:15" x14ac:dyDescent="0.3">
      <c r="F643">
        <f>MONTH(Table13[[#This Row],[Date  (DMY)]])</f>
        <v>1</v>
      </c>
      <c r="G643" s="2"/>
      <c r="L643" s="5"/>
      <c r="M643" s="4">
        <f>M642-Table13[[#This Row],[Debits]]+Table13[[#This Row],[Income]]</f>
        <v>2805.21</v>
      </c>
      <c r="N643" t="str">
        <f>IF(AND(Table13[[#This Row],[Category]]="pay",NOT(Table13[[#This Row],[Debits]]=0)),"bad","good")</f>
        <v>good</v>
      </c>
      <c r="O643" s="5"/>
    </row>
    <row r="644" spans="6:15" x14ac:dyDescent="0.3">
      <c r="F644">
        <f>MONTH(Table13[[#This Row],[Date  (DMY)]])</f>
        <v>1</v>
      </c>
      <c r="G644" s="2"/>
      <c r="L644" s="5"/>
      <c r="M644" s="4">
        <f>M643-Table13[[#This Row],[Debits]]+Table13[[#This Row],[Income]]</f>
        <v>2805.21</v>
      </c>
      <c r="N644" t="str">
        <f>IF(AND(Table13[[#This Row],[Category]]="pay",NOT(Table13[[#This Row],[Debits]]=0)),"bad","good")</f>
        <v>good</v>
      </c>
      <c r="O644" s="5"/>
    </row>
    <row r="645" spans="6:15" x14ac:dyDescent="0.3">
      <c r="F645">
        <f>MONTH(Table13[[#This Row],[Date  (DMY)]])</f>
        <v>1</v>
      </c>
      <c r="G645" s="2"/>
      <c r="L645" s="5"/>
      <c r="M645" s="4">
        <f>M644-Table13[[#This Row],[Debits]]+Table13[[#This Row],[Income]]</f>
        <v>2805.21</v>
      </c>
      <c r="N645" t="str">
        <f>IF(AND(Table13[[#This Row],[Category]]="pay",NOT(Table13[[#This Row],[Debits]]=0)),"bad","good")</f>
        <v>good</v>
      </c>
      <c r="O645" s="5"/>
    </row>
    <row r="646" spans="6:15" x14ac:dyDescent="0.3">
      <c r="F646">
        <f>MONTH(Table13[[#This Row],[Date  (DMY)]])</f>
        <v>1</v>
      </c>
      <c r="G646" s="2"/>
      <c r="L646" s="5"/>
      <c r="M646" s="4">
        <f>M645-Table13[[#This Row],[Debits]]+Table13[[#This Row],[Income]]</f>
        <v>2805.21</v>
      </c>
      <c r="N646" t="str">
        <f>IF(AND(Table13[[#This Row],[Category]]="pay",NOT(Table13[[#This Row],[Debits]]=0)),"bad","good")</f>
        <v>good</v>
      </c>
      <c r="O646" s="5"/>
    </row>
    <row r="647" spans="6:15" x14ac:dyDescent="0.3">
      <c r="F647">
        <f>MONTH(Table13[[#This Row],[Date  (DMY)]])</f>
        <v>1</v>
      </c>
      <c r="G647" s="2"/>
      <c r="L647" s="5"/>
      <c r="M647" s="4">
        <f>M646-Table13[[#This Row],[Debits]]+Table13[[#This Row],[Income]]</f>
        <v>2805.21</v>
      </c>
      <c r="N647" t="str">
        <f>IF(AND(Table13[[#This Row],[Category]]="pay",NOT(Table13[[#This Row],[Debits]]=0)),"bad","good")</f>
        <v>good</v>
      </c>
      <c r="O647" s="5"/>
    </row>
    <row r="648" spans="6:15" x14ac:dyDescent="0.3">
      <c r="F648">
        <f>MONTH(Table13[[#This Row],[Date  (DMY)]])</f>
        <v>1</v>
      </c>
      <c r="G648" s="2"/>
      <c r="L648" s="5"/>
      <c r="M648" s="4">
        <f>M647-Table13[[#This Row],[Debits]]+Table13[[#This Row],[Income]]</f>
        <v>2805.21</v>
      </c>
      <c r="N648" t="str">
        <f>IF(AND(Table13[[#This Row],[Category]]="pay",NOT(Table13[[#This Row],[Debits]]=0)),"bad","good")</f>
        <v>good</v>
      </c>
      <c r="O648" s="5"/>
    </row>
    <row r="649" spans="6:15" x14ac:dyDescent="0.3">
      <c r="F649">
        <f>MONTH(Table13[[#This Row],[Date  (DMY)]])</f>
        <v>1</v>
      </c>
      <c r="G649" s="2"/>
      <c r="L649" s="5"/>
      <c r="M649" s="4">
        <f>M648-Table13[[#This Row],[Debits]]+Table13[[#This Row],[Income]]</f>
        <v>2805.21</v>
      </c>
      <c r="N649" t="str">
        <f>IF(AND(Table13[[#This Row],[Category]]="pay",NOT(Table13[[#This Row],[Debits]]=0)),"bad","good")</f>
        <v>good</v>
      </c>
      <c r="O649" s="5"/>
    </row>
    <row r="650" spans="6:15" x14ac:dyDescent="0.3">
      <c r="F650">
        <f>MONTH(Table13[[#This Row],[Date  (DMY)]])</f>
        <v>1</v>
      </c>
      <c r="G650" s="2"/>
      <c r="L650" s="5"/>
      <c r="M650" s="4">
        <f>M649-Table13[[#This Row],[Debits]]+Table13[[#This Row],[Income]]</f>
        <v>2805.21</v>
      </c>
      <c r="N650" t="str">
        <f>IF(AND(Table13[[#This Row],[Category]]="pay",NOT(Table13[[#This Row],[Debits]]=0)),"bad","good")</f>
        <v>good</v>
      </c>
      <c r="O650" s="5"/>
    </row>
    <row r="651" spans="6:15" x14ac:dyDescent="0.3">
      <c r="F651">
        <f>MONTH(Table13[[#This Row],[Date  (DMY)]])</f>
        <v>1</v>
      </c>
      <c r="G651" s="2"/>
      <c r="L651" s="5"/>
      <c r="M651" s="4">
        <f>M650-Table13[[#This Row],[Debits]]+Table13[[#This Row],[Income]]</f>
        <v>2805.21</v>
      </c>
      <c r="N651" t="str">
        <f>IF(AND(Table13[[#This Row],[Category]]="pay",NOT(Table13[[#This Row],[Debits]]=0)),"bad","good")</f>
        <v>good</v>
      </c>
      <c r="O651" s="5"/>
    </row>
    <row r="652" spans="6:15" x14ac:dyDescent="0.3">
      <c r="F652">
        <f>MONTH(Table13[[#This Row],[Date  (DMY)]])</f>
        <v>1</v>
      </c>
      <c r="G652" s="2"/>
      <c r="L652" s="5"/>
      <c r="M652" s="4">
        <f>M651-Table13[[#This Row],[Debits]]+Table13[[#This Row],[Income]]</f>
        <v>2805.21</v>
      </c>
      <c r="N652" t="str">
        <f>IF(AND(Table13[[#This Row],[Category]]="pay",NOT(Table13[[#This Row],[Debits]]=0)),"bad","good")</f>
        <v>good</v>
      </c>
      <c r="O652" s="5"/>
    </row>
    <row r="653" spans="6:15" x14ac:dyDescent="0.3">
      <c r="F653">
        <f>MONTH(Table13[[#This Row],[Date  (DMY)]])</f>
        <v>1</v>
      </c>
      <c r="G653" s="2"/>
      <c r="L653" s="5"/>
      <c r="M653" s="4">
        <f>M652-Table13[[#This Row],[Debits]]+Table13[[#This Row],[Income]]</f>
        <v>2805.21</v>
      </c>
      <c r="N653" t="str">
        <f>IF(AND(Table13[[#This Row],[Category]]="pay",NOT(Table13[[#This Row],[Debits]]=0)),"bad","good")</f>
        <v>good</v>
      </c>
      <c r="O653" s="5"/>
    </row>
    <row r="654" spans="6:15" x14ac:dyDescent="0.3">
      <c r="F654">
        <f>MONTH(Table13[[#This Row],[Date  (DMY)]])</f>
        <v>1</v>
      </c>
      <c r="G654" s="2"/>
      <c r="L654" s="5"/>
      <c r="M654" s="4">
        <f>M653-Table13[[#This Row],[Debits]]+Table13[[#This Row],[Income]]</f>
        <v>2805.21</v>
      </c>
      <c r="N654" t="str">
        <f>IF(AND(Table13[[#This Row],[Category]]="pay",NOT(Table13[[#This Row],[Debits]]=0)),"bad","good")</f>
        <v>good</v>
      </c>
      <c r="O654" s="5"/>
    </row>
    <row r="655" spans="6:15" x14ac:dyDescent="0.3">
      <c r="F655">
        <f>MONTH(Table13[[#This Row],[Date  (DMY)]])</f>
        <v>1</v>
      </c>
      <c r="G655" s="2"/>
      <c r="L655" s="5"/>
      <c r="M655" s="4">
        <f>M654-Table13[[#This Row],[Debits]]+Table13[[#This Row],[Income]]</f>
        <v>2805.21</v>
      </c>
      <c r="N655" t="str">
        <f>IF(AND(Table13[[#This Row],[Category]]="pay",NOT(Table13[[#This Row],[Debits]]=0)),"bad","good")</f>
        <v>good</v>
      </c>
      <c r="O655" s="5"/>
    </row>
    <row r="656" spans="6:15" x14ac:dyDescent="0.3">
      <c r="F656">
        <f>MONTH(Table13[[#This Row],[Date  (DMY)]])</f>
        <v>1</v>
      </c>
      <c r="G656" s="2"/>
      <c r="L656" s="5"/>
      <c r="M656" s="4">
        <f>M655-Table13[[#This Row],[Debits]]+Table13[[#This Row],[Income]]</f>
        <v>2805.21</v>
      </c>
      <c r="N656" t="str">
        <f>IF(AND(Table13[[#This Row],[Category]]="pay",NOT(Table13[[#This Row],[Debits]]=0)),"bad","good")</f>
        <v>good</v>
      </c>
      <c r="O656" s="5"/>
    </row>
    <row r="657" spans="6:15" x14ac:dyDescent="0.3">
      <c r="F657">
        <f>MONTH(Table13[[#This Row],[Date  (DMY)]])</f>
        <v>1</v>
      </c>
      <c r="G657" s="2"/>
      <c r="L657" s="5"/>
      <c r="M657" s="4">
        <f>M656-Table13[[#This Row],[Debits]]+Table13[[#This Row],[Income]]</f>
        <v>2805.21</v>
      </c>
      <c r="N657" t="str">
        <f>IF(AND(Table13[[#This Row],[Category]]="pay",NOT(Table13[[#This Row],[Debits]]=0)),"bad","good")</f>
        <v>good</v>
      </c>
      <c r="O657" s="5"/>
    </row>
    <row r="658" spans="6:15" x14ac:dyDescent="0.3">
      <c r="F658">
        <f>MONTH(Table13[[#This Row],[Date  (DMY)]])</f>
        <v>1</v>
      </c>
      <c r="G658" s="2"/>
      <c r="L658" s="5"/>
      <c r="M658" s="4">
        <f>M657-Table13[[#This Row],[Debits]]+Table13[[#This Row],[Income]]</f>
        <v>2805.21</v>
      </c>
      <c r="N658" t="str">
        <f>IF(AND(Table13[[#This Row],[Category]]="pay",NOT(Table13[[#This Row],[Debits]]=0)),"bad","good")</f>
        <v>good</v>
      </c>
      <c r="O658" s="5"/>
    </row>
    <row r="659" spans="6:15" x14ac:dyDescent="0.3">
      <c r="F659">
        <f>MONTH(Table13[[#This Row],[Date  (DMY)]])</f>
        <v>1</v>
      </c>
      <c r="G659" s="2"/>
      <c r="L659" s="5"/>
      <c r="M659" s="4">
        <f>M658-Table13[[#This Row],[Debits]]+Table13[[#This Row],[Income]]</f>
        <v>2805.21</v>
      </c>
      <c r="N659" t="str">
        <f>IF(AND(Table13[[#This Row],[Category]]="pay",NOT(Table13[[#This Row],[Debits]]=0)),"bad","good")</f>
        <v>good</v>
      </c>
      <c r="O659" s="5"/>
    </row>
    <row r="660" spans="6:15" x14ac:dyDescent="0.3">
      <c r="F660">
        <f>MONTH(Table13[[#This Row],[Date  (DMY)]])</f>
        <v>1</v>
      </c>
      <c r="G660" s="2"/>
      <c r="L660" s="5"/>
      <c r="M660" s="4">
        <f>M659-Table13[[#This Row],[Debits]]+Table13[[#This Row],[Income]]</f>
        <v>2805.21</v>
      </c>
      <c r="N660" t="str">
        <f>IF(AND(Table13[[#This Row],[Category]]="pay",NOT(Table13[[#This Row],[Debits]]=0)),"bad","good")</f>
        <v>good</v>
      </c>
      <c r="O660" s="5"/>
    </row>
    <row r="661" spans="6:15" x14ac:dyDescent="0.3">
      <c r="F661">
        <f>MONTH(Table13[[#This Row],[Date  (DMY)]])</f>
        <v>1</v>
      </c>
      <c r="G661" s="2"/>
      <c r="L661" s="5"/>
      <c r="M661" s="4">
        <f>M660-Table13[[#This Row],[Debits]]+Table13[[#This Row],[Income]]</f>
        <v>2805.21</v>
      </c>
      <c r="N661" t="str">
        <f>IF(AND(Table13[[#This Row],[Category]]="pay",NOT(Table13[[#This Row],[Debits]]=0)),"bad","good")</f>
        <v>good</v>
      </c>
      <c r="O661" s="5"/>
    </row>
    <row r="662" spans="6:15" x14ac:dyDescent="0.3">
      <c r="F662">
        <f>MONTH(Table13[[#This Row],[Date  (DMY)]])</f>
        <v>1</v>
      </c>
      <c r="G662" s="2"/>
      <c r="L662" s="5"/>
      <c r="M662" s="4">
        <f>M661-Table13[[#This Row],[Debits]]+Table13[[#This Row],[Income]]</f>
        <v>2805.21</v>
      </c>
      <c r="N662" t="str">
        <f>IF(AND(Table13[[#This Row],[Category]]="pay",NOT(Table13[[#This Row],[Debits]]=0)),"bad","good")</f>
        <v>good</v>
      </c>
      <c r="O662" s="5"/>
    </row>
    <row r="663" spans="6:15" x14ac:dyDescent="0.3">
      <c r="F663">
        <f>MONTH(Table13[[#This Row],[Date  (DMY)]])</f>
        <v>1</v>
      </c>
      <c r="G663" s="2"/>
      <c r="L663" s="5"/>
      <c r="M663" s="4">
        <f>M662-Table13[[#This Row],[Debits]]+Table13[[#This Row],[Income]]</f>
        <v>2805.21</v>
      </c>
      <c r="N663" t="str">
        <f>IF(AND(Table13[[#This Row],[Category]]="pay",NOT(Table13[[#This Row],[Debits]]=0)),"bad","good")</f>
        <v>good</v>
      </c>
      <c r="O663" s="5"/>
    </row>
    <row r="664" spans="6:15" x14ac:dyDescent="0.3">
      <c r="F664">
        <f>MONTH(Table13[[#This Row],[Date  (DMY)]])</f>
        <v>1</v>
      </c>
      <c r="G664" s="2"/>
      <c r="L664" s="5"/>
      <c r="M664" s="4">
        <f>M663-Table13[[#This Row],[Debits]]+Table13[[#This Row],[Income]]</f>
        <v>2805.21</v>
      </c>
      <c r="N664" t="str">
        <f>IF(AND(Table13[[#This Row],[Category]]="pay",NOT(Table13[[#This Row],[Debits]]=0)),"bad","good")</f>
        <v>good</v>
      </c>
      <c r="O664" s="5"/>
    </row>
    <row r="665" spans="6:15" x14ac:dyDescent="0.3">
      <c r="F665">
        <f>MONTH(Table13[[#This Row],[Date  (DMY)]])</f>
        <v>1</v>
      </c>
      <c r="G665" s="2"/>
      <c r="L665" s="5"/>
      <c r="M665" s="4">
        <f>M664-Table13[[#This Row],[Debits]]+Table13[[#This Row],[Income]]</f>
        <v>2805.21</v>
      </c>
      <c r="N665" t="str">
        <f>IF(AND(Table13[[#This Row],[Category]]="pay",NOT(Table13[[#This Row],[Debits]]=0)),"bad","good")</f>
        <v>good</v>
      </c>
      <c r="O665" s="5"/>
    </row>
    <row r="666" spans="6:15" x14ac:dyDescent="0.3">
      <c r="F666">
        <f>MONTH(Table13[[#This Row],[Date  (DMY)]])</f>
        <v>1</v>
      </c>
      <c r="G666" s="2"/>
      <c r="L666" s="5"/>
      <c r="M666" s="4">
        <f>M665-Table13[[#This Row],[Debits]]+Table13[[#This Row],[Income]]</f>
        <v>2805.21</v>
      </c>
      <c r="N666" t="str">
        <f>IF(AND(Table13[[#This Row],[Category]]="pay",NOT(Table13[[#This Row],[Debits]]=0)),"bad","good")</f>
        <v>good</v>
      </c>
      <c r="O666" s="5"/>
    </row>
    <row r="667" spans="6:15" x14ac:dyDescent="0.3">
      <c r="F667">
        <f>MONTH(Table13[[#This Row],[Date  (DMY)]])</f>
        <v>1</v>
      </c>
      <c r="G667" s="2"/>
      <c r="L667" s="5"/>
      <c r="M667" s="4">
        <f>M666-Table13[[#This Row],[Debits]]+Table13[[#This Row],[Income]]</f>
        <v>2805.21</v>
      </c>
      <c r="N667" t="str">
        <f>IF(AND(Table13[[#This Row],[Category]]="pay",NOT(Table13[[#This Row],[Debits]]=0)),"bad","good")</f>
        <v>good</v>
      </c>
      <c r="O667" s="5"/>
    </row>
    <row r="668" spans="6:15" x14ac:dyDescent="0.3">
      <c r="F668">
        <f>MONTH(Table13[[#This Row],[Date  (DMY)]])</f>
        <v>1</v>
      </c>
      <c r="G668" s="2"/>
      <c r="L668" s="5"/>
      <c r="M668" s="4">
        <f>M667-Table13[[#This Row],[Debits]]+Table13[[#This Row],[Income]]</f>
        <v>2805.21</v>
      </c>
      <c r="N668" t="str">
        <f>IF(AND(Table13[[#This Row],[Category]]="pay",NOT(Table13[[#This Row],[Debits]]=0)),"bad","good")</f>
        <v>good</v>
      </c>
      <c r="O668" s="5"/>
    </row>
    <row r="669" spans="6:15" x14ac:dyDescent="0.3">
      <c r="F669">
        <f>MONTH(Table13[[#This Row],[Date  (DMY)]])</f>
        <v>1</v>
      </c>
      <c r="G669" s="2"/>
      <c r="L669" s="5"/>
      <c r="M669" s="4">
        <f>M668-Table13[[#This Row],[Debits]]+Table13[[#This Row],[Income]]</f>
        <v>2805.21</v>
      </c>
      <c r="N669" t="str">
        <f>IF(AND(Table13[[#This Row],[Category]]="pay",NOT(Table13[[#This Row],[Debits]]=0)),"bad","good")</f>
        <v>good</v>
      </c>
      <c r="O669" s="5"/>
    </row>
    <row r="670" spans="6:15" x14ac:dyDescent="0.3">
      <c r="F670">
        <f>MONTH(Table13[[#This Row],[Date  (DMY)]])</f>
        <v>1</v>
      </c>
      <c r="G670" s="2"/>
      <c r="L670" s="5"/>
      <c r="M670" s="4">
        <f>M669-Table13[[#This Row],[Debits]]+Table13[[#This Row],[Income]]</f>
        <v>2805.21</v>
      </c>
      <c r="N670" t="str">
        <f>IF(AND(Table13[[#This Row],[Category]]="pay",NOT(Table13[[#This Row],[Debits]]=0)),"bad","good")</f>
        <v>good</v>
      </c>
      <c r="O670" s="5"/>
    </row>
    <row r="671" spans="6:15" x14ac:dyDescent="0.3">
      <c r="F671">
        <f>MONTH(Table13[[#This Row],[Date  (DMY)]])</f>
        <v>1</v>
      </c>
      <c r="G671" s="2"/>
      <c r="L671" s="5"/>
      <c r="M671" s="4">
        <f>M670-Table13[[#This Row],[Debits]]+Table13[[#This Row],[Income]]</f>
        <v>2805.21</v>
      </c>
      <c r="N671" t="str">
        <f>IF(AND(Table13[[#This Row],[Category]]="pay",NOT(Table13[[#This Row],[Debits]]=0)),"bad","good")</f>
        <v>good</v>
      </c>
      <c r="O671" s="5"/>
    </row>
    <row r="672" spans="6:15" x14ac:dyDescent="0.3">
      <c r="F672">
        <f>MONTH(Table13[[#This Row],[Date  (DMY)]])</f>
        <v>1</v>
      </c>
      <c r="G672" s="2"/>
      <c r="L672" s="5"/>
      <c r="M672" s="4">
        <f>M671-Table13[[#This Row],[Debits]]+Table13[[#This Row],[Income]]</f>
        <v>2805.21</v>
      </c>
      <c r="N672" t="str">
        <f>IF(AND(Table13[[#This Row],[Category]]="pay",NOT(Table13[[#This Row],[Debits]]=0)),"bad","good")</f>
        <v>good</v>
      </c>
      <c r="O672" s="5"/>
    </row>
    <row r="673" spans="6:15" x14ac:dyDescent="0.3">
      <c r="F673">
        <f>MONTH(Table13[[#This Row],[Date  (DMY)]])</f>
        <v>1</v>
      </c>
      <c r="G673" s="2"/>
      <c r="L673" s="5"/>
      <c r="M673" s="4">
        <f>M672-Table13[[#This Row],[Debits]]+Table13[[#This Row],[Income]]</f>
        <v>2805.21</v>
      </c>
      <c r="N673" t="str">
        <f>IF(AND(Table13[[#This Row],[Category]]="pay",NOT(Table13[[#This Row],[Debits]]=0)),"bad","good")</f>
        <v>good</v>
      </c>
      <c r="O673" s="5"/>
    </row>
    <row r="674" spans="6:15" x14ac:dyDescent="0.3">
      <c r="F674">
        <f>MONTH(Table13[[#This Row],[Date  (DMY)]])</f>
        <v>1</v>
      </c>
      <c r="G674" s="2"/>
      <c r="L674" s="5"/>
      <c r="M674" s="4">
        <f>M673-Table13[[#This Row],[Debits]]+Table13[[#This Row],[Income]]</f>
        <v>2805.21</v>
      </c>
      <c r="N674" t="str">
        <f>IF(AND(Table13[[#This Row],[Category]]="pay",NOT(Table13[[#This Row],[Debits]]=0)),"bad","good")</f>
        <v>good</v>
      </c>
      <c r="O674" s="5"/>
    </row>
    <row r="675" spans="6:15" x14ac:dyDescent="0.3">
      <c r="F675">
        <f>MONTH(Table13[[#This Row],[Date  (DMY)]])</f>
        <v>1</v>
      </c>
      <c r="G675" s="2"/>
      <c r="L675" s="5"/>
      <c r="M675" s="4">
        <f>M674-Table13[[#This Row],[Debits]]+Table13[[#This Row],[Income]]</f>
        <v>2805.21</v>
      </c>
      <c r="N675" t="str">
        <f>IF(AND(Table13[[#This Row],[Category]]="pay",NOT(Table13[[#This Row],[Debits]]=0)),"bad","good")</f>
        <v>good</v>
      </c>
      <c r="O675" s="5"/>
    </row>
    <row r="676" spans="6:15" x14ac:dyDescent="0.3">
      <c r="F676">
        <f>MONTH(Table13[[#This Row],[Date  (DMY)]])</f>
        <v>1</v>
      </c>
      <c r="G676" s="2"/>
      <c r="L676" s="5"/>
      <c r="M676" s="4">
        <f>M675-Table13[[#This Row],[Debits]]+Table13[[#This Row],[Income]]</f>
        <v>2805.21</v>
      </c>
      <c r="N676" t="str">
        <f>IF(AND(Table13[[#This Row],[Category]]="pay",NOT(Table13[[#This Row],[Debits]]=0)),"bad","good")</f>
        <v>good</v>
      </c>
      <c r="O676" s="5"/>
    </row>
    <row r="677" spans="6:15" x14ac:dyDescent="0.3">
      <c r="F677">
        <f>MONTH(Table13[[#This Row],[Date  (DMY)]])</f>
        <v>1</v>
      </c>
      <c r="G677" s="2"/>
      <c r="L677" s="5"/>
      <c r="M677" s="4">
        <f>M676-Table13[[#This Row],[Debits]]+Table13[[#This Row],[Income]]</f>
        <v>2805.21</v>
      </c>
      <c r="N677" t="str">
        <f>IF(AND(Table13[[#This Row],[Category]]="pay",NOT(Table13[[#This Row],[Debits]]=0)),"bad","good")</f>
        <v>good</v>
      </c>
      <c r="O677" s="5"/>
    </row>
    <row r="678" spans="6:15" x14ac:dyDescent="0.3">
      <c r="F678">
        <f>MONTH(Table13[[#This Row],[Date  (DMY)]])</f>
        <v>1</v>
      </c>
      <c r="G678" s="2"/>
      <c r="L678" s="5"/>
      <c r="M678" s="4">
        <f>M677-Table13[[#This Row],[Debits]]+Table13[[#This Row],[Income]]</f>
        <v>2805.21</v>
      </c>
      <c r="N678" t="str">
        <f>IF(AND(Table13[[#This Row],[Category]]="pay",NOT(Table13[[#This Row],[Debits]]=0)),"bad","good")</f>
        <v>good</v>
      </c>
      <c r="O678" s="5"/>
    </row>
    <row r="679" spans="6:15" x14ac:dyDescent="0.3">
      <c r="F679">
        <f>MONTH(Table13[[#This Row],[Date  (DMY)]])</f>
        <v>1</v>
      </c>
      <c r="G679" s="2"/>
      <c r="L679" s="5"/>
      <c r="M679" s="4">
        <f>M678-Table13[[#This Row],[Debits]]+Table13[[#This Row],[Income]]</f>
        <v>2805.21</v>
      </c>
      <c r="N679" t="str">
        <f>IF(AND(Table13[[#This Row],[Category]]="pay",NOT(Table13[[#This Row],[Debits]]=0)),"bad","good")</f>
        <v>good</v>
      </c>
      <c r="O679" s="5"/>
    </row>
    <row r="680" spans="6:15" x14ac:dyDescent="0.3">
      <c r="F680">
        <f>MONTH(Table13[[#This Row],[Date  (DMY)]])</f>
        <v>1</v>
      </c>
      <c r="G680" s="2"/>
      <c r="L680" s="5"/>
      <c r="M680" s="4">
        <f>M679-Table13[[#This Row],[Debits]]+Table13[[#This Row],[Income]]</f>
        <v>2805.21</v>
      </c>
      <c r="N680" t="str">
        <f>IF(AND(Table13[[#This Row],[Category]]="pay",NOT(Table13[[#This Row],[Debits]]=0)),"bad","good")</f>
        <v>good</v>
      </c>
      <c r="O680" s="5"/>
    </row>
    <row r="681" spans="6:15" x14ac:dyDescent="0.3">
      <c r="F681">
        <f>MONTH(Table13[[#This Row],[Date  (DMY)]])</f>
        <v>1</v>
      </c>
      <c r="G681" s="2"/>
      <c r="L681" s="5"/>
      <c r="M681" s="4">
        <f>M680-Table13[[#This Row],[Debits]]+Table13[[#This Row],[Income]]</f>
        <v>2805.21</v>
      </c>
      <c r="N681" t="str">
        <f>IF(AND(Table13[[#This Row],[Category]]="pay",NOT(Table13[[#This Row],[Debits]]=0)),"bad","good")</f>
        <v>good</v>
      </c>
      <c r="O681" s="5"/>
    </row>
    <row r="682" spans="6:15" x14ac:dyDescent="0.3">
      <c r="F682">
        <f>MONTH(Table13[[#This Row],[Date  (DMY)]])</f>
        <v>1</v>
      </c>
      <c r="G682" s="2"/>
      <c r="L682" s="5"/>
      <c r="M682" s="4">
        <f>M681-Table13[[#This Row],[Debits]]+Table13[[#This Row],[Income]]</f>
        <v>2805.21</v>
      </c>
      <c r="N682" t="str">
        <f>IF(AND(Table13[[#This Row],[Category]]="pay",NOT(Table13[[#This Row],[Debits]]=0)),"bad","good")</f>
        <v>good</v>
      </c>
      <c r="O682" s="5"/>
    </row>
    <row r="683" spans="6:15" x14ac:dyDescent="0.3">
      <c r="F683">
        <f>MONTH(Table13[[#This Row],[Date  (DMY)]])</f>
        <v>1</v>
      </c>
      <c r="G683" s="2"/>
      <c r="L683" s="5"/>
      <c r="M683" s="4">
        <f>M682-Table13[[#This Row],[Debits]]+Table13[[#This Row],[Income]]</f>
        <v>2805.21</v>
      </c>
      <c r="N683" t="str">
        <f>IF(AND(Table13[[#This Row],[Category]]="pay",NOT(Table13[[#This Row],[Debits]]=0)),"bad","good")</f>
        <v>good</v>
      </c>
      <c r="O683" s="5"/>
    </row>
    <row r="684" spans="6:15" x14ac:dyDescent="0.3">
      <c r="F684">
        <f>MONTH(Table13[[#This Row],[Date  (DMY)]])</f>
        <v>1</v>
      </c>
      <c r="G684" s="2"/>
      <c r="L684" s="5"/>
      <c r="M684" s="4">
        <f>M683-Table13[[#This Row],[Debits]]+Table13[[#This Row],[Income]]</f>
        <v>2805.21</v>
      </c>
      <c r="N684" t="str">
        <f>IF(AND(Table13[[#This Row],[Category]]="pay",NOT(Table13[[#This Row],[Debits]]=0)),"bad","good")</f>
        <v>good</v>
      </c>
      <c r="O684" s="5"/>
    </row>
    <row r="685" spans="6:15" x14ac:dyDescent="0.3">
      <c r="F685">
        <f>MONTH(Table13[[#This Row],[Date  (DMY)]])</f>
        <v>1</v>
      </c>
      <c r="G685" s="2"/>
      <c r="L685" s="5"/>
      <c r="M685" s="4">
        <f>M684-Table13[[#This Row],[Debits]]+Table13[[#This Row],[Income]]</f>
        <v>2805.21</v>
      </c>
      <c r="N685" t="str">
        <f>IF(AND(Table13[[#This Row],[Category]]="pay",NOT(Table13[[#This Row],[Debits]]=0)),"bad","good")</f>
        <v>good</v>
      </c>
      <c r="O685" s="5"/>
    </row>
    <row r="686" spans="6:15" x14ac:dyDescent="0.3">
      <c r="F686">
        <f>MONTH(Table13[[#This Row],[Date  (DMY)]])</f>
        <v>1</v>
      </c>
      <c r="G686" s="2"/>
      <c r="L686" s="5"/>
      <c r="M686" s="4">
        <f>M685-Table13[[#This Row],[Debits]]+Table13[[#This Row],[Income]]</f>
        <v>2805.21</v>
      </c>
      <c r="N686" t="str">
        <f>IF(AND(Table13[[#This Row],[Category]]="pay",NOT(Table13[[#This Row],[Debits]]=0)),"bad","good")</f>
        <v>good</v>
      </c>
      <c r="O686" s="5"/>
    </row>
    <row r="687" spans="6:15" x14ac:dyDescent="0.3">
      <c r="F687">
        <f>MONTH(Table13[[#This Row],[Date  (DMY)]])</f>
        <v>1</v>
      </c>
      <c r="G687" s="2"/>
      <c r="L687" s="5"/>
      <c r="M687" s="4">
        <f>M686-Table13[[#This Row],[Debits]]+Table13[[#This Row],[Income]]</f>
        <v>2805.21</v>
      </c>
      <c r="N687" t="str">
        <f>IF(AND(Table13[[#This Row],[Category]]="pay",NOT(Table13[[#This Row],[Debits]]=0)),"bad","good")</f>
        <v>good</v>
      </c>
      <c r="O687" s="5"/>
    </row>
    <row r="688" spans="6:15" x14ac:dyDescent="0.3">
      <c r="F688">
        <f>MONTH(Table13[[#This Row],[Date  (DMY)]])</f>
        <v>1</v>
      </c>
      <c r="G688" s="2"/>
      <c r="L688" s="5"/>
      <c r="M688" s="4">
        <f>M687-Table13[[#This Row],[Debits]]+Table13[[#This Row],[Income]]</f>
        <v>2805.21</v>
      </c>
      <c r="N688" t="str">
        <f>IF(AND(Table13[[#This Row],[Category]]="pay",NOT(Table13[[#This Row],[Debits]]=0)),"bad","good")</f>
        <v>good</v>
      </c>
      <c r="O688" s="5"/>
    </row>
    <row r="689" spans="6:15" x14ac:dyDescent="0.3">
      <c r="F689">
        <f>MONTH(Table13[[#This Row],[Date  (DMY)]])</f>
        <v>1</v>
      </c>
      <c r="G689" s="2"/>
      <c r="L689" s="5"/>
      <c r="M689" s="4">
        <f>M688-Table13[[#This Row],[Debits]]+Table13[[#This Row],[Income]]</f>
        <v>2805.21</v>
      </c>
      <c r="N689" t="str">
        <f>IF(AND(Table13[[#This Row],[Category]]="pay",NOT(Table13[[#This Row],[Debits]]=0)),"bad","good")</f>
        <v>good</v>
      </c>
      <c r="O689" s="5"/>
    </row>
    <row r="690" spans="6:15" x14ac:dyDescent="0.3">
      <c r="F690">
        <f>MONTH(Table13[[#This Row],[Date  (DMY)]])</f>
        <v>1</v>
      </c>
      <c r="G690" s="2"/>
      <c r="L690" s="5"/>
      <c r="M690" s="4">
        <f>M689-Table13[[#This Row],[Debits]]+Table13[[#This Row],[Income]]</f>
        <v>2805.21</v>
      </c>
      <c r="N690" t="str">
        <f>IF(AND(Table13[[#This Row],[Category]]="pay",NOT(Table13[[#This Row],[Debits]]=0)),"bad","good")</f>
        <v>good</v>
      </c>
      <c r="O690" s="5"/>
    </row>
    <row r="691" spans="6:15" x14ac:dyDescent="0.3">
      <c r="F691">
        <f>MONTH(Table13[[#This Row],[Date  (DMY)]])</f>
        <v>1</v>
      </c>
      <c r="G691" s="2"/>
      <c r="L691" s="5"/>
      <c r="M691" s="4">
        <f>M690-Table13[[#This Row],[Debits]]+Table13[[#This Row],[Income]]</f>
        <v>2805.21</v>
      </c>
      <c r="N691" t="str">
        <f>IF(AND(Table13[[#This Row],[Category]]="pay",NOT(Table13[[#This Row],[Debits]]=0)),"bad","good")</f>
        <v>good</v>
      </c>
      <c r="O691" s="5"/>
    </row>
    <row r="692" spans="6:15" x14ac:dyDescent="0.3">
      <c r="F692">
        <f>MONTH(Table13[[#This Row],[Date  (DMY)]])</f>
        <v>1</v>
      </c>
      <c r="G692" s="2"/>
      <c r="L692" s="5"/>
      <c r="M692" s="4">
        <f>M691-Table13[[#This Row],[Debits]]+Table13[[#This Row],[Income]]</f>
        <v>2805.21</v>
      </c>
      <c r="N692" t="str">
        <f>IF(AND(Table13[[#This Row],[Category]]="pay",NOT(Table13[[#This Row],[Debits]]=0)),"bad","good")</f>
        <v>good</v>
      </c>
      <c r="O692" s="5"/>
    </row>
    <row r="693" spans="6:15" x14ac:dyDescent="0.3">
      <c r="F693">
        <f>MONTH(Table13[[#This Row],[Date  (DMY)]])</f>
        <v>1</v>
      </c>
      <c r="G693" s="2"/>
      <c r="L693" s="5"/>
      <c r="M693" s="4">
        <f>M692-Table13[[#This Row],[Debits]]+Table13[[#This Row],[Income]]</f>
        <v>2805.21</v>
      </c>
      <c r="N693" t="str">
        <f>IF(AND(Table13[[#This Row],[Category]]="pay",NOT(Table13[[#This Row],[Debits]]=0)),"bad","good")</f>
        <v>good</v>
      </c>
      <c r="O693" s="5"/>
    </row>
    <row r="694" spans="6:15" x14ac:dyDescent="0.3">
      <c r="F694">
        <f>MONTH(Table13[[#This Row],[Date  (DMY)]])</f>
        <v>1</v>
      </c>
      <c r="G694" s="2"/>
      <c r="L694" s="5"/>
      <c r="M694" s="4">
        <f>M693-Table13[[#This Row],[Debits]]+Table13[[#This Row],[Income]]</f>
        <v>2805.21</v>
      </c>
      <c r="N694" t="str">
        <f>IF(AND(Table13[[#This Row],[Category]]="pay",NOT(Table13[[#This Row],[Debits]]=0)),"bad","good")</f>
        <v>good</v>
      </c>
      <c r="O694" s="5"/>
    </row>
    <row r="695" spans="6:15" x14ac:dyDescent="0.3">
      <c r="F695">
        <f>MONTH(Table13[[#This Row],[Date  (DMY)]])</f>
        <v>1</v>
      </c>
      <c r="G695" s="2"/>
      <c r="L695" s="5"/>
      <c r="M695" s="4">
        <f>M694-Table13[[#This Row],[Debits]]+Table13[[#This Row],[Income]]</f>
        <v>2805.21</v>
      </c>
      <c r="N695" t="str">
        <f>IF(AND(Table13[[#This Row],[Category]]="pay",NOT(Table13[[#This Row],[Debits]]=0)),"bad","good")</f>
        <v>good</v>
      </c>
      <c r="O695" s="5"/>
    </row>
    <row r="696" spans="6:15" x14ac:dyDescent="0.3">
      <c r="F696">
        <f>MONTH(Table13[[#This Row],[Date  (DMY)]])</f>
        <v>1</v>
      </c>
      <c r="G696" s="2"/>
      <c r="L696" s="5"/>
      <c r="M696" s="4">
        <f>M695-Table13[[#This Row],[Debits]]+Table13[[#This Row],[Income]]</f>
        <v>2805.21</v>
      </c>
      <c r="N696" t="str">
        <f>IF(AND(Table13[[#This Row],[Category]]="pay",NOT(Table13[[#This Row],[Debits]]=0)),"bad","good")</f>
        <v>good</v>
      </c>
      <c r="O696" s="5"/>
    </row>
    <row r="697" spans="6:15" x14ac:dyDescent="0.3">
      <c r="F697">
        <f>MONTH(Table13[[#This Row],[Date  (DMY)]])</f>
        <v>1</v>
      </c>
      <c r="G697" s="2"/>
      <c r="L697" s="5"/>
      <c r="M697" s="4">
        <f>M696-Table13[[#This Row],[Debits]]+Table13[[#This Row],[Income]]</f>
        <v>2805.21</v>
      </c>
      <c r="N697" t="str">
        <f>IF(AND(Table13[[#This Row],[Category]]="pay",NOT(Table13[[#This Row],[Debits]]=0)),"bad","good")</f>
        <v>good</v>
      </c>
      <c r="O697" s="5"/>
    </row>
    <row r="698" spans="6:15" x14ac:dyDescent="0.3">
      <c r="F698">
        <f>MONTH(Table13[[#This Row],[Date  (DMY)]])</f>
        <v>1</v>
      </c>
      <c r="G698" s="2"/>
      <c r="L698" s="5"/>
      <c r="M698" s="4">
        <f>M697-Table13[[#This Row],[Debits]]+Table13[[#This Row],[Income]]</f>
        <v>2805.21</v>
      </c>
      <c r="N698" t="str">
        <f>IF(AND(Table13[[#This Row],[Category]]="pay",NOT(Table13[[#This Row],[Debits]]=0)),"bad","good")</f>
        <v>good</v>
      </c>
      <c r="O698" s="5"/>
    </row>
    <row r="699" spans="6:15" x14ac:dyDescent="0.3">
      <c r="F699">
        <f>MONTH(Table13[[#This Row],[Date  (DMY)]])</f>
        <v>1</v>
      </c>
      <c r="G699" s="2"/>
      <c r="L699" s="5"/>
      <c r="M699" s="4">
        <f>M698-Table13[[#This Row],[Debits]]+Table13[[#This Row],[Income]]</f>
        <v>2805.21</v>
      </c>
      <c r="N699" t="str">
        <f>IF(AND(Table13[[#This Row],[Category]]="pay",NOT(Table13[[#This Row],[Debits]]=0)),"bad","good")</f>
        <v>good</v>
      </c>
      <c r="O699" s="5"/>
    </row>
    <row r="700" spans="6:15" x14ac:dyDescent="0.3">
      <c r="F700">
        <f>MONTH(Table13[[#This Row],[Date  (DMY)]])</f>
        <v>1</v>
      </c>
      <c r="G700" s="2"/>
      <c r="L700" s="5"/>
      <c r="M700" s="4">
        <f>M699-Table13[[#This Row],[Debits]]+Table13[[#This Row],[Income]]</f>
        <v>2805.21</v>
      </c>
      <c r="N700" t="str">
        <f>IF(AND(Table13[[#This Row],[Category]]="pay",NOT(Table13[[#This Row],[Debits]]=0)),"bad","good")</f>
        <v>good</v>
      </c>
      <c r="O700" s="5"/>
    </row>
    <row r="701" spans="6:15" x14ac:dyDescent="0.3">
      <c r="F701">
        <f>MONTH(Table13[[#This Row],[Date  (DMY)]])</f>
        <v>1</v>
      </c>
      <c r="G701" s="2"/>
      <c r="L701" s="5"/>
      <c r="M701" s="4">
        <f>M700-Table13[[#This Row],[Debits]]+Table13[[#This Row],[Income]]</f>
        <v>2805.21</v>
      </c>
      <c r="N701" t="str">
        <f>IF(AND(Table13[[#This Row],[Category]]="pay",NOT(Table13[[#This Row],[Debits]]=0)),"bad","good")</f>
        <v>good</v>
      </c>
      <c r="O701" s="5"/>
    </row>
    <row r="702" spans="6:15" x14ac:dyDescent="0.3">
      <c r="F702">
        <f>MONTH(Table13[[#This Row],[Date  (DMY)]])</f>
        <v>1</v>
      </c>
      <c r="G702" s="2"/>
      <c r="L702" s="5"/>
      <c r="M702" s="4">
        <f>M701-Table13[[#This Row],[Debits]]+Table13[[#This Row],[Income]]</f>
        <v>2805.21</v>
      </c>
      <c r="N702" t="str">
        <f>IF(AND(Table13[[#This Row],[Category]]="pay",NOT(Table13[[#This Row],[Debits]]=0)),"bad","good")</f>
        <v>good</v>
      </c>
      <c r="O702" s="5"/>
    </row>
    <row r="703" spans="6:15" x14ac:dyDescent="0.3">
      <c r="F703">
        <f>MONTH(Table13[[#This Row],[Date  (DMY)]])</f>
        <v>1</v>
      </c>
      <c r="G703" s="2"/>
      <c r="L703" s="5"/>
      <c r="M703" s="4">
        <f>M702-Table13[[#This Row],[Debits]]+Table13[[#This Row],[Income]]</f>
        <v>2805.21</v>
      </c>
      <c r="N703" t="str">
        <f>IF(AND(Table13[[#This Row],[Category]]="pay",NOT(Table13[[#This Row],[Debits]]=0)),"bad","good")</f>
        <v>good</v>
      </c>
      <c r="O703" s="5"/>
    </row>
    <row r="704" spans="6:15" x14ac:dyDescent="0.3">
      <c r="F704">
        <f>MONTH(Table13[[#This Row],[Date  (DMY)]])</f>
        <v>1</v>
      </c>
      <c r="G704" s="2"/>
      <c r="L704" s="5"/>
      <c r="M704" s="4">
        <f>M703-Table13[[#This Row],[Debits]]+Table13[[#This Row],[Income]]</f>
        <v>2805.21</v>
      </c>
      <c r="N704" t="str">
        <f>IF(AND(Table13[[#This Row],[Category]]="pay",NOT(Table13[[#This Row],[Debits]]=0)),"bad","good")</f>
        <v>good</v>
      </c>
      <c r="O704" s="5"/>
    </row>
    <row r="705" spans="6:15" x14ac:dyDescent="0.3">
      <c r="F705">
        <f>MONTH(Table13[[#This Row],[Date  (DMY)]])</f>
        <v>1</v>
      </c>
      <c r="G705" s="2"/>
      <c r="L705" s="5"/>
      <c r="M705" s="4">
        <f>M704-Table13[[#This Row],[Debits]]+Table13[[#This Row],[Income]]</f>
        <v>2805.21</v>
      </c>
      <c r="N705" t="str">
        <f>IF(AND(Table13[[#This Row],[Category]]="pay",NOT(Table13[[#This Row],[Debits]]=0)),"bad","good")</f>
        <v>good</v>
      </c>
      <c r="O705" s="5"/>
    </row>
    <row r="706" spans="6:15" x14ac:dyDescent="0.3">
      <c r="F706">
        <f>MONTH(Table13[[#This Row],[Date  (DMY)]])</f>
        <v>1</v>
      </c>
      <c r="G706" s="2"/>
      <c r="L706" s="5"/>
      <c r="M706" s="4">
        <f>M705-Table13[[#This Row],[Debits]]+Table13[[#This Row],[Income]]</f>
        <v>2805.21</v>
      </c>
      <c r="N706" t="str">
        <f>IF(AND(Table13[[#This Row],[Category]]="pay",NOT(Table13[[#This Row],[Debits]]=0)),"bad","good")</f>
        <v>good</v>
      </c>
      <c r="O706" s="5"/>
    </row>
    <row r="707" spans="6:15" x14ac:dyDescent="0.3">
      <c r="F707">
        <f>MONTH(Table13[[#This Row],[Date  (DMY)]])</f>
        <v>1</v>
      </c>
      <c r="G707" s="2"/>
      <c r="L707" s="5"/>
      <c r="M707" s="4">
        <f>M706-Table13[[#This Row],[Debits]]+Table13[[#This Row],[Income]]</f>
        <v>2805.21</v>
      </c>
      <c r="N707" t="str">
        <f>IF(AND(Table13[[#This Row],[Category]]="pay",NOT(Table13[[#This Row],[Debits]]=0)),"bad","good")</f>
        <v>good</v>
      </c>
      <c r="O707" s="5"/>
    </row>
    <row r="708" spans="6:15" x14ac:dyDescent="0.3">
      <c r="F708">
        <f>MONTH(Table13[[#This Row],[Date  (DMY)]])</f>
        <v>1</v>
      </c>
      <c r="G708" s="2"/>
      <c r="L708" s="5"/>
      <c r="M708" s="4">
        <f>M707-Table13[[#This Row],[Debits]]+Table13[[#This Row],[Income]]</f>
        <v>2805.21</v>
      </c>
      <c r="N708" t="str">
        <f>IF(AND(Table13[[#This Row],[Category]]="pay",NOT(Table13[[#This Row],[Debits]]=0)),"bad","good")</f>
        <v>good</v>
      </c>
      <c r="O708" s="5"/>
    </row>
    <row r="709" spans="6:15" x14ac:dyDescent="0.3">
      <c r="F709">
        <f>MONTH(Table13[[#This Row],[Date  (DMY)]])</f>
        <v>1</v>
      </c>
      <c r="G709" s="2"/>
      <c r="L709" s="5"/>
      <c r="M709" s="4">
        <f>M708-Table13[[#This Row],[Debits]]+Table13[[#This Row],[Income]]</f>
        <v>2805.21</v>
      </c>
      <c r="N709" t="str">
        <f>IF(AND(Table13[[#This Row],[Category]]="pay",NOT(Table13[[#This Row],[Debits]]=0)),"bad","good")</f>
        <v>good</v>
      </c>
      <c r="O709" s="5"/>
    </row>
    <row r="710" spans="6:15" x14ac:dyDescent="0.3">
      <c r="F710">
        <f>MONTH(Table13[[#This Row],[Date  (DMY)]])</f>
        <v>1</v>
      </c>
      <c r="G710" s="2"/>
      <c r="L710" s="5"/>
      <c r="M710" s="4">
        <f>M709-Table13[[#This Row],[Debits]]+Table13[[#This Row],[Income]]</f>
        <v>2805.21</v>
      </c>
      <c r="N710" t="str">
        <f>IF(AND(Table13[[#This Row],[Category]]="pay",NOT(Table13[[#This Row],[Debits]]=0)),"bad","good")</f>
        <v>good</v>
      </c>
      <c r="O710" s="5"/>
    </row>
    <row r="711" spans="6:15" x14ac:dyDescent="0.3">
      <c r="F711">
        <f>MONTH(Table13[[#This Row],[Date  (DMY)]])</f>
        <v>1</v>
      </c>
      <c r="G711" s="2"/>
      <c r="L711" s="5"/>
      <c r="M711" s="4">
        <f>M710-Table13[[#This Row],[Debits]]+Table13[[#This Row],[Income]]</f>
        <v>2805.21</v>
      </c>
      <c r="N711" t="str">
        <f>IF(AND(Table13[[#This Row],[Category]]="pay",NOT(Table13[[#This Row],[Debits]]=0)),"bad","good")</f>
        <v>good</v>
      </c>
      <c r="O711" s="5"/>
    </row>
    <row r="712" spans="6:15" x14ac:dyDescent="0.3">
      <c r="F712">
        <f>MONTH(Table13[[#This Row],[Date  (DMY)]])</f>
        <v>1</v>
      </c>
      <c r="G712" s="2"/>
      <c r="L712" s="5"/>
      <c r="M712" s="4">
        <f>M711-Table13[[#This Row],[Debits]]+Table13[[#This Row],[Income]]</f>
        <v>2805.21</v>
      </c>
      <c r="N712" t="str">
        <f>IF(AND(Table13[[#This Row],[Category]]="pay",NOT(Table13[[#This Row],[Debits]]=0)),"bad","good")</f>
        <v>good</v>
      </c>
      <c r="O712" s="5"/>
    </row>
    <row r="713" spans="6:15" x14ac:dyDescent="0.3">
      <c r="F713">
        <f>MONTH(Table13[[#This Row],[Date  (DMY)]])</f>
        <v>1</v>
      </c>
      <c r="G713" s="2"/>
      <c r="L713" s="5"/>
      <c r="M713" s="4">
        <f>M712-Table13[[#This Row],[Debits]]+Table13[[#This Row],[Income]]</f>
        <v>2805.21</v>
      </c>
      <c r="N713" t="str">
        <f>IF(AND(Table13[[#This Row],[Category]]="pay",NOT(Table13[[#This Row],[Debits]]=0)),"bad","good")</f>
        <v>good</v>
      </c>
      <c r="O713" s="5"/>
    </row>
    <row r="714" spans="6:15" x14ac:dyDescent="0.3">
      <c r="F714">
        <f>MONTH(Table13[[#This Row],[Date  (DMY)]])</f>
        <v>1</v>
      </c>
      <c r="G714" s="2"/>
      <c r="L714" s="5"/>
      <c r="M714" s="4">
        <f>M713-Table13[[#This Row],[Debits]]+Table13[[#This Row],[Income]]</f>
        <v>2805.21</v>
      </c>
      <c r="N714" t="str">
        <f>IF(AND(Table13[[#This Row],[Category]]="pay",NOT(Table13[[#This Row],[Debits]]=0)),"bad","good")</f>
        <v>good</v>
      </c>
      <c r="O714" s="5"/>
    </row>
    <row r="715" spans="6:15" x14ac:dyDescent="0.3">
      <c r="F715">
        <f>MONTH(Table13[[#This Row],[Date  (DMY)]])</f>
        <v>1</v>
      </c>
      <c r="G715" s="2"/>
      <c r="L715" s="5"/>
      <c r="M715" s="4">
        <f>M714-Table13[[#This Row],[Debits]]+Table13[[#This Row],[Income]]</f>
        <v>2805.21</v>
      </c>
      <c r="N715" t="str">
        <f>IF(AND(Table13[[#This Row],[Category]]="pay",NOT(Table13[[#This Row],[Debits]]=0)),"bad","good")</f>
        <v>good</v>
      </c>
      <c r="O715" s="5"/>
    </row>
    <row r="716" spans="6:15" x14ac:dyDescent="0.3">
      <c r="F716">
        <f>MONTH(Table13[[#This Row],[Date  (DMY)]])</f>
        <v>1</v>
      </c>
      <c r="G716" s="2"/>
      <c r="L716" s="5"/>
      <c r="M716" s="4">
        <f>M715-Table13[[#This Row],[Debits]]+Table13[[#This Row],[Income]]</f>
        <v>2805.21</v>
      </c>
      <c r="N716" t="str">
        <f>IF(AND(Table13[[#This Row],[Category]]="pay",NOT(Table13[[#This Row],[Debits]]=0)),"bad","good")</f>
        <v>good</v>
      </c>
      <c r="O716" s="5"/>
    </row>
    <row r="717" spans="6:15" x14ac:dyDescent="0.3">
      <c r="F717">
        <f>MONTH(Table13[[#This Row],[Date  (DMY)]])</f>
        <v>1</v>
      </c>
      <c r="G717" s="2"/>
      <c r="L717" s="5"/>
      <c r="M717" s="4">
        <f>M716-Table13[[#This Row],[Debits]]+Table13[[#This Row],[Income]]</f>
        <v>2805.21</v>
      </c>
      <c r="N717" t="str">
        <f>IF(AND(Table13[[#This Row],[Category]]="pay",NOT(Table13[[#This Row],[Debits]]=0)),"bad","good")</f>
        <v>good</v>
      </c>
      <c r="O717" s="5"/>
    </row>
    <row r="718" spans="6:15" x14ac:dyDescent="0.3">
      <c r="F718">
        <f>MONTH(Table13[[#This Row],[Date  (DMY)]])</f>
        <v>1</v>
      </c>
      <c r="G718" s="2"/>
      <c r="L718" s="5"/>
      <c r="M718" s="4">
        <f>M717-Table13[[#This Row],[Debits]]+Table13[[#This Row],[Income]]</f>
        <v>2805.21</v>
      </c>
      <c r="N718" t="str">
        <f>IF(AND(Table13[[#This Row],[Category]]="pay",NOT(Table13[[#This Row],[Debits]]=0)),"bad","good")</f>
        <v>good</v>
      </c>
      <c r="O718" s="5"/>
    </row>
    <row r="719" spans="6:15" x14ac:dyDescent="0.3">
      <c r="F719">
        <f>MONTH(Table13[[#This Row],[Date  (DMY)]])</f>
        <v>1</v>
      </c>
      <c r="G719" s="2"/>
      <c r="L719" s="5"/>
      <c r="M719" s="4">
        <f>M718-Table13[[#This Row],[Debits]]+Table13[[#This Row],[Income]]</f>
        <v>2805.21</v>
      </c>
      <c r="N719" t="str">
        <f>IF(AND(Table13[[#This Row],[Category]]="pay",NOT(Table13[[#This Row],[Debits]]=0)),"bad","good")</f>
        <v>good</v>
      </c>
      <c r="O719" s="5"/>
    </row>
    <row r="720" spans="6:15" x14ac:dyDescent="0.3">
      <c r="F720">
        <f>MONTH(Table13[[#This Row],[Date  (DMY)]])</f>
        <v>1</v>
      </c>
      <c r="G720" s="2"/>
      <c r="L720" s="5"/>
      <c r="M720" s="4">
        <f>M719-Table13[[#This Row],[Debits]]+Table13[[#This Row],[Income]]</f>
        <v>2805.21</v>
      </c>
      <c r="N720" t="str">
        <f>IF(AND(Table13[[#This Row],[Category]]="pay",NOT(Table13[[#This Row],[Debits]]=0)),"bad","good")</f>
        <v>good</v>
      </c>
      <c r="O720" s="5"/>
    </row>
    <row r="721" spans="6:15" x14ac:dyDescent="0.3">
      <c r="F721">
        <f>MONTH(Table13[[#This Row],[Date  (DMY)]])</f>
        <v>1</v>
      </c>
      <c r="G721" s="2"/>
      <c r="L721" s="5"/>
      <c r="M721" s="4">
        <f>M720-Table13[[#This Row],[Debits]]+Table13[[#This Row],[Income]]</f>
        <v>2805.21</v>
      </c>
      <c r="N721" t="str">
        <f>IF(AND(Table13[[#This Row],[Category]]="pay",NOT(Table13[[#This Row],[Debits]]=0)),"bad","good")</f>
        <v>good</v>
      </c>
      <c r="O721" s="5"/>
    </row>
    <row r="722" spans="6:15" x14ac:dyDescent="0.3">
      <c r="F722">
        <f>MONTH(Table13[[#This Row],[Date  (DMY)]])</f>
        <v>1</v>
      </c>
      <c r="G722" s="2"/>
      <c r="L722" s="5"/>
      <c r="M722" s="4">
        <f>M721-Table13[[#This Row],[Debits]]+Table13[[#This Row],[Income]]</f>
        <v>2805.21</v>
      </c>
      <c r="N722" t="str">
        <f>IF(AND(Table13[[#This Row],[Category]]="pay",NOT(Table13[[#This Row],[Debits]]=0)),"bad","good")</f>
        <v>good</v>
      </c>
      <c r="O722" s="5"/>
    </row>
    <row r="723" spans="6:15" x14ac:dyDescent="0.3">
      <c r="F723">
        <f>MONTH(Table13[[#This Row],[Date  (DMY)]])</f>
        <v>1</v>
      </c>
      <c r="G723" s="2"/>
      <c r="L723" s="5"/>
      <c r="M723" s="4">
        <f>M722-Table13[[#This Row],[Debits]]+Table13[[#This Row],[Income]]</f>
        <v>2805.21</v>
      </c>
      <c r="N723" t="str">
        <f>IF(AND(Table13[[#This Row],[Category]]="pay",NOT(Table13[[#This Row],[Debits]]=0)),"bad","good")</f>
        <v>good</v>
      </c>
      <c r="O723" s="5"/>
    </row>
    <row r="724" spans="6:15" x14ac:dyDescent="0.3">
      <c r="F724">
        <f>MONTH(Table13[[#This Row],[Date  (DMY)]])</f>
        <v>1</v>
      </c>
      <c r="G724" s="2"/>
      <c r="L724" s="5"/>
      <c r="M724" s="4">
        <f>M723-Table13[[#This Row],[Debits]]+Table13[[#This Row],[Income]]</f>
        <v>2805.21</v>
      </c>
      <c r="N724" t="str">
        <f>IF(AND(Table13[[#This Row],[Category]]="pay",NOT(Table13[[#This Row],[Debits]]=0)),"bad","good")</f>
        <v>good</v>
      </c>
      <c r="O724" s="5"/>
    </row>
    <row r="725" spans="6:15" x14ac:dyDescent="0.3">
      <c r="F725">
        <f>MONTH(Table13[[#This Row],[Date  (DMY)]])</f>
        <v>1</v>
      </c>
      <c r="G725" s="2"/>
      <c r="L725" s="5"/>
      <c r="M725" s="4">
        <f>M724-Table13[[#This Row],[Debits]]+Table13[[#This Row],[Income]]</f>
        <v>2805.21</v>
      </c>
      <c r="N725" t="str">
        <f>IF(AND(Table13[[#This Row],[Category]]="pay",NOT(Table13[[#This Row],[Debits]]=0)),"bad","good")</f>
        <v>good</v>
      </c>
      <c r="O725" s="5"/>
    </row>
    <row r="726" spans="6:15" x14ac:dyDescent="0.3">
      <c r="F726">
        <f>MONTH(Table13[[#This Row],[Date  (DMY)]])</f>
        <v>1</v>
      </c>
      <c r="G726" s="2"/>
      <c r="L726" s="5"/>
      <c r="M726" s="4">
        <f>M725-Table13[[#This Row],[Debits]]+Table13[[#This Row],[Income]]</f>
        <v>2805.21</v>
      </c>
      <c r="N726" t="str">
        <f>IF(AND(Table13[[#This Row],[Category]]="pay",NOT(Table13[[#This Row],[Debits]]=0)),"bad","good")</f>
        <v>good</v>
      </c>
      <c r="O726" s="5"/>
    </row>
    <row r="727" spans="6:15" x14ac:dyDescent="0.3">
      <c r="F727">
        <f>MONTH(Table13[[#This Row],[Date  (DMY)]])</f>
        <v>1</v>
      </c>
      <c r="G727" s="2"/>
      <c r="L727" s="5"/>
      <c r="M727" s="4">
        <f>M726-Table13[[#This Row],[Debits]]+Table13[[#This Row],[Income]]</f>
        <v>2805.21</v>
      </c>
      <c r="N727" t="str">
        <f>IF(AND(Table13[[#This Row],[Category]]="pay",NOT(Table13[[#This Row],[Debits]]=0)),"bad","good")</f>
        <v>good</v>
      </c>
      <c r="O727" s="5"/>
    </row>
    <row r="728" spans="6:15" x14ac:dyDescent="0.3">
      <c r="F728">
        <f>MONTH(Table13[[#This Row],[Date  (DMY)]])</f>
        <v>1</v>
      </c>
      <c r="G728" s="2"/>
      <c r="L728" s="5"/>
      <c r="M728" s="4">
        <f>M727-Table13[[#This Row],[Debits]]+Table13[[#This Row],[Income]]</f>
        <v>2805.21</v>
      </c>
      <c r="N728" t="str">
        <f>IF(AND(Table13[[#This Row],[Category]]="pay",NOT(Table13[[#This Row],[Debits]]=0)),"bad","good")</f>
        <v>good</v>
      </c>
      <c r="O728" s="5"/>
    </row>
    <row r="729" spans="6:15" x14ac:dyDescent="0.3">
      <c r="F729">
        <f>MONTH(Table13[[#This Row],[Date  (DMY)]])</f>
        <v>1</v>
      </c>
      <c r="G729" s="2"/>
      <c r="L729" s="5"/>
      <c r="M729" s="4">
        <f>M728-Table13[[#This Row],[Debits]]+Table13[[#This Row],[Income]]</f>
        <v>2805.21</v>
      </c>
      <c r="N729" t="str">
        <f>IF(AND(Table13[[#This Row],[Category]]="pay",NOT(Table13[[#This Row],[Debits]]=0)),"bad","good")</f>
        <v>good</v>
      </c>
      <c r="O729" s="5"/>
    </row>
    <row r="730" spans="6:15" x14ac:dyDescent="0.3">
      <c r="F730">
        <f>MONTH(Table13[[#This Row],[Date  (DMY)]])</f>
        <v>1</v>
      </c>
      <c r="G730" s="2"/>
      <c r="L730" s="5"/>
      <c r="M730" s="4">
        <f>M729-Table13[[#This Row],[Debits]]+Table13[[#This Row],[Income]]</f>
        <v>2805.21</v>
      </c>
      <c r="N730" t="str">
        <f>IF(AND(Table13[[#This Row],[Category]]="pay",NOT(Table13[[#This Row],[Debits]]=0)),"bad","good")</f>
        <v>good</v>
      </c>
      <c r="O730" s="5"/>
    </row>
    <row r="731" spans="6:15" x14ac:dyDescent="0.3">
      <c r="F731">
        <f>MONTH(Table13[[#This Row],[Date  (DMY)]])</f>
        <v>1</v>
      </c>
      <c r="G731" s="2"/>
      <c r="L731" s="5"/>
      <c r="M731" s="4">
        <f>M730-Table13[[#This Row],[Debits]]+Table13[[#This Row],[Income]]</f>
        <v>2805.21</v>
      </c>
      <c r="N731" t="str">
        <f>IF(AND(Table13[[#This Row],[Category]]="pay",NOT(Table13[[#This Row],[Debits]]=0)),"bad","good")</f>
        <v>good</v>
      </c>
      <c r="O731" s="5"/>
    </row>
    <row r="732" spans="6:15" x14ac:dyDescent="0.3">
      <c r="F732">
        <f>MONTH(Table13[[#This Row],[Date  (DMY)]])</f>
        <v>1</v>
      </c>
      <c r="G732" s="2"/>
      <c r="L732" s="5"/>
      <c r="M732" s="4">
        <f>M731-Table13[[#This Row],[Debits]]+Table13[[#This Row],[Income]]</f>
        <v>2805.21</v>
      </c>
      <c r="N732" t="str">
        <f>IF(AND(Table13[[#This Row],[Category]]="pay",NOT(Table13[[#This Row],[Debits]]=0)),"bad","good")</f>
        <v>good</v>
      </c>
      <c r="O732" s="5"/>
    </row>
    <row r="733" spans="6:15" x14ac:dyDescent="0.3">
      <c r="F733">
        <f>MONTH(Table13[[#This Row],[Date  (DMY)]])</f>
        <v>1</v>
      </c>
      <c r="G733" s="2"/>
      <c r="L733" s="5"/>
      <c r="M733" s="4">
        <f>M732-Table13[[#This Row],[Debits]]+Table13[[#This Row],[Income]]</f>
        <v>2805.21</v>
      </c>
      <c r="N733" t="str">
        <f>IF(AND(Table13[[#This Row],[Category]]="pay",NOT(Table13[[#This Row],[Debits]]=0)),"bad","good")</f>
        <v>good</v>
      </c>
      <c r="O733" s="5"/>
    </row>
    <row r="734" spans="6:15" x14ac:dyDescent="0.3">
      <c r="F734">
        <f>MONTH(Table13[[#This Row],[Date  (DMY)]])</f>
        <v>1</v>
      </c>
      <c r="G734" s="2"/>
      <c r="L734" s="5"/>
      <c r="M734" s="4">
        <f>M733-Table13[[#This Row],[Debits]]+Table13[[#This Row],[Income]]</f>
        <v>2805.21</v>
      </c>
      <c r="N734" t="str">
        <f>IF(AND(Table13[[#This Row],[Category]]="pay",NOT(Table13[[#This Row],[Debits]]=0)),"bad","good")</f>
        <v>good</v>
      </c>
      <c r="O734" s="5"/>
    </row>
    <row r="735" spans="6:15" x14ac:dyDescent="0.3">
      <c r="F735">
        <f>MONTH(Table13[[#This Row],[Date  (DMY)]])</f>
        <v>1</v>
      </c>
      <c r="G735" s="2"/>
      <c r="L735" s="5"/>
      <c r="M735" s="4">
        <f>M734-Table13[[#This Row],[Debits]]+Table13[[#This Row],[Income]]</f>
        <v>2805.21</v>
      </c>
      <c r="N735" t="str">
        <f>IF(AND(Table13[[#This Row],[Category]]="pay",NOT(Table13[[#This Row],[Debits]]=0)),"bad","good")</f>
        <v>good</v>
      </c>
      <c r="O735" s="5"/>
    </row>
    <row r="736" spans="6:15" x14ac:dyDescent="0.3">
      <c r="F736">
        <f>MONTH(Table13[[#This Row],[Date  (DMY)]])</f>
        <v>1</v>
      </c>
      <c r="G736" s="2"/>
      <c r="L736" s="5"/>
      <c r="M736" s="4">
        <f>M735-Table13[[#This Row],[Debits]]+Table13[[#This Row],[Income]]</f>
        <v>2805.21</v>
      </c>
      <c r="N736" t="str">
        <f>IF(AND(Table13[[#This Row],[Category]]="pay",NOT(Table13[[#This Row],[Debits]]=0)),"bad","good")</f>
        <v>good</v>
      </c>
      <c r="O736" s="5"/>
    </row>
    <row r="737" spans="6:15" x14ac:dyDescent="0.3">
      <c r="F737">
        <f>MONTH(Table13[[#This Row],[Date  (DMY)]])</f>
        <v>1</v>
      </c>
      <c r="G737" s="2"/>
      <c r="L737" s="5"/>
      <c r="M737" s="4">
        <f>M736-Table13[[#This Row],[Debits]]+Table13[[#This Row],[Income]]</f>
        <v>2805.21</v>
      </c>
      <c r="N737" t="str">
        <f>IF(AND(Table13[[#This Row],[Category]]="pay",NOT(Table13[[#This Row],[Debits]]=0)),"bad","good")</f>
        <v>good</v>
      </c>
      <c r="O737" s="5"/>
    </row>
    <row r="738" spans="6:15" x14ac:dyDescent="0.3">
      <c r="F738">
        <f>MONTH(Table13[[#This Row],[Date  (DMY)]])</f>
        <v>1</v>
      </c>
      <c r="G738" s="2"/>
      <c r="L738" s="5"/>
      <c r="M738" s="4">
        <f>M737-Table13[[#This Row],[Debits]]+Table13[[#This Row],[Income]]</f>
        <v>2805.21</v>
      </c>
      <c r="N738" t="str">
        <f>IF(AND(Table13[[#This Row],[Category]]="pay",NOT(Table13[[#This Row],[Debits]]=0)),"bad","good")</f>
        <v>good</v>
      </c>
      <c r="O738" s="5"/>
    </row>
    <row r="739" spans="6:15" x14ac:dyDescent="0.3">
      <c r="F739">
        <f>MONTH(Table13[[#This Row],[Date  (DMY)]])</f>
        <v>1</v>
      </c>
      <c r="G739" s="2"/>
      <c r="L739" s="5"/>
      <c r="M739" s="4">
        <f>M738-Table13[[#This Row],[Debits]]+Table13[[#This Row],[Income]]</f>
        <v>2805.21</v>
      </c>
      <c r="N739" t="str">
        <f>IF(AND(Table13[[#This Row],[Category]]="pay",NOT(Table13[[#This Row],[Debits]]=0)),"bad","good")</f>
        <v>good</v>
      </c>
      <c r="O739" s="5"/>
    </row>
    <row r="740" spans="6:15" x14ac:dyDescent="0.3">
      <c r="F740">
        <f>MONTH(Table13[[#This Row],[Date  (DMY)]])</f>
        <v>1</v>
      </c>
      <c r="G740" s="2"/>
      <c r="L740" s="5"/>
      <c r="M740" s="4">
        <f>M739-Table13[[#This Row],[Debits]]+Table13[[#This Row],[Income]]</f>
        <v>2805.21</v>
      </c>
      <c r="N740" t="str">
        <f>IF(AND(Table13[[#This Row],[Category]]="pay",NOT(Table13[[#This Row],[Debits]]=0)),"bad","good")</f>
        <v>good</v>
      </c>
      <c r="O740" s="5"/>
    </row>
    <row r="741" spans="6:15" x14ac:dyDescent="0.3">
      <c r="F741">
        <f>MONTH(Table13[[#This Row],[Date  (DMY)]])</f>
        <v>1</v>
      </c>
      <c r="G741" s="2"/>
      <c r="L741" s="5"/>
      <c r="M741" s="4">
        <f>M740-Table13[[#This Row],[Debits]]+Table13[[#This Row],[Income]]</f>
        <v>2805.21</v>
      </c>
      <c r="N741" t="str">
        <f>IF(AND(Table13[[#This Row],[Category]]="pay",NOT(Table13[[#This Row],[Debits]]=0)),"bad","good")</f>
        <v>good</v>
      </c>
      <c r="O741" s="5"/>
    </row>
    <row r="742" spans="6:15" x14ac:dyDescent="0.3">
      <c r="F742">
        <f>MONTH(Table13[[#This Row],[Date  (DMY)]])</f>
        <v>1</v>
      </c>
      <c r="G742" s="2"/>
      <c r="L742" s="5"/>
      <c r="M742" s="4">
        <f>M741-Table13[[#This Row],[Debits]]+Table13[[#This Row],[Income]]</f>
        <v>2805.21</v>
      </c>
      <c r="N742" t="str">
        <f>IF(AND(Table13[[#This Row],[Category]]="pay",NOT(Table13[[#This Row],[Debits]]=0)),"bad","good")</f>
        <v>good</v>
      </c>
      <c r="O742" s="5"/>
    </row>
    <row r="743" spans="6:15" x14ac:dyDescent="0.3">
      <c r="F743">
        <f>MONTH(Table13[[#This Row],[Date  (DMY)]])</f>
        <v>1</v>
      </c>
      <c r="G743" s="2"/>
      <c r="L743" s="5"/>
      <c r="M743" s="4">
        <f>M742-Table13[[#This Row],[Debits]]+Table13[[#This Row],[Income]]</f>
        <v>2805.21</v>
      </c>
      <c r="N743" t="str">
        <f>IF(AND(Table13[[#This Row],[Category]]="pay",NOT(Table13[[#This Row],[Debits]]=0)),"bad","good")</f>
        <v>good</v>
      </c>
      <c r="O743" s="5"/>
    </row>
    <row r="744" spans="6:15" x14ac:dyDescent="0.3">
      <c r="F744">
        <f>MONTH(Table13[[#This Row],[Date  (DMY)]])</f>
        <v>1</v>
      </c>
      <c r="G744" s="2"/>
      <c r="L744" s="5"/>
      <c r="M744" s="4">
        <f>M743-Table13[[#This Row],[Debits]]+Table13[[#This Row],[Income]]</f>
        <v>2805.21</v>
      </c>
      <c r="N744" t="str">
        <f>IF(AND(Table13[[#This Row],[Category]]="pay",NOT(Table13[[#This Row],[Debits]]=0)),"bad","good")</f>
        <v>good</v>
      </c>
      <c r="O744" s="5"/>
    </row>
    <row r="745" spans="6:15" x14ac:dyDescent="0.3">
      <c r="F745">
        <f>MONTH(Table13[[#This Row],[Date  (DMY)]])</f>
        <v>1</v>
      </c>
      <c r="G745" s="2"/>
      <c r="L745" s="5"/>
      <c r="M745" s="4">
        <f>M744-Table13[[#This Row],[Debits]]+Table13[[#This Row],[Income]]</f>
        <v>2805.21</v>
      </c>
      <c r="N745" t="str">
        <f>IF(AND(Table13[[#This Row],[Category]]="pay",NOT(Table13[[#This Row],[Debits]]=0)),"bad","good")</f>
        <v>good</v>
      </c>
      <c r="O745" s="5"/>
    </row>
    <row r="746" spans="6:15" x14ac:dyDescent="0.3">
      <c r="F746">
        <f>MONTH(Table13[[#This Row],[Date  (DMY)]])</f>
        <v>1</v>
      </c>
      <c r="G746" s="2"/>
      <c r="L746" s="5"/>
      <c r="M746" s="4">
        <f>M745-Table13[[#This Row],[Debits]]+Table13[[#This Row],[Income]]</f>
        <v>2805.21</v>
      </c>
      <c r="N746" t="str">
        <f>IF(AND(Table13[[#This Row],[Category]]="pay",NOT(Table13[[#This Row],[Debits]]=0)),"bad","good")</f>
        <v>good</v>
      </c>
      <c r="O746" s="5"/>
    </row>
    <row r="747" spans="6:15" x14ac:dyDescent="0.3">
      <c r="F747">
        <f>MONTH(Table13[[#This Row],[Date  (DMY)]])</f>
        <v>1</v>
      </c>
      <c r="G747" s="2"/>
      <c r="L747" s="5"/>
      <c r="M747" s="4">
        <f>M746-Table13[[#This Row],[Debits]]+Table13[[#This Row],[Income]]</f>
        <v>2805.21</v>
      </c>
      <c r="N747" t="str">
        <f>IF(AND(Table13[[#This Row],[Category]]="pay",NOT(Table13[[#This Row],[Debits]]=0)),"bad","good")</f>
        <v>good</v>
      </c>
      <c r="O747" s="5"/>
    </row>
    <row r="748" spans="6:15" x14ac:dyDescent="0.3">
      <c r="F748">
        <f>MONTH(Table13[[#This Row],[Date  (DMY)]])</f>
        <v>1</v>
      </c>
      <c r="G748" s="2"/>
      <c r="L748" s="5"/>
      <c r="M748" s="4">
        <f>M747-Table13[[#This Row],[Debits]]+Table13[[#This Row],[Income]]</f>
        <v>2805.21</v>
      </c>
      <c r="N748" t="str">
        <f>IF(AND(Table13[[#This Row],[Category]]="pay",NOT(Table13[[#This Row],[Debits]]=0)),"bad","good")</f>
        <v>good</v>
      </c>
      <c r="O748" s="5"/>
    </row>
    <row r="749" spans="6:15" x14ac:dyDescent="0.3">
      <c r="F749">
        <f>MONTH(Table13[[#This Row],[Date  (DMY)]])</f>
        <v>1</v>
      </c>
      <c r="G749" s="2"/>
      <c r="L749" s="5"/>
      <c r="M749" s="4">
        <f>M748-Table13[[#This Row],[Debits]]+Table13[[#This Row],[Income]]</f>
        <v>2805.21</v>
      </c>
      <c r="N749" t="str">
        <f>IF(AND(Table13[[#This Row],[Category]]="pay",NOT(Table13[[#This Row],[Debits]]=0)),"bad","good")</f>
        <v>good</v>
      </c>
      <c r="O749" s="5"/>
    </row>
    <row r="750" spans="6:15" x14ac:dyDescent="0.3">
      <c r="F750">
        <f>MONTH(Table13[[#This Row],[Date  (DMY)]])</f>
        <v>1</v>
      </c>
      <c r="G750" s="2"/>
      <c r="L750" s="5"/>
      <c r="M750" s="4">
        <f>M749-Table13[[#This Row],[Debits]]+Table13[[#This Row],[Income]]</f>
        <v>2805.21</v>
      </c>
      <c r="N750" t="str">
        <f>IF(AND(Table13[[#This Row],[Category]]="pay",NOT(Table13[[#This Row],[Debits]]=0)),"bad","good")</f>
        <v>good</v>
      </c>
      <c r="O750" s="5"/>
    </row>
    <row r="751" spans="6:15" x14ac:dyDescent="0.3">
      <c r="F751">
        <f>MONTH(Table13[[#This Row],[Date  (DMY)]])</f>
        <v>1</v>
      </c>
      <c r="G751" s="2"/>
      <c r="L751" s="5"/>
      <c r="M751" s="4">
        <f>M750-Table13[[#This Row],[Debits]]+Table13[[#This Row],[Income]]</f>
        <v>2805.21</v>
      </c>
      <c r="N751" t="str">
        <f>IF(AND(Table13[[#This Row],[Category]]="pay",NOT(Table13[[#This Row],[Debits]]=0)),"bad","good")</f>
        <v>good</v>
      </c>
      <c r="O751" s="5"/>
    </row>
    <row r="752" spans="6:15" x14ac:dyDescent="0.3">
      <c r="F752">
        <f>MONTH(Table13[[#This Row],[Date  (DMY)]])</f>
        <v>1</v>
      </c>
      <c r="G752" s="2"/>
      <c r="L752" s="5"/>
      <c r="M752" s="4">
        <f>M751-Table13[[#This Row],[Debits]]+Table13[[#This Row],[Income]]</f>
        <v>2805.21</v>
      </c>
      <c r="N752" t="str">
        <f>IF(AND(Table13[[#This Row],[Category]]="pay",NOT(Table13[[#This Row],[Debits]]=0)),"bad","good")</f>
        <v>good</v>
      </c>
      <c r="O752" s="5"/>
    </row>
    <row r="753" spans="6:15" x14ac:dyDescent="0.3">
      <c r="F753">
        <f>MONTH(Table13[[#This Row],[Date  (DMY)]])</f>
        <v>1</v>
      </c>
      <c r="G753" s="2"/>
      <c r="L753" s="5"/>
      <c r="M753" s="4">
        <f>M752-Table13[[#This Row],[Debits]]+Table13[[#This Row],[Income]]</f>
        <v>2805.21</v>
      </c>
      <c r="N753" t="str">
        <f>IF(AND(Table13[[#This Row],[Category]]="pay",NOT(Table13[[#This Row],[Debits]]=0)),"bad","good")</f>
        <v>good</v>
      </c>
      <c r="O753" s="5"/>
    </row>
    <row r="754" spans="6:15" x14ac:dyDescent="0.3">
      <c r="F754">
        <f>MONTH(Table13[[#This Row],[Date  (DMY)]])</f>
        <v>1</v>
      </c>
      <c r="G754" s="2"/>
      <c r="L754" s="5"/>
      <c r="M754" s="4">
        <f>M753-Table13[[#This Row],[Debits]]+Table13[[#This Row],[Income]]</f>
        <v>2805.21</v>
      </c>
      <c r="N754" t="str">
        <f>IF(AND(Table13[[#This Row],[Category]]="pay",NOT(Table13[[#This Row],[Debits]]=0)),"bad","good")</f>
        <v>good</v>
      </c>
      <c r="O754" s="5"/>
    </row>
    <row r="755" spans="6:15" x14ac:dyDescent="0.3">
      <c r="F755">
        <f>MONTH(Table13[[#This Row],[Date  (DMY)]])</f>
        <v>1</v>
      </c>
      <c r="G755" s="2"/>
      <c r="L755" s="5"/>
      <c r="M755" s="4">
        <f>M754-Table13[[#This Row],[Debits]]+Table13[[#This Row],[Income]]</f>
        <v>2805.21</v>
      </c>
      <c r="N755" t="str">
        <f>IF(AND(Table13[[#This Row],[Category]]="pay",NOT(Table13[[#This Row],[Debits]]=0)),"bad","good")</f>
        <v>good</v>
      </c>
      <c r="O755" s="5"/>
    </row>
    <row r="756" spans="6:15" x14ac:dyDescent="0.3">
      <c r="F756">
        <f>MONTH(Table13[[#This Row],[Date  (DMY)]])</f>
        <v>1</v>
      </c>
      <c r="G756" s="2"/>
      <c r="L756" s="5"/>
      <c r="M756" s="4">
        <f>M755-Table13[[#This Row],[Debits]]+Table13[[#This Row],[Income]]</f>
        <v>2805.21</v>
      </c>
      <c r="N756" t="str">
        <f>IF(AND(Table13[[#This Row],[Category]]="pay",NOT(Table13[[#This Row],[Debits]]=0)),"bad","good")</f>
        <v>good</v>
      </c>
      <c r="O756" s="5"/>
    </row>
    <row r="757" spans="6:15" x14ac:dyDescent="0.3">
      <c r="F757">
        <f>MONTH(Table13[[#This Row],[Date  (DMY)]])</f>
        <v>1</v>
      </c>
      <c r="G757" s="2"/>
      <c r="L757" s="5"/>
      <c r="M757" s="4">
        <f>M756-Table13[[#This Row],[Debits]]+Table13[[#This Row],[Income]]</f>
        <v>2805.21</v>
      </c>
      <c r="N757" t="str">
        <f>IF(AND(Table13[[#This Row],[Category]]="pay",NOT(Table13[[#This Row],[Debits]]=0)),"bad","good")</f>
        <v>good</v>
      </c>
      <c r="O757" s="5"/>
    </row>
    <row r="758" spans="6:15" x14ac:dyDescent="0.3">
      <c r="F758">
        <f>MONTH(Table13[[#This Row],[Date  (DMY)]])</f>
        <v>1</v>
      </c>
      <c r="G758" s="2"/>
      <c r="L758" s="5"/>
      <c r="M758" s="4">
        <f>M757-Table13[[#This Row],[Debits]]+Table13[[#This Row],[Income]]</f>
        <v>2805.21</v>
      </c>
      <c r="N758" t="str">
        <f>IF(AND(Table13[[#This Row],[Category]]="pay",NOT(Table13[[#This Row],[Debits]]=0)),"bad","good")</f>
        <v>good</v>
      </c>
      <c r="O758" s="5"/>
    </row>
    <row r="759" spans="6:15" x14ac:dyDescent="0.3">
      <c r="F759">
        <f>MONTH(Table13[[#This Row],[Date  (DMY)]])</f>
        <v>1</v>
      </c>
      <c r="G759" s="2"/>
      <c r="L759" s="5"/>
      <c r="M759" s="4">
        <f>M758-Table13[[#This Row],[Debits]]+Table13[[#This Row],[Income]]</f>
        <v>2805.21</v>
      </c>
      <c r="N759" t="str">
        <f>IF(AND(Table13[[#This Row],[Category]]="pay",NOT(Table13[[#This Row],[Debits]]=0)),"bad","good")</f>
        <v>good</v>
      </c>
      <c r="O759" s="5"/>
    </row>
    <row r="760" spans="6:15" x14ac:dyDescent="0.3">
      <c r="F760">
        <f>MONTH(Table13[[#This Row],[Date  (DMY)]])</f>
        <v>1</v>
      </c>
      <c r="G760" s="2"/>
      <c r="L760" s="5"/>
      <c r="M760" s="4">
        <f>M759-Table13[[#This Row],[Debits]]+Table13[[#This Row],[Income]]</f>
        <v>2805.21</v>
      </c>
      <c r="N760" t="str">
        <f>IF(AND(Table13[[#This Row],[Category]]="pay",NOT(Table13[[#This Row],[Debits]]=0)),"bad","good")</f>
        <v>good</v>
      </c>
      <c r="O760" s="5"/>
    </row>
    <row r="761" spans="6:15" x14ac:dyDescent="0.3">
      <c r="F761">
        <f>MONTH(Table13[[#This Row],[Date  (DMY)]])</f>
        <v>1</v>
      </c>
      <c r="G761" s="2"/>
      <c r="L761" s="5"/>
      <c r="M761" s="4">
        <f>M760-Table13[[#This Row],[Debits]]+Table13[[#This Row],[Income]]</f>
        <v>2805.21</v>
      </c>
      <c r="N761" t="str">
        <f>IF(AND(Table13[[#This Row],[Category]]="pay",NOT(Table13[[#This Row],[Debits]]=0)),"bad","good")</f>
        <v>good</v>
      </c>
      <c r="O761" s="5"/>
    </row>
    <row r="762" spans="6:15" x14ac:dyDescent="0.3">
      <c r="F762">
        <f>MONTH(Table13[[#This Row],[Date  (DMY)]])</f>
        <v>1</v>
      </c>
      <c r="G762" s="2"/>
      <c r="L762" s="5"/>
      <c r="M762" s="4">
        <f>M761-Table13[[#This Row],[Debits]]+Table13[[#This Row],[Income]]</f>
        <v>2805.21</v>
      </c>
      <c r="N762" t="str">
        <f>IF(AND(Table13[[#This Row],[Category]]="pay",NOT(Table13[[#This Row],[Debits]]=0)),"bad","good")</f>
        <v>good</v>
      </c>
      <c r="O762" s="5"/>
    </row>
    <row r="763" spans="6:15" x14ac:dyDescent="0.3">
      <c r="F763">
        <f>MONTH(Table13[[#This Row],[Date  (DMY)]])</f>
        <v>1</v>
      </c>
      <c r="G763" s="2"/>
      <c r="L763" s="5"/>
      <c r="M763" s="4">
        <f>M762-Table13[[#This Row],[Debits]]+Table13[[#This Row],[Income]]</f>
        <v>2805.21</v>
      </c>
      <c r="N763" t="str">
        <f>IF(AND(Table13[[#This Row],[Category]]="pay",NOT(Table13[[#This Row],[Debits]]=0)),"bad","good")</f>
        <v>good</v>
      </c>
      <c r="O763" s="5"/>
    </row>
    <row r="764" spans="6:15" x14ac:dyDescent="0.3">
      <c r="F764">
        <f>MONTH(Table13[[#This Row],[Date  (DMY)]])</f>
        <v>1</v>
      </c>
      <c r="G764" s="2"/>
      <c r="L764" s="5"/>
      <c r="M764" s="4">
        <f>M763-Table13[[#This Row],[Debits]]+Table13[[#This Row],[Income]]</f>
        <v>2805.21</v>
      </c>
      <c r="N764" t="str">
        <f>IF(AND(Table13[[#This Row],[Category]]="pay",NOT(Table13[[#This Row],[Debits]]=0)),"bad","good")</f>
        <v>good</v>
      </c>
      <c r="O764" s="5"/>
    </row>
    <row r="765" spans="6:15" x14ac:dyDescent="0.3">
      <c r="F765">
        <f>MONTH(Table13[[#This Row],[Date  (DMY)]])</f>
        <v>1</v>
      </c>
      <c r="G765" s="2"/>
      <c r="L765" s="5"/>
      <c r="M765" s="4">
        <f>M764-Table13[[#This Row],[Debits]]+Table13[[#This Row],[Income]]</f>
        <v>2805.21</v>
      </c>
      <c r="N765" t="str">
        <f>IF(AND(Table13[[#This Row],[Category]]="pay",NOT(Table13[[#This Row],[Debits]]=0)),"bad","good")</f>
        <v>good</v>
      </c>
      <c r="O765" s="5"/>
    </row>
    <row r="766" spans="6:15" x14ac:dyDescent="0.3">
      <c r="F766">
        <f>MONTH(Table13[[#This Row],[Date  (DMY)]])</f>
        <v>1</v>
      </c>
      <c r="G766" s="2"/>
      <c r="L766" s="5"/>
      <c r="M766" s="4">
        <f>M765-Table13[[#This Row],[Debits]]+Table13[[#This Row],[Income]]</f>
        <v>2805.21</v>
      </c>
      <c r="N766" t="str">
        <f>IF(AND(Table13[[#This Row],[Category]]="pay",NOT(Table13[[#This Row],[Debits]]=0)),"bad","good")</f>
        <v>good</v>
      </c>
      <c r="O766" s="5"/>
    </row>
    <row r="767" spans="6:15" x14ac:dyDescent="0.3">
      <c r="F767">
        <f>MONTH(Table13[[#This Row],[Date  (DMY)]])</f>
        <v>1</v>
      </c>
      <c r="G767" s="2"/>
      <c r="L767" s="5"/>
      <c r="M767" s="4">
        <f>M766-Table13[[#This Row],[Debits]]+Table13[[#This Row],[Income]]</f>
        <v>2805.21</v>
      </c>
      <c r="N767" t="str">
        <f>IF(AND(Table13[[#This Row],[Category]]="pay",NOT(Table13[[#This Row],[Debits]]=0)),"bad","good")</f>
        <v>good</v>
      </c>
      <c r="O767" s="5"/>
    </row>
    <row r="768" spans="6:15" x14ac:dyDescent="0.3">
      <c r="F768">
        <f>MONTH(Table13[[#This Row],[Date  (DMY)]])</f>
        <v>1</v>
      </c>
      <c r="G768" s="2"/>
      <c r="L768" s="5"/>
      <c r="M768" s="4">
        <f>M767-Table13[[#This Row],[Debits]]+Table13[[#This Row],[Income]]</f>
        <v>2805.21</v>
      </c>
      <c r="N768" t="str">
        <f>IF(AND(Table13[[#This Row],[Category]]="pay",NOT(Table13[[#This Row],[Debits]]=0)),"bad","good")</f>
        <v>good</v>
      </c>
      <c r="O768" s="5"/>
    </row>
    <row r="769" spans="6:15" x14ac:dyDescent="0.3">
      <c r="F769">
        <f>MONTH(Table13[[#This Row],[Date  (DMY)]])</f>
        <v>1</v>
      </c>
      <c r="G769" s="2"/>
      <c r="L769" s="5"/>
      <c r="M769" s="4">
        <f>M768-Table13[[#This Row],[Debits]]+Table13[[#This Row],[Income]]</f>
        <v>2805.21</v>
      </c>
      <c r="N769" t="str">
        <f>IF(AND(Table13[[#This Row],[Category]]="pay",NOT(Table13[[#This Row],[Debits]]=0)),"bad","good")</f>
        <v>good</v>
      </c>
      <c r="O769" s="5"/>
    </row>
    <row r="770" spans="6:15" x14ac:dyDescent="0.3">
      <c r="F770">
        <f>MONTH(Table13[[#This Row],[Date  (DMY)]])</f>
        <v>1</v>
      </c>
      <c r="G770" s="2"/>
      <c r="L770" s="5"/>
      <c r="M770" s="4">
        <f>M769-Table13[[#This Row],[Debits]]+Table13[[#This Row],[Income]]</f>
        <v>2805.21</v>
      </c>
      <c r="N770" t="str">
        <f>IF(AND(Table13[[#This Row],[Category]]="pay",NOT(Table13[[#This Row],[Debits]]=0)),"bad","good")</f>
        <v>good</v>
      </c>
      <c r="O770" s="5"/>
    </row>
    <row r="771" spans="6:15" x14ac:dyDescent="0.3">
      <c r="F771">
        <f>MONTH(Table13[[#This Row],[Date  (DMY)]])</f>
        <v>1</v>
      </c>
      <c r="G771" s="2"/>
      <c r="L771" s="5"/>
      <c r="M771" s="4">
        <f>M770-Table13[[#This Row],[Debits]]+Table13[[#This Row],[Income]]</f>
        <v>2805.21</v>
      </c>
      <c r="N771" t="str">
        <f>IF(AND(Table13[[#This Row],[Category]]="pay",NOT(Table13[[#This Row],[Debits]]=0)),"bad","good")</f>
        <v>good</v>
      </c>
      <c r="O771" s="5"/>
    </row>
    <row r="772" spans="6:15" x14ac:dyDescent="0.3">
      <c r="F772">
        <f>MONTH(Table13[[#This Row],[Date  (DMY)]])</f>
        <v>1</v>
      </c>
      <c r="G772" s="2"/>
      <c r="L772" s="5"/>
      <c r="M772" s="4">
        <f>M771-Table13[[#This Row],[Debits]]+Table13[[#This Row],[Income]]</f>
        <v>2805.21</v>
      </c>
      <c r="N772" t="str">
        <f>IF(AND(Table13[[#This Row],[Category]]="pay",NOT(Table13[[#This Row],[Debits]]=0)),"bad","good")</f>
        <v>good</v>
      </c>
      <c r="O772" s="5"/>
    </row>
    <row r="773" spans="6:15" x14ac:dyDescent="0.3">
      <c r="F773">
        <f>MONTH(Table13[[#This Row],[Date  (DMY)]])</f>
        <v>1</v>
      </c>
      <c r="G773" s="2"/>
      <c r="L773" s="5"/>
      <c r="M773" s="4">
        <f>M772-Table13[[#This Row],[Debits]]+Table13[[#This Row],[Income]]</f>
        <v>2805.21</v>
      </c>
      <c r="N773" t="str">
        <f>IF(AND(Table13[[#This Row],[Category]]="pay",NOT(Table13[[#This Row],[Debits]]=0)),"bad","good")</f>
        <v>good</v>
      </c>
      <c r="O773" s="5"/>
    </row>
    <row r="774" spans="6:15" x14ac:dyDescent="0.3">
      <c r="F774">
        <f>MONTH(Table13[[#This Row],[Date  (DMY)]])</f>
        <v>1</v>
      </c>
      <c r="G774" s="2"/>
      <c r="L774" s="5"/>
      <c r="M774" s="4">
        <f>M773-Table13[[#This Row],[Debits]]+Table13[[#This Row],[Income]]</f>
        <v>2805.21</v>
      </c>
      <c r="N774" t="str">
        <f>IF(AND(Table13[[#This Row],[Category]]="pay",NOT(Table13[[#This Row],[Debits]]=0)),"bad","good")</f>
        <v>good</v>
      </c>
      <c r="O774" s="5"/>
    </row>
    <row r="775" spans="6:15" x14ac:dyDescent="0.3">
      <c r="F775">
        <f>MONTH(Table13[[#This Row],[Date  (DMY)]])</f>
        <v>1</v>
      </c>
      <c r="G775" s="2"/>
      <c r="L775" s="5"/>
      <c r="M775" s="4">
        <f>M774-Table13[[#This Row],[Debits]]+Table13[[#This Row],[Income]]</f>
        <v>2805.21</v>
      </c>
      <c r="N775" t="str">
        <f>IF(AND(Table13[[#This Row],[Category]]="pay",NOT(Table13[[#This Row],[Debits]]=0)),"bad","good")</f>
        <v>good</v>
      </c>
      <c r="O775" s="5"/>
    </row>
    <row r="776" spans="6:15" x14ac:dyDescent="0.3">
      <c r="F776">
        <f>MONTH(Table13[[#This Row],[Date  (DMY)]])</f>
        <v>1</v>
      </c>
      <c r="G776" s="2"/>
      <c r="L776" s="5"/>
      <c r="M776" s="4">
        <f>M775-Table13[[#This Row],[Debits]]+Table13[[#This Row],[Income]]</f>
        <v>2805.21</v>
      </c>
      <c r="N776" t="str">
        <f>IF(AND(Table13[[#This Row],[Category]]="pay",NOT(Table13[[#This Row],[Debits]]=0)),"bad","good")</f>
        <v>good</v>
      </c>
      <c r="O776" s="5"/>
    </row>
    <row r="777" spans="6:15" x14ac:dyDescent="0.3">
      <c r="F777">
        <f>MONTH(Table13[[#This Row],[Date  (DMY)]])</f>
        <v>1</v>
      </c>
      <c r="G777" s="2"/>
      <c r="L777" s="5"/>
      <c r="M777" s="4">
        <f>M776-Table13[[#This Row],[Debits]]+Table13[[#This Row],[Income]]</f>
        <v>2805.21</v>
      </c>
      <c r="N777" t="str">
        <f>IF(AND(Table13[[#This Row],[Category]]="pay",NOT(Table13[[#This Row],[Debits]]=0)),"bad","good")</f>
        <v>good</v>
      </c>
      <c r="O777" s="5"/>
    </row>
    <row r="778" spans="6:15" x14ac:dyDescent="0.3">
      <c r="F778">
        <f>MONTH(Table13[[#This Row],[Date  (DMY)]])</f>
        <v>1</v>
      </c>
      <c r="G778" s="2"/>
      <c r="L778" s="5"/>
      <c r="M778" s="4">
        <f>M777-Table13[[#This Row],[Debits]]+Table13[[#This Row],[Income]]</f>
        <v>2805.21</v>
      </c>
      <c r="N778" t="str">
        <f>IF(AND(Table13[[#This Row],[Category]]="pay",NOT(Table13[[#This Row],[Debits]]=0)),"bad","good")</f>
        <v>good</v>
      </c>
      <c r="O778" s="5"/>
    </row>
    <row r="779" spans="6:15" x14ac:dyDescent="0.3">
      <c r="F779">
        <f>MONTH(Table13[[#This Row],[Date  (DMY)]])</f>
        <v>1</v>
      </c>
      <c r="G779" s="2"/>
      <c r="L779" s="5"/>
      <c r="M779" s="4">
        <f>M778-Table13[[#This Row],[Debits]]+Table13[[#This Row],[Income]]</f>
        <v>2805.21</v>
      </c>
      <c r="N779" t="str">
        <f>IF(AND(Table13[[#This Row],[Category]]="pay",NOT(Table13[[#This Row],[Debits]]=0)),"bad","good")</f>
        <v>good</v>
      </c>
      <c r="O779" s="5"/>
    </row>
    <row r="780" spans="6:15" x14ac:dyDescent="0.3">
      <c r="F780">
        <f>MONTH(Table13[[#This Row],[Date  (DMY)]])</f>
        <v>1</v>
      </c>
      <c r="G780" s="2"/>
      <c r="L780" s="5"/>
      <c r="M780" s="4">
        <f>M779-Table13[[#This Row],[Debits]]+Table13[[#This Row],[Income]]</f>
        <v>2805.21</v>
      </c>
      <c r="N780" t="str">
        <f>IF(AND(Table13[[#This Row],[Category]]="pay",NOT(Table13[[#This Row],[Debits]]=0)),"bad","good")</f>
        <v>good</v>
      </c>
      <c r="O780" s="5"/>
    </row>
    <row r="781" spans="6:15" x14ac:dyDescent="0.3">
      <c r="F781">
        <f>MONTH(Table13[[#This Row],[Date  (DMY)]])</f>
        <v>1</v>
      </c>
      <c r="G781" s="2"/>
      <c r="L781" s="5"/>
      <c r="M781" s="4">
        <f>M780-Table13[[#This Row],[Debits]]+Table13[[#This Row],[Income]]</f>
        <v>2805.21</v>
      </c>
      <c r="N781" t="str">
        <f>IF(AND(Table13[[#This Row],[Category]]="pay",NOT(Table13[[#This Row],[Debits]]=0)),"bad","good")</f>
        <v>good</v>
      </c>
      <c r="O781" s="5"/>
    </row>
    <row r="782" spans="6:15" x14ac:dyDescent="0.3">
      <c r="F782">
        <f>MONTH(Table13[[#This Row],[Date  (DMY)]])</f>
        <v>1</v>
      </c>
      <c r="G782" s="2"/>
      <c r="L782" s="5"/>
      <c r="M782" s="4">
        <f>M781-Table13[[#This Row],[Debits]]+Table13[[#This Row],[Income]]</f>
        <v>2805.21</v>
      </c>
      <c r="N782" t="str">
        <f>IF(AND(Table13[[#This Row],[Category]]="pay",NOT(Table13[[#This Row],[Debits]]=0)),"bad","good")</f>
        <v>good</v>
      </c>
      <c r="O782" s="5"/>
    </row>
    <row r="783" spans="6:15" x14ac:dyDescent="0.3">
      <c r="F783">
        <f>MONTH(Table13[[#This Row],[Date  (DMY)]])</f>
        <v>1</v>
      </c>
      <c r="G783" s="2"/>
      <c r="L783" s="5"/>
      <c r="M783" s="4">
        <f>M782-Table13[[#This Row],[Debits]]+Table13[[#This Row],[Income]]</f>
        <v>2805.21</v>
      </c>
      <c r="N783" t="str">
        <f>IF(AND(Table13[[#This Row],[Category]]="pay",NOT(Table13[[#This Row],[Debits]]=0)),"bad","good")</f>
        <v>good</v>
      </c>
      <c r="O783" s="5"/>
    </row>
    <row r="784" spans="6:15" x14ac:dyDescent="0.3">
      <c r="F784">
        <f>MONTH(Table13[[#This Row],[Date  (DMY)]])</f>
        <v>1</v>
      </c>
      <c r="G784" s="2"/>
      <c r="L784" s="5"/>
      <c r="M784" s="4">
        <f>M783-Table13[[#This Row],[Debits]]+Table13[[#This Row],[Income]]</f>
        <v>2805.21</v>
      </c>
      <c r="N784" t="str">
        <f>IF(AND(Table13[[#This Row],[Category]]="pay",NOT(Table13[[#This Row],[Debits]]=0)),"bad","good")</f>
        <v>good</v>
      </c>
      <c r="O784" s="5"/>
    </row>
    <row r="785" spans="6:15" x14ac:dyDescent="0.3">
      <c r="F785">
        <f>MONTH(Table13[[#This Row],[Date  (DMY)]])</f>
        <v>1</v>
      </c>
      <c r="G785" s="2"/>
      <c r="L785" s="5"/>
      <c r="M785" s="4">
        <f>M784-Table13[[#This Row],[Debits]]+Table13[[#This Row],[Income]]</f>
        <v>2805.21</v>
      </c>
      <c r="N785" t="str">
        <f>IF(AND(Table13[[#This Row],[Category]]="pay",NOT(Table13[[#This Row],[Debits]]=0)),"bad","good")</f>
        <v>good</v>
      </c>
      <c r="O785" s="5"/>
    </row>
    <row r="786" spans="6:15" x14ac:dyDescent="0.3">
      <c r="F786">
        <f>MONTH(Table13[[#This Row],[Date  (DMY)]])</f>
        <v>1</v>
      </c>
      <c r="G786" s="2"/>
      <c r="L786" s="5"/>
      <c r="M786" s="4">
        <f>M785-Table13[[#This Row],[Debits]]+Table13[[#This Row],[Income]]</f>
        <v>2805.21</v>
      </c>
      <c r="N786" t="str">
        <f>IF(AND(Table13[[#This Row],[Category]]="pay",NOT(Table13[[#This Row],[Debits]]=0)),"bad","good")</f>
        <v>good</v>
      </c>
      <c r="O786" s="5"/>
    </row>
    <row r="787" spans="6:15" x14ac:dyDescent="0.3">
      <c r="F787">
        <f>MONTH(Table13[[#This Row],[Date  (DMY)]])</f>
        <v>1</v>
      </c>
      <c r="G787" s="2"/>
      <c r="L787" s="5"/>
      <c r="M787" s="4">
        <f>M786-Table13[[#This Row],[Debits]]+Table13[[#This Row],[Income]]</f>
        <v>2805.21</v>
      </c>
      <c r="N787" t="str">
        <f>IF(AND(Table13[[#This Row],[Category]]="pay",NOT(Table13[[#This Row],[Debits]]=0)),"bad","good")</f>
        <v>good</v>
      </c>
      <c r="O787" s="5"/>
    </row>
    <row r="788" spans="6:15" x14ac:dyDescent="0.3">
      <c r="F788">
        <f>MONTH(Table13[[#This Row],[Date  (DMY)]])</f>
        <v>1</v>
      </c>
      <c r="G788" s="2"/>
      <c r="L788" s="5"/>
      <c r="M788" s="4">
        <f>M787-Table13[[#This Row],[Debits]]+Table13[[#This Row],[Income]]</f>
        <v>2805.21</v>
      </c>
      <c r="N788" t="str">
        <f>IF(AND(Table13[[#This Row],[Category]]="pay",NOT(Table13[[#This Row],[Debits]]=0)),"bad","good")</f>
        <v>good</v>
      </c>
      <c r="O788" s="5"/>
    </row>
    <row r="789" spans="6:15" x14ac:dyDescent="0.3">
      <c r="F789">
        <f>MONTH(Table13[[#This Row],[Date  (DMY)]])</f>
        <v>1</v>
      </c>
      <c r="G789" s="2"/>
      <c r="L789" s="5"/>
      <c r="M789" s="4">
        <f>M788-Table13[[#This Row],[Debits]]+Table13[[#This Row],[Income]]</f>
        <v>2805.21</v>
      </c>
      <c r="N789" t="str">
        <f>IF(AND(Table13[[#This Row],[Category]]="pay",NOT(Table13[[#This Row],[Debits]]=0)),"bad","good")</f>
        <v>good</v>
      </c>
      <c r="O789" s="5"/>
    </row>
    <row r="790" spans="6:15" x14ac:dyDescent="0.3">
      <c r="F790">
        <f>MONTH(Table13[[#This Row],[Date  (DMY)]])</f>
        <v>1</v>
      </c>
      <c r="G790" s="2"/>
      <c r="L790" s="5"/>
      <c r="M790" s="4">
        <f>M789-Table13[[#This Row],[Debits]]+Table13[[#This Row],[Income]]</f>
        <v>2805.21</v>
      </c>
      <c r="N790" t="str">
        <f>IF(AND(Table13[[#This Row],[Category]]="pay",NOT(Table13[[#This Row],[Debits]]=0)),"bad","good")</f>
        <v>good</v>
      </c>
      <c r="O790" s="5"/>
    </row>
    <row r="791" spans="6:15" x14ac:dyDescent="0.3">
      <c r="F791">
        <f>MONTH(Table13[[#This Row],[Date  (DMY)]])</f>
        <v>1</v>
      </c>
      <c r="G791" s="2"/>
      <c r="L791" s="5"/>
      <c r="M791" s="4">
        <f>M790-Table13[[#This Row],[Debits]]+Table13[[#This Row],[Income]]</f>
        <v>2805.21</v>
      </c>
      <c r="N791" t="str">
        <f>IF(AND(Table13[[#This Row],[Category]]="pay",NOT(Table13[[#This Row],[Debits]]=0)),"bad","good")</f>
        <v>good</v>
      </c>
      <c r="O791" s="5"/>
    </row>
    <row r="792" spans="6:15" x14ac:dyDescent="0.3">
      <c r="F792">
        <f>MONTH(Table13[[#This Row],[Date  (DMY)]])</f>
        <v>1</v>
      </c>
      <c r="G792" s="2"/>
      <c r="L792" s="5"/>
      <c r="M792" s="4">
        <f>M791-Table13[[#This Row],[Debits]]+Table13[[#This Row],[Income]]</f>
        <v>2805.21</v>
      </c>
      <c r="N792" t="str">
        <f>IF(AND(Table13[[#This Row],[Category]]="pay",NOT(Table13[[#This Row],[Debits]]=0)),"bad","good")</f>
        <v>good</v>
      </c>
      <c r="O792" s="5"/>
    </row>
    <row r="793" spans="6:15" x14ac:dyDescent="0.3">
      <c r="F793">
        <f>MONTH(Table13[[#This Row],[Date  (DMY)]])</f>
        <v>1</v>
      </c>
      <c r="G793" s="2"/>
      <c r="L793" s="5"/>
      <c r="M793" s="4">
        <f>M792-Table13[[#This Row],[Debits]]+Table13[[#This Row],[Income]]</f>
        <v>2805.21</v>
      </c>
      <c r="N793" t="str">
        <f>IF(AND(Table13[[#This Row],[Category]]="pay",NOT(Table13[[#This Row],[Debits]]=0)),"bad","good")</f>
        <v>good</v>
      </c>
      <c r="O793" s="5"/>
    </row>
    <row r="794" spans="6:15" x14ac:dyDescent="0.3">
      <c r="F794">
        <f>MONTH(Table13[[#This Row],[Date  (DMY)]])</f>
        <v>1</v>
      </c>
      <c r="G794" s="2"/>
      <c r="L794" s="5"/>
      <c r="M794" s="4">
        <f>M793-Table13[[#This Row],[Debits]]+Table13[[#This Row],[Income]]</f>
        <v>2805.21</v>
      </c>
      <c r="N794" t="str">
        <f>IF(AND(Table13[[#This Row],[Category]]="pay",NOT(Table13[[#This Row],[Debits]]=0)),"bad","good")</f>
        <v>good</v>
      </c>
      <c r="O794" s="5"/>
    </row>
    <row r="795" spans="6:15" x14ac:dyDescent="0.3">
      <c r="F795">
        <f>MONTH(Table13[[#This Row],[Date  (DMY)]])</f>
        <v>1</v>
      </c>
      <c r="G795" s="2"/>
      <c r="L795" s="5"/>
      <c r="M795" s="4">
        <f>M794-Table13[[#This Row],[Debits]]+Table13[[#This Row],[Income]]</f>
        <v>2805.21</v>
      </c>
      <c r="N795" t="str">
        <f>IF(AND(Table13[[#This Row],[Category]]="pay",NOT(Table13[[#This Row],[Debits]]=0)),"bad","good")</f>
        <v>good</v>
      </c>
      <c r="O795" s="5"/>
    </row>
    <row r="796" spans="6:15" x14ac:dyDescent="0.3">
      <c r="F796">
        <f>MONTH(Table13[[#This Row],[Date  (DMY)]])</f>
        <v>1</v>
      </c>
      <c r="G796" s="2"/>
      <c r="L796" s="5"/>
      <c r="M796" s="4">
        <f>M795-Table13[[#This Row],[Debits]]+Table13[[#This Row],[Income]]</f>
        <v>2805.21</v>
      </c>
      <c r="N796" t="str">
        <f>IF(AND(Table13[[#This Row],[Category]]="pay",NOT(Table13[[#This Row],[Debits]]=0)),"bad","good")</f>
        <v>good</v>
      </c>
      <c r="O796" s="5"/>
    </row>
    <row r="797" spans="6:15" x14ac:dyDescent="0.3">
      <c r="F797">
        <f>MONTH(Table13[[#This Row],[Date  (DMY)]])</f>
        <v>1</v>
      </c>
      <c r="G797" s="2"/>
      <c r="L797" s="5"/>
      <c r="M797" s="4">
        <f>M796-Table13[[#This Row],[Debits]]+Table13[[#This Row],[Income]]</f>
        <v>2805.21</v>
      </c>
      <c r="N797" t="str">
        <f>IF(AND(Table13[[#This Row],[Category]]="pay",NOT(Table13[[#This Row],[Debits]]=0)),"bad","good")</f>
        <v>good</v>
      </c>
      <c r="O797" s="5"/>
    </row>
    <row r="798" spans="6:15" x14ac:dyDescent="0.3">
      <c r="F798">
        <f>MONTH(Table13[[#This Row],[Date  (DMY)]])</f>
        <v>1</v>
      </c>
      <c r="G798" s="2"/>
      <c r="L798" s="5"/>
      <c r="M798" s="4">
        <f>M797-Table13[[#This Row],[Debits]]+Table13[[#This Row],[Income]]</f>
        <v>2805.21</v>
      </c>
      <c r="N798" t="str">
        <f>IF(AND(Table13[[#This Row],[Category]]="pay",NOT(Table13[[#This Row],[Debits]]=0)),"bad","good")</f>
        <v>good</v>
      </c>
      <c r="O798" s="5"/>
    </row>
    <row r="799" spans="6:15" x14ac:dyDescent="0.3">
      <c r="F799">
        <f>MONTH(Table13[[#This Row],[Date  (DMY)]])</f>
        <v>1</v>
      </c>
      <c r="G799" s="2"/>
      <c r="L799" s="5"/>
      <c r="M799" s="4">
        <f>M798-Table13[[#This Row],[Debits]]+Table13[[#This Row],[Income]]</f>
        <v>2805.21</v>
      </c>
      <c r="N799" t="str">
        <f>IF(AND(Table13[[#This Row],[Category]]="pay",NOT(Table13[[#This Row],[Debits]]=0)),"bad","good")</f>
        <v>good</v>
      </c>
      <c r="O799" s="5"/>
    </row>
    <row r="800" spans="6:15" x14ac:dyDescent="0.3">
      <c r="F800">
        <f>MONTH(Table13[[#This Row],[Date  (DMY)]])</f>
        <v>1</v>
      </c>
      <c r="G800" s="2"/>
      <c r="L800" s="5"/>
      <c r="M800" s="4">
        <f>M799-Table13[[#This Row],[Debits]]+Table13[[#This Row],[Income]]</f>
        <v>2805.21</v>
      </c>
      <c r="N800" t="str">
        <f>IF(AND(Table13[[#This Row],[Category]]="pay",NOT(Table13[[#This Row],[Debits]]=0)),"bad","good")</f>
        <v>good</v>
      </c>
      <c r="O800" s="5"/>
    </row>
    <row r="801" spans="6:15" x14ac:dyDescent="0.3">
      <c r="F801">
        <f>MONTH(Table13[[#This Row],[Date  (DMY)]])</f>
        <v>1</v>
      </c>
      <c r="G801" s="2"/>
      <c r="L801" s="5"/>
      <c r="M801" s="4">
        <f>M800-Table13[[#This Row],[Debits]]+Table13[[#This Row],[Income]]</f>
        <v>2805.21</v>
      </c>
      <c r="N801" t="str">
        <f>IF(AND(Table13[[#This Row],[Category]]="pay",NOT(Table13[[#This Row],[Debits]]=0)),"bad","good")</f>
        <v>good</v>
      </c>
      <c r="O801" s="5"/>
    </row>
    <row r="802" spans="6:15" x14ac:dyDescent="0.3">
      <c r="F802">
        <f>MONTH(Table13[[#This Row],[Date  (DMY)]])</f>
        <v>1</v>
      </c>
      <c r="G802" s="2"/>
      <c r="L802" s="5"/>
      <c r="M802" s="4">
        <f>M801-Table13[[#This Row],[Debits]]+Table13[[#This Row],[Income]]</f>
        <v>2805.21</v>
      </c>
      <c r="N802" t="str">
        <f>IF(AND(Table13[[#This Row],[Category]]="pay",NOT(Table13[[#This Row],[Debits]]=0)),"bad","good")</f>
        <v>good</v>
      </c>
      <c r="O802" s="5"/>
    </row>
    <row r="803" spans="6:15" x14ac:dyDescent="0.3">
      <c r="F803">
        <f>MONTH(Table13[[#This Row],[Date  (DMY)]])</f>
        <v>1</v>
      </c>
      <c r="G803" s="2"/>
      <c r="L803" s="5"/>
      <c r="M803" s="4">
        <f>M802-Table13[[#This Row],[Debits]]+Table13[[#This Row],[Income]]</f>
        <v>2805.21</v>
      </c>
      <c r="N803" t="str">
        <f>IF(AND(Table13[[#This Row],[Category]]="pay",NOT(Table13[[#This Row],[Debits]]=0)),"bad","good")</f>
        <v>good</v>
      </c>
      <c r="O803" s="5"/>
    </row>
    <row r="804" spans="6:15" x14ac:dyDescent="0.3">
      <c r="F804">
        <f>MONTH(Table13[[#This Row],[Date  (DMY)]])</f>
        <v>1</v>
      </c>
      <c r="G804" s="2"/>
      <c r="L804" s="5"/>
      <c r="M804" s="4">
        <f>M803-Table13[[#This Row],[Debits]]+Table13[[#This Row],[Income]]</f>
        <v>2805.21</v>
      </c>
      <c r="N804" t="str">
        <f>IF(AND(Table13[[#This Row],[Category]]="pay",NOT(Table13[[#This Row],[Debits]]=0)),"bad","good")</f>
        <v>good</v>
      </c>
      <c r="O804" s="5"/>
    </row>
    <row r="805" spans="6:15" x14ac:dyDescent="0.3">
      <c r="F805">
        <f>MONTH(Table13[[#This Row],[Date  (DMY)]])</f>
        <v>1</v>
      </c>
      <c r="G805" s="2"/>
      <c r="L805" s="5"/>
      <c r="M805" s="4">
        <f>M804-Table13[[#This Row],[Debits]]+Table13[[#This Row],[Income]]</f>
        <v>2805.21</v>
      </c>
      <c r="N805" t="str">
        <f>IF(AND(Table13[[#This Row],[Category]]="pay",NOT(Table13[[#This Row],[Debits]]=0)),"bad","good")</f>
        <v>good</v>
      </c>
      <c r="O805" s="5"/>
    </row>
    <row r="806" spans="6:15" x14ac:dyDescent="0.3">
      <c r="F806">
        <f>MONTH(Table13[[#This Row],[Date  (DMY)]])</f>
        <v>1</v>
      </c>
      <c r="G806" s="2"/>
      <c r="L806" s="5"/>
      <c r="M806" s="4">
        <f>M805-Table13[[#This Row],[Debits]]+Table13[[#This Row],[Income]]</f>
        <v>2805.21</v>
      </c>
      <c r="N806" t="str">
        <f>IF(AND(Table13[[#This Row],[Category]]="pay",NOT(Table13[[#This Row],[Debits]]=0)),"bad","good")</f>
        <v>good</v>
      </c>
      <c r="O806" s="5"/>
    </row>
    <row r="807" spans="6:15" x14ac:dyDescent="0.3">
      <c r="F807">
        <f>MONTH(Table13[[#This Row],[Date  (DMY)]])</f>
        <v>1</v>
      </c>
      <c r="G807" s="2"/>
      <c r="L807" s="5"/>
      <c r="M807" s="4">
        <f>M806-Table13[[#This Row],[Debits]]+Table13[[#This Row],[Income]]</f>
        <v>2805.21</v>
      </c>
      <c r="N807" t="str">
        <f>IF(AND(Table13[[#This Row],[Category]]="pay",NOT(Table13[[#This Row],[Debits]]=0)),"bad","good")</f>
        <v>good</v>
      </c>
      <c r="O807" s="5"/>
    </row>
    <row r="808" spans="6:15" x14ac:dyDescent="0.3">
      <c r="F808">
        <f>MONTH(Table13[[#This Row],[Date  (DMY)]])</f>
        <v>1</v>
      </c>
      <c r="G808" s="2"/>
      <c r="L808" s="5"/>
      <c r="M808" s="4">
        <f>M807-Table13[[#This Row],[Debits]]+Table13[[#This Row],[Income]]</f>
        <v>2805.21</v>
      </c>
      <c r="N808" t="str">
        <f>IF(AND(Table13[[#This Row],[Category]]="pay",NOT(Table13[[#This Row],[Debits]]=0)),"bad","good")</f>
        <v>good</v>
      </c>
      <c r="O808" s="5"/>
    </row>
    <row r="809" spans="6:15" x14ac:dyDescent="0.3">
      <c r="F809">
        <f>MONTH(Table13[[#This Row],[Date  (DMY)]])</f>
        <v>1</v>
      </c>
      <c r="G809" s="2"/>
      <c r="L809" s="5"/>
      <c r="M809" s="4">
        <f>M808-Table13[[#This Row],[Debits]]+Table13[[#This Row],[Income]]</f>
        <v>2805.21</v>
      </c>
      <c r="N809" t="str">
        <f>IF(AND(Table13[[#This Row],[Category]]="pay",NOT(Table13[[#This Row],[Debits]]=0)),"bad","good")</f>
        <v>good</v>
      </c>
      <c r="O809" s="5"/>
    </row>
    <row r="810" spans="6:15" x14ac:dyDescent="0.3">
      <c r="F810">
        <f>MONTH(Table13[[#This Row],[Date  (DMY)]])</f>
        <v>1</v>
      </c>
      <c r="G810" s="2"/>
      <c r="L810" s="5"/>
      <c r="M810" s="4">
        <f>M809-Table13[[#This Row],[Debits]]+Table13[[#This Row],[Income]]</f>
        <v>2805.21</v>
      </c>
      <c r="N810" t="str">
        <f>IF(AND(Table13[[#This Row],[Category]]="pay",NOT(Table13[[#This Row],[Debits]]=0)),"bad","good")</f>
        <v>good</v>
      </c>
      <c r="O810" s="5"/>
    </row>
    <row r="811" spans="6:15" x14ac:dyDescent="0.3">
      <c r="F811">
        <f>MONTH(Table13[[#This Row],[Date  (DMY)]])</f>
        <v>1</v>
      </c>
      <c r="G811" s="2"/>
      <c r="L811" s="5"/>
      <c r="M811" s="4">
        <f>M810-Table13[[#This Row],[Debits]]+Table13[[#This Row],[Income]]</f>
        <v>2805.21</v>
      </c>
      <c r="N811" t="str">
        <f>IF(AND(Table13[[#This Row],[Category]]="pay",NOT(Table13[[#This Row],[Debits]]=0)),"bad","good")</f>
        <v>good</v>
      </c>
      <c r="O811" s="5"/>
    </row>
    <row r="812" spans="6:15" x14ac:dyDescent="0.3">
      <c r="F812">
        <f>MONTH(Table13[[#This Row],[Date  (DMY)]])</f>
        <v>1</v>
      </c>
      <c r="G812" s="2"/>
      <c r="L812" s="5"/>
      <c r="M812" s="4">
        <f>M811-Table13[[#This Row],[Debits]]+Table13[[#This Row],[Income]]</f>
        <v>2805.21</v>
      </c>
      <c r="N812" t="str">
        <f>IF(AND(Table13[[#This Row],[Category]]="pay",NOT(Table13[[#This Row],[Debits]]=0)),"bad","good")</f>
        <v>good</v>
      </c>
      <c r="O812" s="5"/>
    </row>
    <row r="813" spans="6:15" x14ac:dyDescent="0.3">
      <c r="F813">
        <f>MONTH(Table13[[#This Row],[Date  (DMY)]])</f>
        <v>1</v>
      </c>
      <c r="G813" s="2"/>
      <c r="L813" s="5"/>
      <c r="M813" s="4">
        <f>M812-Table13[[#This Row],[Debits]]+Table13[[#This Row],[Income]]</f>
        <v>2805.21</v>
      </c>
      <c r="N813" t="str">
        <f>IF(AND(Table13[[#This Row],[Category]]="pay",NOT(Table13[[#This Row],[Debits]]=0)),"bad","good")</f>
        <v>good</v>
      </c>
      <c r="O813" s="5"/>
    </row>
    <row r="814" spans="6:15" x14ac:dyDescent="0.3">
      <c r="F814">
        <f>MONTH(Table13[[#This Row],[Date  (DMY)]])</f>
        <v>1</v>
      </c>
      <c r="G814" s="2"/>
      <c r="L814" s="5"/>
      <c r="M814" s="4">
        <f>M813-Table13[[#This Row],[Debits]]+Table13[[#This Row],[Income]]</f>
        <v>2805.21</v>
      </c>
      <c r="N814" t="str">
        <f>IF(AND(Table13[[#This Row],[Category]]="pay",NOT(Table13[[#This Row],[Debits]]=0)),"bad","good")</f>
        <v>good</v>
      </c>
      <c r="O814" s="5"/>
    </row>
    <row r="815" spans="6:15" x14ac:dyDescent="0.3">
      <c r="F815">
        <f>MONTH(Table13[[#This Row],[Date  (DMY)]])</f>
        <v>1</v>
      </c>
      <c r="G815" s="2"/>
      <c r="L815" s="5"/>
      <c r="M815" s="4">
        <f>M814-Table13[[#This Row],[Debits]]+Table13[[#This Row],[Income]]</f>
        <v>2805.21</v>
      </c>
      <c r="N815" t="str">
        <f>IF(AND(Table13[[#This Row],[Category]]="pay",NOT(Table13[[#This Row],[Debits]]=0)),"bad","good")</f>
        <v>good</v>
      </c>
      <c r="O815" s="5"/>
    </row>
    <row r="816" spans="6:15" x14ac:dyDescent="0.3">
      <c r="F816">
        <f>MONTH(Table13[[#This Row],[Date  (DMY)]])</f>
        <v>1</v>
      </c>
      <c r="G816" s="2"/>
      <c r="L816" s="5"/>
      <c r="M816" s="4">
        <f>M815-Table13[[#This Row],[Debits]]+Table13[[#This Row],[Income]]</f>
        <v>2805.21</v>
      </c>
      <c r="N816" t="str">
        <f>IF(AND(Table13[[#This Row],[Category]]="pay",NOT(Table13[[#This Row],[Debits]]=0)),"bad","good")</f>
        <v>good</v>
      </c>
      <c r="O816" s="5"/>
    </row>
    <row r="817" spans="6:15" x14ac:dyDescent="0.3">
      <c r="F817">
        <f>MONTH(Table13[[#This Row],[Date  (DMY)]])</f>
        <v>1</v>
      </c>
      <c r="G817" s="2"/>
      <c r="L817" s="5"/>
      <c r="M817" s="4">
        <f>M816-Table13[[#This Row],[Debits]]+Table13[[#This Row],[Income]]</f>
        <v>2805.21</v>
      </c>
      <c r="N817" t="str">
        <f>IF(AND(Table13[[#This Row],[Category]]="pay",NOT(Table13[[#This Row],[Debits]]=0)),"bad","good")</f>
        <v>good</v>
      </c>
      <c r="O817" s="5"/>
    </row>
    <row r="818" spans="6:15" x14ac:dyDescent="0.3">
      <c r="F818">
        <f>MONTH(Table13[[#This Row],[Date  (DMY)]])</f>
        <v>1</v>
      </c>
      <c r="G818" s="2"/>
      <c r="L818" s="5"/>
      <c r="M818" s="4">
        <f>M817-Table13[[#This Row],[Debits]]+Table13[[#This Row],[Income]]</f>
        <v>2805.21</v>
      </c>
      <c r="N818" t="str">
        <f>IF(AND(Table13[[#This Row],[Category]]="pay",NOT(Table13[[#This Row],[Debits]]=0)),"bad","good")</f>
        <v>good</v>
      </c>
      <c r="O818" s="5"/>
    </row>
    <row r="819" spans="6:15" x14ac:dyDescent="0.3">
      <c r="F819">
        <f>MONTH(Table13[[#This Row],[Date  (DMY)]])</f>
        <v>1</v>
      </c>
      <c r="G819" s="2"/>
      <c r="L819" s="5"/>
      <c r="M819" s="4">
        <f>M818-Table13[[#This Row],[Debits]]+Table13[[#This Row],[Income]]</f>
        <v>2805.21</v>
      </c>
      <c r="N819" t="str">
        <f>IF(AND(Table13[[#This Row],[Category]]="pay",NOT(Table13[[#This Row],[Debits]]=0)),"bad","good")</f>
        <v>good</v>
      </c>
      <c r="O819" s="5"/>
    </row>
    <row r="820" spans="6:15" x14ac:dyDescent="0.3">
      <c r="F820">
        <f>MONTH(Table13[[#This Row],[Date  (DMY)]])</f>
        <v>1</v>
      </c>
      <c r="G820" s="2"/>
      <c r="L820" s="5"/>
      <c r="M820" s="4">
        <f>M819-Table13[[#This Row],[Debits]]+Table13[[#This Row],[Income]]</f>
        <v>2805.21</v>
      </c>
      <c r="N820" t="str">
        <f>IF(AND(Table13[[#This Row],[Category]]="pay",NOT(Table13[[#This Row],[Debits]]=0)),"bad","good")</f>
        <v>good</v>
      </c>
      <c r="O820" s="5"/>
    </row>
    <row r="821" spans="6:15" x14ac:dyDescent="0.3">
      <c r="F821">
        <f>MONTH(Table13[[#This Row],[Date  (DMY)]])</f>
        <v>1</v>
      </c>
      <c r="G821" s="2"/>
      <c r="L821" s="5"/>
      <c r="M821" s="4">
        <f>M820-Table13[[#This Row],[Debits]]+Table13[[#This Row],[Income]]</f>
        <v>2805.21</v>
      </c>
      <c r="N821" t="str">
        <f>IF(AND(Table13[[#This Row],[Category]]="pay",NOT(Table13[[#This Row],[Debits]]=0)),"bad","good")</f>
        <v>good</v>
      </c>
      <c r="O821" s="5"/>
    </row>
    <row r="822" spans="6:15" x14ac:dyDescent="0.3">
      <c r="F822">
        <f>MONTH(Table13[[#This Row],[Date  (DMY)]])</f>
        <v>1</v>
      </c>
      <c r="G822" s="2"/>
      <c r="L822" s="5"/>
      <c r="M822" s="4">
        <f>M821-Table13[[#This Row],[Debits]]+Table13[[#This Row],[Income]]</f>
        <v>2805.21</v>
      </c>
      <c r="N822" t="str">
        <f>IF(AND(Table13[[#This Row],[Category]]="pay",NOT(Table13[[#This Row],[Debits]]=0)),"bad","good")</f>
        <v>good</v>
      </c>
      <c r="O822" s="5"/>
    </row>
    <row r="823" spans="6:15" x14ac:dyDescent="0.3">
      <c r="F823">
        <f>MONTH(Table13[[#This Row],[Date  (DMY)]])</f>
        <v>1</v>
      </c>
      <c r="G823" s="2"/>
      <c r="L823" s="5"/>
      <c r="M823" s="4">
        <f>M822-Table13[[#This Row],[Debits]]+Table13[[#This Row],[Income]]</f>
        <v>2805.21</v>
      </c>
      <c r="N823" t="str">
        <f>IF(AND(Table13[[#This Row],[Category]]="pay",NOT(Table13[[#This Row],[Debits]]=0)),"bad","good")</f>
        <v>good</v>
      </c>
      <c r="O823" s="5"/>
    </row>
    <row r="824" spans="6:15" x14ac:dyDescent="0.3">
      <c r="F824">
        <f>MONTH(Table13[[#This Row],[Date  (DMY)]])</f>
        <v>1</v>
      </c>
      <c r="G824" s="2"/>
      <c r="L824" s="5"/>
      <c r="M824" s="4">
        <f>M823-Table13[[#This Row],[Debits]]+Table13[[#This Row],[Income]]</f>
        <v>2805.21</v>
      </c>
      <c r="N824" t="str">
        <f>IF(AND(Table13[[#This Row],[Category]]="pay",NOT(Table13[[#This Row],[Debits]]=0)),"bad","good")</f>
        <v>good</v>
      </c>
      <c r="O824" s="5"/>
    </row>
    <row r="825" spans="6:15" x14ac:dyDescent="0.3">
      <c r="F825">
        <f>MONTH(Table13[[#This Row],[Date  (DMY)]])</f>
        <v>1</v>
      </c>
      <c r="G825" s="2"/>
      <c r="L825" s="5"/>
      <c r="M825" s="4">
        <f>M824-Table13[[#This Row],[Debits]]+Table13[[#This Row],[Income]]</f>
        <v>2805.21</v>
      </c>
      <c r="N825" t="str">
        <f>IF(AND(Table13[[#This Row],[Category]]="pay",NOT(Table13[[#This Row],[Debits]]=0)),"bad","good")</f>
        <v>good</v>
      </c>
      <c r="O825" s="5"/>
    </row>
    <row r="826" spans="6:15" x14ac:dyDescent="0.3">
      <c r="F826">
        <f>MONTH(Table13[[#This Row],[Date  (DMY)]])</f>
        <v>1</v>
      </c>
      <c r="G826" s="2"/>
      <c r="L826" s="5"/>
      <c r="M826" s="4">
        <f>M825-Table13[[#This Row],[Debits]]+Table13[[#This Row],[Income]]</f>
        <v>2805.21</v>
      </c>
      <c r="N826" t="str">
        <f>IF(AND(Table13[[#This Row],[Category]]="pay",NOT(Table13[[#This Row],[Debits]]=0)),"bad","good")</f>
        <v>good</v>
      </c>
      <c r="O826" s="5"/>
    </row>
    <row r="827" spans="6:15" x14ac:dyDescent="0.3">
      <c r="F827">
        <f>MONTH(Table13[[#This Row],[Date  (DMY)]])</f>
        <v>1</v>
      </c>
      <c r="G827" s="2"/>
      <c r="L827" s="5"/>
      <c r="M827" s="4">
        <f>M826-Table13[[#This Row],[Debits]]+Table13[[#This Row],[Income]]</f>
        <v>2805.21</v>
      </c>
      <c r="N827" t="str">
        <f>IF(AND(Table13[[#This Row],[Category]]="pay",NOT(Table13[[#This Row],[Debits]]=0)),"bad","good")</f>
        <v>good</v>
      </c>
      <c r="O827" s="5"/>
    </row>
    <row r="828" spans="6:15" x14ac:dyDescent="0.3">
      <c r="F828">
        <f>MONTH(Table13[[#This Row],[Date  (DMY)]])</f>
        <v>1</v>
      </c>
      <c r="G828" s="2"/>
      <c r="L828" s="5"/>
      <c r="M828" s="4">
        <f>M827-Table13[[#This Row],[Debits]]+Table13[[#This Row],[Income]]</f>
        <v>2805.21</v>
      </c>
      <c r="N828" t="str">
        <f>IF(AND(Table13[[#This Row],[Category]]="pay",NOT(Table13[[#This Row],[Debits]]=0)),"bad","good")</f>
        <v>good</v>
      </c>
      <c r="O828" s="5"/>
    </row>
    <row r="829" spans="6:15" x14ac:dyDescent="0.3">
      <c r="F829">
        <f>MONTH(Table13[[#This Row],[Date  (DMY)]])</f>
        <v>1</v>
      </c>
      <c r="G829" s="2"/>
      <c r="L829" s="5"/>
      <c r="M829" s="4">
        <f>M828-Table13[[#This Row],[Debits]]+Table13[[#This Row],[Income]]</f>
        <v>2805.21</v>
      </c>
      <c r="N829" t="str">
        <f>IF(AND(Table13[[#This Row],[Category]]="pay",NOT(Table13[[#This Row],[Debits]]=0)),"bad","good")</f>
        <v>good</v>
      </c>
      <c r="O829" s="5"/>
    </row>
    <row r="830" spans="6:15" x14ac:dyDescent="0.3">
      <c r="F830">
        <f>MONTH(Table13[[#This Row],[Date  (DMY)]])</f>
        <v>1</v>
      </c>
      <c r="G830" s="2"/>
      <c r="L830" s="5"/>
      <c r="M830" s="4">
        <f>M829-Table13[[#This Row],[Debits]]+Table13[[#This Row],[Income]]</f>
        <v>2805.21</v>
      </c>
      <c r="N830" t="str">
        <f>IF(AND(Table13[[#This Row],[Category]]="pay",NOT(Table13[[#This Row],[Debits]]=0)),"bad","good")</f>
        <v>good</v>
      </c>
      <c r="O830" s="5"/>
    </row>
    <row r="831" spans="6:15" x14ac:dyDescent="0.3">
      <c r="F831">
        <f>MONTH(Table13[[#This Row],[Date  (DMY)]])</f>
        <v>1</v>
      </c>
      <c r="G831" s="2"/>
      <c r="L831" s="5"/>
      <c r="M831" s="4">
        <f>M830-Table13[[#This Row],[Debits]]+Table13[[#This Row],[Income]]</f>
        <v>2805.21</v>
      </c>
      <c r="N831" t="str">
        <f>IF(AND(Table13[[#This Row],[Category]]="pay",NOT(Table13[[#This Row],[Debits]]=0)),"bad","good")</f>
        <v>good</v>
      </c>
      <c r="O831" s="5"/>
    </row>
    <row r="832" spans="6:15" x14ac:dyDescent="0.3">
      <c r="F832">
        <f>MONTH(Table13[[#This Row],[Date  (DMY)]])</f>
        <v>1</v>
      </c>
      <c r="G832" s="2"/>
      <c r="L832" s="5"/>
      <c r="M832" s="4">
        <f>M831-Table13[[#This Row],[Debits]]+Table13[[#This Row],[Income]]</f>
        <v>2805.21</v>
      </c>
      <c r="N832" t="str">
        <f>IF(AND(Table13[[#This Row],[Category]]="pay",NOT(Table13[[#This Row],[Debits]]=0)),"bad","good")</f>
        <v>good</v>
      </c>
      <c r="O832" s="5"/>
    </row>
    <row r="833" spans="6:15" x14ac:dyDescent="0.3">
      <c r="F833">
        <f>MONTH(Table13[[#This Row],[Date  (DMY)]])</f>
        <v>1</v>
      </c>
      <c r="G833" s="2"/>
      <c r="L833" s="5"/>
      <c r="M833" s="4">
        <f>M832-Table13[[#This Row],[Debits]]+Table13[[#This Row],[Income]]</f>
        <v>2805.21</v>
      </c>
      <c r="N833" t="str">
        <f>IF(AND(Table13[[#This Row],[Category]]="pay",NOT(Table13[[#This Row],[Debits]]=0)),"bad","good")</f>
        <v>good</v>
      </c>
      <c r="O833" s="5"/>
    </row>
    <row r="834" spans="6:15" x14ac:dyDescent="0.3">
      <c r="F834">
        <f>MONTH(Table13[[#This Row],[Date  (DMY)]])</f>
        <v>1</v>
      </c>
      <c r="G834" s="2"/>
      <c r="L834" s="5"/>
      <c r="M834" s="4">
        <f>M833-Table13[[#This Row],[Debits]]+Table13[[#This Row],[Income]]</f>
        <v>2805.21</v>
      </c>
      <c r="N834" t="str">
        <f>IF(AND(Table13[[#This Row],[Category]]="pay",NOT(Table13[[#This Row],[Debits]]=0)),"bad","good")</f>
        <v>good</v>
      </c>
      <c r="O834" s="5"/>
    </row>
    <row r="835" spans="6:15" x14ac:dyDescent="0.3">
      <c r="F835">
        <f>MONTH(Table13[[#This Row],[Date  (DMY)]])</f>
        <v>1</v>
      </c>
      <c r="G835" s="2"/>
      <c r="L835" s="5"/>
      <c r="M835" s="4">
        <f>M834-Table13[[#This Row],[Debits]]+Table13[[#This Row],[Income]]</f>
        <v>2805.21</v>
      </c>
      <c r="N835" t="str">
        <f>IF(AND(Table13[[#This Row],[Category]]="pay",NOT(Table13[[#This Row],[Debits]]=0)),"bad","good")</f>
        <v>good</v>
      </c>
      <c r="O835" s="5"/>
    </row>
    <row r="836" spans="6:15" x14ac:dyDescent="0.3">
      <c r="F836">
        <f>MONTH(Table13[[#This Row],[Date  (DMY)]])</f>
        <v>1</v>
      </c>
      <c r="G836" s="2"/>
      <c r="L836" s="5"/>
      <c r="M836" s="4">
        <f>M835-Table13[[#This Row],[Debits]]+Table13[[#This Row],[Income]]</f>
        <v>2805.21</v>
      </c>
      <c r="N836" t="str">
        <f>IF(AND(Table13[[#This Row],[Category]]="pay",NOT(Table13[[#This Row],[Debits]]=0)),"bad","good")</f>
        <v>good</v>
      </c>
      <c r="O836" s="5"/>
    </row>
    <row r="837" spans="6:15" x14ac:dyDescent="0.3">
      <c r="F837">
        <f>MONTH(Table13[[#This Row],[Date  (DMY)]])</f>
        <v>1</v>
      </c>
      <c r="G837" s="2"/>
      <c r="L837" s="5"/>
      <c r="M837" s="4">
        <f>M836-Table13[[#This Row],[Debits]]+Table13[[#This Row],[Income]]</f>
        <v>2805.21</v>
      </c>
      <c r="N837" t="str">
        <f>IF(AND(Table13[[#This Row],[Category]]="pay",NOT(Table13[[#This Row],[Debits]]=0)),"bad","good")</f>
        <v>good</v>
      </c>
      <c r="O837" s="5"/>
    </row>
    <row r="838" spans="6:15" x14ac:dyDescent="0.3">
      <c r="F838">
        <f>MONTH(Table13[[#This Row],[Date  (DMY)]])</f>
        <v>1</v>
      </c>
      <c r="G838" s="2"/>
      <c r="L838" s="5"/>
      <c r="M838" s="4">
        <f>M837-Table13[[#This Row],[Debits]]+Table13[[#This Row],[Income]]</f>
        <v>2805.21</v>
      </c>
      <c r="N838" t="str">
        <f>IF(AND(Table13[[#This Row],[Category]]="pay",NOT(Table13[[#This Row],[Debits]]=0)),"bad","good")</f>
        <v>good</v>
      </c>
      <c r="O838" s="5"/>
    </row>
    <row r="839" spans="6:15" x14ac:dyDescent="0.3">
      <c r="F839">
        <f>MONTH(Table13[[#This Row],[Date  (DMY)]])</f>
        <v>1</v>
      </c>
      <c r="G839" s="2"/>
      <c r="L839" s="5"/>
      <c r="M839" s="4">
        <f>M838-Table13[[#This Row],[Debits]]+Table13[[#This Row],[Income]]</f>
        <v>2805.21</v>
      </c>
      <c r="N839" t="str">
        <f>IF(AND(Table13[[#This Row],[Category]]="pay",NOT(Table13[[#This Row],[Debits]]=0)),"bad","good")</f>
        <v>good</v>
      </c>
      <c r="O839" s="5"/>
    </row>
    <row r="840" spans="6:15" x14ac:dyDescent="0.3">
      <c r="F840">
        <f>MONTH(Table13[[#This Row],[Date  (DMY)]])</f>
        <v>1</v>
      </c>
      <c r="G840" s="2"/>
      <c r="L840" s="5"/>
      <c r="M840" s="4">
        <f>M839-Table13[[#This Row],[Debits]]+Table13[[#This Row],[Income]]</f>
        <v>2805.21</v>
      </c>
      <c r="N840" t="str">
        <f>IF(AND(Table13[[#This Row],[Category]]="pay",NOT(Table13[[#This Row],[Debits]]=0)),"bad","good")</f>
        <v>good</v>
      </c>
      <c r="O840" s="5"/>
    </row>
    <row r="841" spans="6:15" x14ac:dyDescent="0.3">
      <c r="F841">
        <f>MONTH(Table13[[#This Row],[Date  (DMY)]])</f>
        <v>1</v>
      </c>
      <c r="G841" s="2"/>
      <c r="L841" s="5"/>
      <c r="M841" s="4">
        <f>M840-Table13[[#This Row],[Debits]]+Table13[[#This Row],[Income]]</f>
        <v>2805.21</v>
      </c>
      <c r="N841" t="str">
        <f>IF(AND(Table13[[#This Row],[Category]]="pay",NOT(Table13[[#This Row],[Debits]]=0)),"bad","good")</f>
        <v>good</v>
      </c>
      <c r="O841" s="5"/>
    </row>
    <row r="842" spans="6:15" x14ac:dyDescent="0.3">
      <c r="F842">
        <f>MONTH(Table13[[#This Row],[Date  (DMY)]])</f>
        <v>1</v>
      </c>
      <c r="G842" s="2"/>
      <c r="L842" s="5"/>
      <c r="M842" s="4">
        <f>M841-Table13[[#This Row],[Debits]]+Table13[[#This Row],[Income]]</f>
        <v>2805.21</v>
      </c>
      <c r="N842" t="str">
        <f>IF(AND(Table13[[#This Row],[Category]]="pay",NOT(Table13[[#This Row],[Debits]]=0)),"bad","good")</f>
        <v>good</v>
      </c>
      <c r="O842" s="5"/>
    </row>
    <row r="843" spans="6:15" x14ac:dyDescent="0.3">
      <c r="F843">
        <f>MONTH(Table13[[#This Row],[Date  (DMY)]])</f>
        <v>1</v>
      </c>
      <c r="G843" s="2"/>
      <c r="L843" s="5"/>
      <c r="M843" s="4">
        <f>M842-Table13[[#This Row],[Debits]]+Table13[[#This Row],[Income]]</f>
        <v>2805.21</v>
      </c>
      <c r="N843" t="str">
        <f>IF(AND(Table13[[#This Row],[Category]]="pay",NOT(Table13[[#This Row],[Debits]]=0)),"bad","good")</f>
        <v>good</v>
      </c>
      <c r="O843" s="5"/>
    </row>
    <row r="844" spans="6:15" x14ac:dyDescent="0.3">
      <c r="F844">
        <f>MONTH(Table13[[#This Row],[Date  (DMY)]])</f>
        <v>1</v>
      </c>
      <c r="G844" s="2"/>
      <c r="L844" s="5"/>
      <c r="M844" s="4">
        <f>M843-Table13[[#This Row],[Debits]]+Table13[[#This Row],[Income]]</f>
        <v>2805.21</v>
      </c>
      <c r="N844" t="str">
        <f>IF(AND(Table13[[#This Row],[Category]]="pay",NOT(Table13[[#This Row],[Debits]]=0)),"bad","good")</f>
        <v>good</v>
      </c>
      <c r="O844" s="5"/>
    </row>
    <row r="845" spans="6:15" x14ac:dyDescent="0.3">
      <c r="F845">
        <f>MONTH(Table13[[#This Row],[Date  (DMY)]])</f>
        <v>1</v>
      </c>
      <c r="G845" s="2"/>
      <c r="L845" s="5"/>
      <c r="M845" s="4">
        <f>M844-Table13[[#This Row],[Debits]]+Table13[[#This Row],[Income]]</f>
        <v>2805.21</v>
      </c>
      <c r="N845" t="str">
        <f>IF(AND(Table13[[#This Row],[Category]]="pay",NOT(Table13[[#This Row],[Debits]]=0)),"bad","good")</f>
        <v>good</v>
      </c>
      <c r="O845" s="5"/>
    </row>
    <row r="846" spans="6:15" x14ac:dyDescent="0.3">
      <c r="F846">
        <f>MONTH(Table13[[#This Row],[Date  (DMY)]])</f>
        <v>1</v>
      </c>
      <c r="G846" s="2"/>
      <c r="L846" s="5"/>
      <c r="M846" s="4">
        <f>M845-Table13[[#This Row],[Debits]]+Table13[[#This Row],[Income]]</f>
        <v>2805.21</v>
      </c>
      <c r="N846" t="str">
        <f>IF(AND(Table13[[#This Row],[Category]]="pay",NOT(Table13[[#This Row],[Debits]]=0)),"bad","good")</f>
        <v>good</v>
      </c>
      <c r="O846" s="5"/>
    </row>
    <row r="847" spans="6:15" x14ac:dyDescent="0.3">
      <c r="F847">
        <f>MONTH(Table13[[#This Row],[Date  (DMY)]])</f>
        <v>1</v>
      </c>
      <c r="G847" s="2"/>
      <c r="L847" s="5"/>
      <c r="M847" s="4">
        <f>M846-Table13[[#This Row],[Debits]]+Table13[[#This Row],[Income]]</f>
        <v>2805.21</v>
      </c>
      <c r="N847" t="str">
        <f>IF(AND(Table13[[#This Row],[Category]]="pay",NOT(Table13[[#This Row],[Debits]]=0)),"bad","good")</f>
        <v>good</v>
      </c>
      <c r="O847" s="5"/>
    </row>
    <row r="848" spans="6:15" x14ac:dyDescent="0.3">
      <c r="F848">
        <f>MONTH(Table13[[#This Row],[Date  (DMY)]])</f>
        <v>1</v>
      </c>
      <c r="G848" s="2"/>
      <c r="L848" s="5"/>
      <c r="M848" s="4">
        <f>M847-Table13[[#This Row],[Debits]]+Table13[[#This Row],[Income]]</f>
        <v>2805.21</v>
      </c>
      <c r="N848" t="str">
        <f>IF(AND(Table13[[#This Row],[Category]]="pay",NOT(Table13[[#This Row],[Debits]]=0)),"bad","good")</f>
        <v>good</v>
      </c>
      <c r="O848" s="5"/>
    </row>
    <row r="849" spans="6:15" x14ac:dyDescent="0.3">
      <c r="F849">
        <f>MONTH(Table13[[#This Row],[Date  (DMY)]])</f>
        <v>1</v>
      </c>
      <c r="G849" s="2"/>
      <c r="L849" s="5"/>
      <c r="M849" s="4">
        <f>M848-Table13[[#This Row],[Debits]]+Table13[[#This Row],[Income]]</f>
        <v>2805.21</v>
      </c>
      <c r="N849" t="str">
        <f>IF(AND(Table13[[#This Row],[Category]]="pay",NOT(Table13[[#This Row],[Debits]]=0)),"bad","good")</f>
        <v>good</v>
      </c>
      <c r="O849" s="5"/>
    </row>
    <row r="850" spans="6:15" x14ac:dyDescent="0.3">
      <c r="F850">
        <f>MONTH(Table13[[#This Row],[Date  (DMY)]])</f>
        <v>1</v>
      </c>
      <c r="G850" s="2"/>
      <c r="L850" s="5"/>
      <c r="M850" s="4">
        <f>M849-Table13[[#This Row],[Debits]]+Table13[[#This Row],[Income]]</f>
        <v>2805.21</v>
      </c>
      <c r="N850" t="str">
        <f>IF(AND(Table13[[#This Row],[Category]]="pay",NOT(Table13[[#This Row],[Debits]]=0)),"bad","good")</f>
        <v>good</v>
      </c>
      <c r="O850" s="5"/>
    </row>
    <row r="851" spans="6:15" x14ac:dyDescent="0.3">
      <c r="F851">
        <f>MONTH(Table13[[#This Row],[Date  (DMY)]])</f>
        <v>1</v>
      </c>
      <c r="G851" s="2"/>
      <c r="L851" s="5"/>
      <c r="M851" s="4">
        <f>M850-Table13[[#This Row],[Debits]]+Table13[[#This Row],[Income]]</f>
        <v>2805.21</v>
      </c>
      <c r="N851" t="str">
        <f>IF(AND(Table13[[#This Row],[Category]]="pay",NOT(Table13[[#This Row],[Debits]]=0)),"bad","good")</f>
        <v>good</v>
      </c>
      <c r="O851" s="5"/>
    </row>
    <row r="852" spans="6:15" x14ac:dyDescent="0.3">
      <c r="F852">
        <f>MONTH(Table13[[#This Row],[Date  (DMY)]])</f>
        <v>1</v>
      </c>
      <c r="G852" s="2"/>
      <c r="L852" s="5"/>
      <c r="M852" s="4">
        <f>M851-Table13[[#This Row],[Debits]]+Table13[[#This Row],[Income]]</f>
        <v>2805.21</v>
      </c>
      <c r="N852" t="str">
        <f>IF(AND(Table13[[#This Row],[Category]]="pay",NOT(Table13[[#This Row],[Debits]]=0)),"bad","good")</f>
        <v>good</v>
      </c>
      <c r="O852" s="5"/>
    </row>
    <row r="853" spans="6:15" x14ac:dyDescent="0.3">
      <c r="F853">
        <f>MONTH(Table13[[#This Row],[Date  (DMY)]])</f>
        <v>1</v>
      </c>
      <c r="G853" s="2"/>
      <c r="L853" s="5"/>
      <c r="M853" s="4">
        <f>M852-Table13[[#This Row],[Debits]]+Table13[[#This Row],[Income]]</f>
        <v>2805.21</v>
      </c>
      <c r="N853" t="str">
        <f>IF(AND(Table13[[#This Row],[Category]]="pay",NOT(Table13[[#This Row],[Debits]]=0)),"bad","good")</f>
        <v>good</v>
      </c>
      <c r="O853" s="5"/>
    </row>
    <row r="854" spans="6:15" x14ac:dyDescent="0.3">
      <c r="F854">
        <f>MONTH(Table13[[#This Row],[Date  (DMY)]])</f>
        <v>1</v>
      </c>
      <c r="G854" s="2"/>
      <c r="L854" s="5"/>
      <c r="M854" s="4">
        <f>M853-Table13[[#This Row],[Debits]]+Table13[[#This Row],[Income]]</f>
        <v>2805.21</v>
      </c>
      <c r="N854" t="str">
        <f>IF(AND(Table13[[#This Row],[Category]]="pay",NOT(Table13[[#This Row],[Debits]]=0)),"bad","good")</f>
        <v>good</v>
      </c>
      <c r="O854" s="5"/>
    </row>
    <row r="855" spans="6:15" x14ac:dyDescent="0.3">
      <c r="F855">
        <f>MONTH(Table13[[#This Row],[Date  (DMY)]])</f>
        <v>1</v>
      </c>
      <c r="G855" s="2"/>
      <c r="L855" s="5"/>
      <c r="M855" s="4">
        <f>M854-Table13[[#This Row],[Debits]]+Table13[[#This Row],[Income]]</f>
        <v>2805.21</v>
      </c>
      <c r="N855" t="str">
        <f>IF(AND(Table13[[#This Row],[Category]]="pay",NOT(Table13[[#This Row],[Debits]]=0)),"bad","good")</f>
        <v>good</v>
      </c>
      <c r="O855" s="5"/>
    </row>
    <row r="856" spans="6:15" x14ac:dyDescent="0.3">
      <c r="F856">
        <f>MONTH(Table13[[#This Row],[Date  (DMY)]])</f>
        <v>1</v>
      </c>
      <c r="G856" s="2"/>
      <c r="L856" s="5"/>
      <c r="M856" s="4">
        <f>M855-Table13[[#This Row],[Debits]]+Table13[[#This Row],[Income]]</f>
        <v>2805.21</v>
      </c>
      <c r="N856" t="str">
        <f>IF(AND(Table13[[#This Row],[Category]]="pay",NOT(Table13[[#This Row],[Debits]]=0)),"bad","good")</f>
        <v>good</v>
      </c>
      <c r="O856" s="5"/>
    </row>
    <row r="857" spans="6:15" x14ac:dyDescent="0.3">
      <c r="F857">
        <f>MONTH(Table13[[#This Row],[Date  (DMY)]])</f>
        <v>1</v>
      </c>
      <c r="G857" s="2"/>
      <c r="L857" s="5"/>
      <c r="M857" s="4">
        <f>M856-Table13[[#This Row],[Debits]]+Table13[[#This Row],[Income]]</f>
        <v>2805.21</v>
      </c>
      <c r="N857" t="str">
        <f>IF(AND(Table13[[#This Row],[Category]]="pay",NOT(Table13[[#This Row],[Debits]]=0)),"bad","good")</f>
        <v>good</v>
      </c>
      <c r="O857" s="5"/>
    </row>
    <row r="858" spans="6:15" x14ac:dyDescent="0.3">
      <c r="F858">
        <f>MONTH(Table13[[#This Row],[Date  (DMY)]])</f>
        <v>1</v>
      </c>
      <c r="G858" s="2"/>
      <c r="L858" s="5"/>
      <c r="M858" s="4">
        <f>M857-Table13[[#This Row],[Debits]]+Table13[[#This Row],[Income]]</f>
        <v>2805.21</v>
      </c>
      <c r="N858" t="str">
        <f>IF(AND(Table13[[#This Row],[Category]]="pay",NOT(Table13[[#This Row],[Debits]]=0)),"bad","good")</f>
        <v>good</v>
      </c>
      <c r="O858" s="5"/>
    </row>
    <row r="859" spans="6:15" x14ac:dyDescent="0.3">
      <c r="F859">
        <f>MONTH(Table13[[#This Row],[Date  (DMY)]])</f>
        <v>1</v>
      </c>
      <c r="G859" s="2"/>
      <c r="L859" s="5"/>
      <c r="M859" s="4">
        <f>M858-Table13[[#This Row],[Debits]]+Table13[[#This Row],[Income]]</f>
        <v>2805.21</v>
      </c>
      <c r="N859" t="str">
        <f>IF(AND(Table13[[#This Row],[Category]]="pay",NOT(Table13[[#This Row],[Debits]]=0)),"bad","good")</f>
        <v>good</v>
      </c>
      <c r="O859" s="5"/>
    </row>
    <row r="860" spans="6:15" x14ac:dyDescent="0.3">
      <c r="F860">
        <f>MONTH(Table13[[#This Row],[Date  (DMY)]])</f>
        <v>1</v>
      </c>
      <c r="G860" s="2"/>
      <c r="L860" s="5"/>
      <c r="M860" s="4">
        <f>M859-Table13[[#This Row],[Debits]]+Table13[[#This Row],[Income]]</f>
        <v>2805.21</v>
      </c>
      <c r="N860" t="str">
        <f>IF(AND(Table13[[#This Row],[Category]]="pay",NOT(Table13[[#This Row],[Debits]]=0)),"bad","good")</f>
        <v>good</v>
      </c>
      <c r="O860" s="5"/>
    </row>
    <row r="861" spans="6:15" x14ac:dyDescent="0.3">
      <c r="F861">
        <f>MONTH(Table13[[#This Row],[Date  (DMY)]])</f>
        <v>1</v>
      </c>
      <c r="G861" s="2"/>
      <c r="L861" s="5"/>
      <c r="M861" s="4">
        <f>M860-Table13[[#This Row],[Debits]]+Table13[[#This Row],[Income]]</f>
        <v>2805.21</v>
      </c>
      <c r="N861" t="str">
        <f>IF(AND(Table13[[#This Row],[Category]]="pay",NOT(Table13[[#This Row],[Debits]]=0)),"bad","good")</f>
        <v>good</v>
      </c>
      <c r="O861" s="5"/>
    </row>
    <row r="862" spans="6:15" x14ac:dyDescent="0.3">
      <c r="F862">
        <f>MONTH(Table13[[#This Row],[Date  (DMY)]])</f>
        <v>1</v>
      </c>
      <c r="G862" s="2"/>
      <c r="L862" s="5"/>
      <c r="M862" s="4">
        <f>M861-Table13[[#This Row],[Debits]]+Table13[[#This Row],[Income]]</f>
        <v>2805.21</v>
      </c>
      <c r="N862" t="str">
        <f>IF(AND(Table13[[#This Row],[Category]]="pay",NOT(Table13[[#This Row],[Debits]]=0)),"bad","good")</f>
        <v>good</v>
      </c>
      <c r="O862" s="5"/>
    </row>
    <row r="863" spans="6:15" x14ac:dyDescent="0.3">
      <c r="F863">
        <f>MONTH(Table13[[#This Row],[Date  (DMY)]])</f>
        <v>1</v>
      </c>
      <c r="G863" s="2"/>
      <c r="L863" s="5"/>
      <c r="M863" s="4">
        <f>M862-Table13[[#This Row],[Debits]]+Table13[[#This Row],[Income]]</f>
        <v>2805.21</v>
      </c>
      <c r="N863" t="str">
        <f>IF(AND(Table13[[#This Row],[Category]]="pay",NOT(Table13[[#This Row],[Debits]]=0)),"bad","good")</f>
        <v>good</v>
      </c>
      <c r="O863" s="5"/>
    </row>
    <row r="864" spans="6:15" x14ac:dyDescent="0.3">
      <c r="F864">
        <f>MONTH(Table13[[#This Row],[Date  (DMY)]])</f>
        <v>1</v>
      </c>
      <c r="G864" s="2"/>
      <c r="L864" s="5"/>
      <c r="M864" s="4">
        <f>M863-Table13[[#This Row],[Debits]]+Table13[[#This Row],[Income]]</f>
        <v>2805.21</v>
      </c>
      <c r="N864" t="str">
        <f>IF(AND(Table13[[#This Row],[Category]]="pay",NOT(Table13[[#This Row],[Debits]]=0)),"bad","good")</f>
        <v>good</v>
      </c>
      <c r="O864" s="5"/>
    </row>
    <row r="865" spans="6:15" x14ac:dyDescent="0.3">
      <c r="F865">
        <f>MONTH(Table13[[#This Row],[Date  (DMY)]])</f>
        <v>1</v>
      </c>
      <c r="G865" s="2"/>
      <c r="L865" s="5"/>
      <c r="M865" s="4">
        <f>M864-Table13[[#This Row],[Debits]]+Table13[[#This Row],[Income]]</f>
        <v>2805.21</v>
      </c>
      <c r="N865" t="str">
        <f>IF(AND(Table13[[#This Row],[Category]]="pay",NOT(Table13[[#This Row],[Debits]]=0)),"bad","good")</f>
        <v>good</v>
      </c>
      <c r="O865" s="5"/>
    </row>
    <row r="866" spans="6:15" x14ac:dyDescent="0.3">
      <c r="F866">
        <f>MONTH(Table13[[#This Row],[Date  (DMY)]])</f>
        <v>1</v>
      </c>
      <c r="G866" s="2"/>
      <c r="L866" s="5"/>
      <c r="M866" s="4">
        <f>M865-Table13[[#This Row],[Debits]]+Table13[[#This Row],[Income]]</f>
        <v>2805.21</v>
      </c>
      <c r="N866" t="str">
        <f>IF(AND(Table13[[#This Row],[Category]]="pay",NOT(Table13[[#This Row],[Debits]]=0)),"bad","good")</f>
        <v>good</v>
      </c>
      <c r="O866" s="5"/>
    </row>
    <row r="867" spans="6:15" x14ac:dyDescent="0.3">
      <c r="F867">
        <f>MONTH(Table13[[#This Row],[Date  (DMY)]])</f>
        <v>1</v>
      </c>
      <c r="G867" s="2"/>
      <c r="L867" s="5"/>
      <c r="M867" s="4">
        <f>M866-Table13[[#This Row],[Debits]]+Table13[[#This Row],[Income]]</f>
        <v>2805.21</v>
      </c>
      <c r="N867" t="str">
        <f>IF(AND(Table13[[#This Row],[Category]]="pay",NOT(Table13[[#This Row],[Debits]]=0)),"bad","good")</f>
        <v>good</v>
      </c>
      <c r="O867" s="5"/>
    </row>
    <row r="868" spans="6:15" x14ac:dyDescent="0.3">
      <c r="F868">
        <f>MONTH(Table13[[#This Row],[Date  (DMY)]])</f>
        <v>1</v>
      </c>
      <c r="G868" s="2"/>
      <c r="L868" s="5"/>
      <c r="M868" s="4">
        <f>M867-Table13[[#This Row],[Debits]]+Table13[[#This Row],[Income]]</f>
        <v>2805.21</v>
      </c>
      <c r="N868" t="str">
        <f>IF(AND(Table13[[#This Row],[Category]]="pay",NOT(Table13[[#This Row],[Debits]]=0)),"bad","good")</f>
        <v>good</v>
      </c>
      <c r="O868" s="5"/>
    </row>
    <row r="869" spans="6:15" x14ac:dyDescent="0.3">
      <c r="F869">
        <f>MONTH(Table13[[#This Row],[Date  (DMY)]])</f>
        <v>1</v>
      </c>
      <c r="G869" s="2"/>
      <c r="L869" s="5"/>
      <c r="M869" s="4">
        <f>M868-Table13[[#This Row],[Debits]]+Table13[[#This Row],[Income]]</f>
        <v>2805.21</v>
      </c>
      <c r="N869" t="str">
        <f>IF(AND(Table13[[#This Row],[Category]]="pay",NOT(Table13[[#This Row],[Debits]]=0)),"bad","good")</f>
        <v>good</v>
      </c>
      <c r="O869" s="5"/>
    </row>
    <row r="870" spans="6:15" x14ac:dyDescent="0.3">
      <c r="F870">
        <f>MONTH(Table13[[#This Row],[Date  (DMY)]])</f>
        <v>1</v>
      </c>
      <c r="G870" s="2"/>
      <c r="L870" s="5"/>
      <c r="M870" s="4">
        <f>M869-Table13[[#This Row],[Debits]]+Table13[[#This Row],[Income]]</f>
        <v>2805.21</v>
      </c>
      <c r="N870" t="str">
        <f>IF(AND(Table13[[#This Row],[Category]]="pay",NOT(Table13[[#This Row],[Debits]]=0)),"bad","good")</f>
        <v>good</v>
      </c>
      <c r="O870" s="5"/>
    </row>
    <row r="871" spans="6:15" x14ac:dyDescent="0.3">
      <c r="F871">
        <f>MONTH(Table13[[#This Row],[Date  (DMY)]])</f>
        <v>1</v>
      </c>
      <c r="G871" s="2"/>
      <c r="L871" s="5"/>
      <c r="M871" s="4">
        <f>M870-Table13[[#This Row],[Debits]]+Table13[[#This Row],[Income]]</f>
        <v>2805.21</v>
      </c>
      <c r="N871" t="str">
        <f>IF(AND(Table13[[#This Row],[Category]]="pay",NOT(Table13[[#This Row],[Debits]]=0)),"bad","good")</f>
        <v>good</v>
      </c>
      <c r="O871" s="5"/>
    </row>
    <row r="872" spans="6:15" x14ac:dyDescent="0.3">
      <c r="F872">
        <f>MONTH(Table13[[#This Row],[Date  (DMY)]])</f>
        <v>1</v>
      </c>
      <c r="G872" s="2"/>
      <c r="L872" s="5"/>
      <c r="M872" s="4">
        <f>M871-Table13[[#This Row],[Debits]]+Table13[[#This Row],[Income]]</f>
        <v>2805.21</v>
      </c>
      <c r="N872" t="str">
        <f>IF(AND(Table13[[#This Row],[Category]]="pay",NOT(Table13[[#This Row],[Debits]]=0)),"bad","good")</f>
        <v>good</v>
      </c>
      <c r="O872" s="5"/>
    </row>
    <row r="873" spans="6:15" x14ac:dyDescent="0.3">
      <c r="F873">
        <f>MONTH(Table13[[#This Row],[Date  (DMY)]])</f>
        <v>1</v>
      </c>
      <c r="G873" s="2"/>
      <c r="L873" s="5"/>
      <c r="M873" s="4">
        <f>M872-Table13[[#This Row],[Debits]]+Table13[[#This Row],[Income]]</f>
        <v>2805.21</v>
      </c>
      <c r="N873" t="str">
        <f>IF(AND(Table13[[#This Row],[Category]]="pay",NOT(Table13[[#This Row],[Debits]]=0)),"bad","good")</f>
        <v>good</v>
      </c>
      <c r="O873" s="5"/>
    </row>
    <row r="874" spans="6:15" x14ac:dyDescent="0.3">
      <c r="F874">
        <f>MONTH(Table13[[#This Row],[Date  (DMY)]])</f>
        <v>1</v>
      </c>
      <c r="G874" s="2"/>
      <c r="L874" s="5"/>
      <c r="M874" s="4">
        <f>M873-Table13[[#This Row],[Debits]]+Table13[[#This Row],[Income]]</f>
        <v>2805.21</v>
      </c>
      <c r="N874" t="str">
        <f>IF(AND(Table13[[#This Row],[Category]]="pay",NOT(Table13[[#This Row],[Debits]]=0)),"bad","good")</f>
        <v>good</v>
      </c>
      <c r="O874" s="5"/>
    </row>
    <row r="875" spans="6:15" x14ac:dyDescent="0.3">
      <c r="F875">
        <f>MONTH(Table13[[#This Row],[Date  (DMY)]])</f>
        <v>1</v>
      </c>
      <c r="G875" s="2"/>
      <c r="L875" s="5"/>
      <c r="M875" s="4">
        <f>M874-Table13[[#This Row],[Debits]]+Table13[[#This Row],[Income]]</f>
        <v>2805.21</v>
      </c>
      <c r="N875" t="str">
        <f>IF(AND(Table13[[#This Row],[Category]]="pay",NOT(Table13[[#This Row],[Debits]]=0)),"bad","good")</f>
        <v>good</v>
      </c>
      <c r="O875" s="5"/>
    </row>
    <row r="876" spans="6:15" x14ac:dyDescent="0.3">
      <c r="F876">
        <f>MONTH(Table13[[#This Row],[Date  (DMY)]])</f>
        <v>1</v>
      </c>
      <c r="G876" s="2"/>
      <c r="L876" s="5"/>
      <c r="M876" s="4">
        <f>M875-Table13[[#This Row],[Debits]]+Table13[[#This Row],[Income]]</f>
        <v>2805.21</v>
      </c>
      <c r="N876" t="str">
        <f>IF(AND(Table13[[#This Row],[Category]]="pay",NOT(Table13[[#This Row],[Debits]]=0)),"bad","good")</f>
        <v>good</v>
      </c>
      <c r="O876" s="5"/>
    </row>
    <row r="877" spans="6:15" x14ac:dyDescent="0.3">
      <c r="F877">
        <f>MONTH(Table13[[#This Row],[Date  (DMY)]])</f>
        <v>1</v>
      </c>
      <c r="G877" s="2"/>
      <c r="L877" s="5"/>
      <c r="M877" s="4">
        <f>M876-Table13[[#This Row],[Debits]]+Table13[[#This Row],[Income]]</f>
        <v>2805.21</v>
      </c>
      <c r="N877" t="str">
        <f>IF(AND(Table13[[#This Row],[Category]]="pay",NOT(Table13[[#This Row],[Debits]]=0)),"bad","good")</f>
        <v>good</v>
      </c>
      <c r="O877" s="5"/>
    </row>
    <row r="878" spans="6:15" x14ac:dyDescent="0.3">
      <c r="F878">
        <f>MONTH(Table13[[#This Row],[Date  (DMY)]])</f>
        <v>1</v>
      </c>
      <c r="G878" s="2"/>
      <c r="L878" s="5"/>
      <c r="M878" s="4">
        <f>M877-Table13[[#This Row],[Debits]]+Table13[[#This Row],[Income]]</f>
        <v>2805.21</v>
      </c>
      <c r="N878" t="str">
        <f>IF(AND(Table13[[#This Row],[Category]]="pay",NOT(Table13[[#This Row],[Debits]]=0)),"bad","good")</f>
        <v>good</v>
      </c>
      <c r="O878" s="5"/>
    </row>
    <row r="879" spans="6:15" x14ac:dyDescent="0.3">
      <c r="F879">
        <f>MONTH(Table13[[#This Row],[Date  (DMY)]])</f>
        <v>1</v>
      </c>
      <c r="G879" s="2"/>
      <c r="L879" s="5"/>
      <c r="M879" s="4">
        <f>M878-Table13[[#This Row],[Debits]]+Table13[[#This Row],[Income]]</f>
        <v>2805.21</v>
      </c>
      <c r="N879" t="str">
        <f>IF(AND(Table13[[#This Row],[Category]]="pay",NOT(Table13[[#This Row],[Debits]]=0)),"bad","good")</f>
        <v>good</v>
      </c>
      <c r="O879" s="5"/>
    </row>
    <row r="880" spans="6:15" x14ac:dyDescent="0.3">
      <c r="F880">
        <f>MONTH(Table13[[#This Row],[Date  (DMY)]])</f>
        <v>1</v>
      </c>
      <c r="G880" s="2"/>
      <c r="L880" s="5"/>
      <c r="M880" s="4">
        <f>M879-Table13[[#This Row],[Debits]]+Table13[[#This Row],[Income]]</f>
        <v>2805.21</v>
      </c>
      <c r="N880" t="str">
        <f>IF(AND(Table13[[#This Row],[Category]]="pay",NOT(Table13[[#This Row],[Debits]]=0)),"bad","good")</f>
        <v>good</v>
      </c>
      <c r="O880" s="5"/>
    </row>
    <row r="881" spans="6:15" x14ac:dyDescent="0.3">
      <c r="F881">
        <f>MONTH(Table13[[#This Row],[Date  (DMY)]])</f>
        <v>1</v>
      </c>
      <c r="G881" s="2"/>
      <c r="L881" s="5"/>
      <c r="M881" s="4">
        <f>M880-Table13[[#This Row],[Debits]]+Table13[[#This Row],[Income]]</f>
        <v>2805.21</v>
      </c>
      <c r="N881" t="str">
        <f>IF(AND(Table13[[#This Row],[Category]]="pay",NOT(Table13[[#This Row],[Debits]]=0)),"bad","good")</f>
        <v>good</v>
      </c>
      <c r="O881" s="5"/>
    </row>
    <row r="882" spans="6:15" x14ac:dyDescent="0.3">
      <c r="F882">
        <f>MONTH(Table13[[#This Row],[Date  (DMY)]])</f>
        <v>1</v>
      </c>
      <c r="G882" s="2"/>
      <c r="L882" s="5"/>
      <c r="M882" s="4">
        <f>M881-Table13[[#This Row],[Debits]]+Table13[[#This Row],[Income]]</f>
        <v>2805.21</v>
      </c>
      <c r="N882" t="str">
        <f>IF(AND(Table13[[#This Row],[Category]]="pay",NOT(Table13[[#This Row],[Debits]]=0)),"bad","good")</f>
        <v>good</v>
      </c>
      <c r="O882" s="5"/>
    </row>
    <row r="883" spans="6:15" x14ac:dyDescent="0.3">
      <c r="F883">
        <f>MONTH(Table13[[#This Row],[Date  (DMY)]])</f>
        <v>1</v>
      </c>
      <c r="G883" s="2"/>
      <c r="L883" s="5"/>
      <c r="M883" s="4">
        <f>M882-Table13[[#This Row],[Debits]]+Table13[[#This Row],[Income]]</f>
        <v>2805.21</v>
      </c>
      <c r="N883" t="str">
        <f>IF(AND(Table13[[#This Row],[Category]]="pay",NOT(Table13[[#This Row],[Debits]]=0)),"bad","good")</f>
        <v>good</v>
      </c>
      <c r="O883" s="5"/>
    </row>
    <row r="884" spans="6:15" x14ac:dyDescent="0.3">
      <c r="F884">
        <f>MONTH(Table13[[#This Row],[Date  (DMY)]])</f>
        <v>1</v>
      </c>
      <c r="G884" s="2"/>
      <c r="L884" s="5"/>
      <c r="M884" s="4">
        <f>M883-Table13[[#This Row],[Debits]]+Table13[[#This Row],[Income]]</f>
        <v>2805.21</v>
      </c>
      <c r="N884" t="str">
        <f>IF(AND(Table13[[#This Row],[Category]]="pay",NOT(Table13[[#This Row],[Debits]]=0)),"bad","good")</f>
        <v>good</v>
      </c>
      <c r="O884" s="5"/>
    </row>
    <row r="885" spans="6:15" x14ac:dyDescent="0.3">
      <c r="F885">
        <f>MONTH(Table13[[#This Row],[Date  (DMY)]])</f>
        <v>1</v>
      </c>
      <c r="G885" s="2"/>
      <c r="L885" s="5"/>
      <c r="M885" s="4">
        <f>M884-Table13[[#This Row],[Debits]]+Table13[[#This Row],[Income]]</f>
        <v>2805.21</v>
      </c>
      <c r="N885" t="str">
        <f>IF(AND(Table13[[#This Row],[Category]]="pay",NOT(Table13[[#This Row],[Debits]]=0)),"bad","good")</f>
        <v>good</v>
      </c>
      <c r="O885" s="5"/>
    </row>
    <row r="886" spans="6:15" x14ac:dyDescent="0.3">
      <c r="F886">
        <f>MONTH(Table13[[#This Row],[Date  (DMY)]])</f>
        <v>1</v>
      </c>
      <c r="G886" s="2"/>
      <c r="L886" s="5"/>
      <c r="M886" s="4">
        <f>M885-Table13[[#This Row],[Debits]]+Table13[[#This Row],[Income]]</f>
        <v>2805.21</v>
      </c>
      <c r="N886" t="str">
        <f>IF(AND(Table13[[#This Row],[Category]]="pay",NOT(Table13[[#This Row],[Debits]]=0)),"bad","good")</f>
        <v>good</v>
      </c>
      <c r="O886" s="5"/>
    </row>
    <row r="887" spans="6:15" x14ac:dyDescent="0.3">
      <c r="F887">
        <f>MONTH(Table13[[#This Row],[Date  (DMY)]])</f>
        <v>1</v>
      </c>
      <c r="G887" s="2"/>
      <c r="L887" s="5"/>
      <c r="M887" s="4">
        <f>M886-Table13[[#This Row],[Debits]]+Table13[[#This Row],[Income]]</f>
        <v>2805.21</v>
      </c>
      <c r="N887" t="str">
        <f>IF(AND(Table13[[#This Row],[Category]]="pay",NOT(Table13[[#This Row],[Debits]]=0)),"bad","good")</f>
        <v>good</v>
      </c>
      <c r="O887" s="5"/>
    </row>
    <row r="888" spans="6:15" x14ac:dyDescent="0.3">
      <c r="F888">
        <f>MONTH(Table13[[#This Row],[Date  (DMY)]])</f>
        <v>1</v>
      </c>
      <c r="G888" s="2"/>
      <c r="L888" s="5"/>
      <c r="M888" s="4">
        <f>M887-Table13[[#This Row],[Debits]]+Table13[[#This Row],[Income]]</f>
        <v>2805.21</v>
      </c>
      <c r="N888" t="str">
        <f>IF(AND(Table13[[#This Row],[Category]]="pay",NOT(Table13[[#This Row],[Debits]]=0)),"bad","good")</f>
        <v>good</v>
      </c>
      <c r="O888" s="5"/>
    </row>
    <row r="889" spans="6:15" x14ac:dyDescent="0.3">
      <c r="F889">
        <f>MONTH(Table13[[#This Row],[Date  (DMY)]])</f>
        <v>1</v>
      </c>
      <c r="G889" s="2"/>
      <c r="L889" s="5"/>
      <c r="M889" s="4">
        <f>M888-Table13[[#This Row],[Debits]]+Table13[[#This Row],[Income]]</f>
        <v>2805.21</v>
      </c>
      <c r="N889" t="str">
        <f>IF(AND(Table13[[#This Row],[Category]]="pay",NOT(Table13[[#This Row],[Debits]]=0)),"bad","good")</f>
        <v>good</v>
      </c>
      <c r="O889" s="5"/>
    </row>
    <row r="890" spans="6:15" x14ac:dyDescent="0.3">
      <c r="F890">
        <f>MONTH(Table13[[#This Row],[Date  (DMY)]])</f>
        <v>1</v>
      </c>
      <c r="G890" s="2"/>
      <c r="L890" s="5"/>
      <c r="M890" s="4">
        <f>M889-Table13[[#This Row],[Debits]]+Table13[[#This Row],[Income]]</f>
        <v>2805.21</v>
      </c>
      <c r="N890" t="str">
        <f>IF(AND(Table13[[#This Row],[Category]]="pay",NOT(Table13[[#This Row],[Debits]]=0)),"bad","good")</f>
        <v>good</v>
      </c>
      <c r="O890" s="5"/>
    </row>
    <row r="891" spans="6:15" x14ac:dyDescent="0.3">
      <c r="F891">
        <f>MONTH(Table13[[#This Row],[Date  (DMY)]])</f>
        <v>1</v>
      </c>
      <c r="G891" s="2"/>
      <c r="L891" s="5"/>
      <c r="M891" s="4">
        <f>M890-Table13[[#This Row],[Debits]]+Table13[[#This Row],[Income]]</f>
        <v>2805.21</v>
      </c>
      <c r="N891" t="str">
        <f>IF(AND(Table13[[#This Row],[Category]]="pay",NOT(Table13[[#This Row],[Debits]]=0)),"bad","good")</f>
        <v>good</v>
      </c>
      <c r="O891" s="5"/>
    </row>
    <row r="892" spans="6:15" x14ac:dyDescent="0.3">
      <c r="F892">
        <f>MONTH(Table13[[#This Row],[Date  (DMY)]])</f>
        <v>1</v>
      </c>
      <c r="G892" s="2"/>
      <c r="L892" s="5"/>
      <c r="M892" s="4">
        <f>M891-Table13[[#This Row],[Debits]]+Table13[[#This Row],[Income]]</f>
        <v>2805.21</v>
      </c>
      <c r="N892" t="str">
        <f>IF(AND(Table13[[#This Row],[Category]]="pay",NOT(Table13[[#This Row],[Debits]]=0)),"bad","good")</f>
        <v>good</v>
      </c>
      <c r="O892" s="5"/>
    </row>
    <row r="893" spans="6:15" x14ac:dyDescent="0.3">
      <c r="F893">
        <f>MONTH(Table13[[#This Row],[Date  (DMY)]])</f>
        <v>1</v>
      </c>
      <c r="G893" s="2"/>
      <c r="L893" s="5"/>
      <c r="M893" s="4">
        <f>M892-Table13[[#This Row],[Debits]]+Table13[[#This Row],[Income]]</f>
        <v>2805.21</v>
      </c>
      <c r="N893" t="str">
        <f>IF(AND(Table13[[#This Row],[Category]]="pay",NOT(Table13[[#This Row],[Debits]]=0)),"bad","good")</f>
        <v>good</v>
      </c>
      <c r="O893" s="5"/>
    </row>
    <row r="894" spans="6:15" x14ac:dyDescent="0.3">
      <c r="F894">
        <f>MONTH(Table13[[#This Row],[Date  (DMY)]])</f>
        <v>1</v>
      </c>
      <c r="G894" s="2"/>
      <c r="L894" s="5"/>
      <c r="M894" s="4">
        <f>M893-Table13[[#This Row],[Debits]]+Table13[[#This Row],[Income]]</f>
        <v>2805.21</v>
      </c>
      <c r="N894" t="str">
        <f>IF(AND(Table13[[#This Row],[Category]]="pay",NOT(Table13[[#This Row],[Debits]]=0)),"bad","good")</f>
        <v>good</v>
      </c>
      <c r="O894" s="5"/>
    </row>
    <row r="895" spans="6:15" x14ac:dyDescent="0.3">
      <c r="F895">
        <f>MONTH(Table13[[#This Row],[Date  (DMY)]])</f>
        <v>1</v>
      </c>
      <c r="G895" s="2"/>
      <c r="L895" s="5"/>
      <c r="M895" s="4">
        <f>M894-Table13[[#This Row],[Debits]]+Table13[[#This Row],[Income]]</f>
        <v>2805.21</v>
      </c>
      <c r="N895" t="str">
        <f>IF(AND(Table13[[#This Row],[Category]]="pay",NOT(Table13[[#This Row],[Debits]]=0)),"bad","good")</f>
        <v>good</v>
      </c>
      <c r="O895" s="5"/>
    </row>
    <row r="896" spans="6:15" x14ac:dyDescent="0.3">
      <c r="F896">
        <f>MONTH(Table13[[#This Row],[Date  (DMY)]])</f>
        <v>1</v>
      </c>
      <c r="G896" s="2"/>
      <c r="L896" s="5"/>
      <c r="M896" s="4">
        <f>M895-Table13[[#This Row],[Debits]]+Table13[[#This Row],[Income]]</f>
        <v>2805.21</v>
      </c>
      <c r="N896" t="str">
        <f>IF(AND(Table13[[#This Row],[Category]]="pay",NOT(Table13[[#This Row],[Debits]]=0)),"bad","good")</f>
        <v>good</v>
      </c>
      <c r="O896" s="5"/>
    </row>
    <row r="897" spans="6:15" x14ac:dyDescent="0.3">
      <c r="F897">
        <f>MONTH(Table13[[#This Row],[Date  (DMY)]])</f>
        <v>1</v>
      </c>
      <c r="G897" s="2"/>
      <c r="L897" s="5"/>
      <c r="M897" s="4">
        <f>M896-Table13[[#This Row],[Debits]]+Table13[[#This Row],[Income]]</f>
        <v>2805.21</v>
      </c>
      <c r="N897" t="str">
        <f>IF(AND(Table13[[#This Row],[Category]]="pay",NOT(Table13[[#This Row],[Debits]]=0)),"bad","good")</f>
        <v>good</v>
      </c>
      <c r="O897" s="5"/>
    </row>
    <row r="898" spans="6:15" x14ac:dyDescent="0.3">
      <c r="F898">
        <f>MONTH(Table13[[#This Row],[Date  (DMY)]])</f>
        <v>1</v>
      </c>
      <c r="G898" s="2"/>
      <c r="L898" s="5"/>
      <c r="M898" s="4">
        <f>M897-Table13[[#This Row],[Debits]]+Table13[[#This Row],[Income]]</f>
        <v>2805.21</v>
      </c>
      <c r="N898" t="str">
        <f>IF(AND(Table13[[#This Row],[Category]]="pay",NOT(Table13[[#This Row],[Debits]]=0)),"bad","good")</f>
        <v>good</v>
      </c>
      <c r="O898" s="5"/>
    </row>
    <row r="899" spans="6:15" x14ac:dyDescent="0.3">
      <c r="F899">
        <f>MONTH(Table13[[#This Row],[Date  (DMY)]])</f>
        <v>1</v>
      </c>
      <c r="G899" s="2"/>
      <c r="L899" s="5"/>
      <c r="M899" s="4">
        <f>M898-Table13[[#This Row],[Debits]]+Table13[[#This Row],[Income]]</f>
        <v>2805.21</v>
      </c>
      <c r="N899" t="str">
        <f>IF(AND(Table13[[#This Row],[Category]]="pay",NOT(Table13[[#This Row],[Debits]]=0)),"bad","good")</f>
        <v>good</v>
      </c>
      <c r="O899" s="5"/>
    </row>
    <row r="900" spans="6:15" x14ac:dyDescent="0.3">
      <c r="F900">
        <f>MONTH(Table13[[#This Row],[Date  (DMY)]])</f>
        <v>1</v>
      </c>
      <c r="G900" s="2"/>
      <c r="L900" s="5"/>
      <c r="M900" s="4">
        <f>M899-Table13[[#This Row],[Debits]]+Table13[[#This Row],[Income]]</f>
        <v>2805.21</v>
      </c>
      <c r="N900" t="str">
        <f>IF(AND(Table13[[#This Row],[Category]]="pay",NOT(Table13[[#This Row],[Debits]]=0)),"bad","good")</f>
        <v>good</v>
      </c>
      <c r="O900" s="5"/>
    </row>
    <row r="901" spans="6:15" x14ac:dyDescent="0.3">
      <c r="F901">
        <f>MONTH(Table13[[#This Row],[Date  (DMY)]])</f>
        <v>1</v>
      </c>
      <c r="G901" s="2"/>
      <c r="L901" s="5"/>
      <c r="M901" s="4">
        <f>M900-Table13[[#This Row],[Debits]]+Table13[[#This Row],[Income]]</f>
        <v>2805.21</v>
      </c>
      <c r="N901" t="str">
        <f>IF(AND(Table13[[#This Row],[Category]]="pay",NOT(Table13[[#This Row],[Debits]]=0)),"bad","good")</f>
        <v>good</v>
      </c>
      <c r="O901" s="5"/>
    </row>
    <row r="902" spans="6:15" x14ac:dyDescent="0.3">
      <c r="F902">
        <f>MONTH(Table13[[#This Row],[Date  (DMY)]])</f>
        <v>1</v>
      </c>
      <c r="G902" s="2"/>
      <c r="L902" s="5"/>
      <c r="M902" s="4">
        <f>M901-Table13[[#This Row],[Debits]]+Table13[[#This Row],[Income]]</f>
        <v>2805.21</v>
      </c>
      <c r="N902" t="str">
        <f>IF(AND(Table13[[#This Row],[Category]]="pay",NOT(Table13[[#This Row],[Debits]]=0)),"bad","good")</f>
        <v>good</v>
      </c>
      <c r="O902" s="5"/>
    </row>
    <row r="903" spans="6:15" x14ac:dyDescent="0.3">
      <c r="F903">
        <f>MONTH(Table13[[#This Row],[Date  (DMY)]])</f>
        <v>1</v>
      </c>
      <c r="G903" s="2"/>
      <c r="L903" s="5"/>
      <c r="M903" s="4">
        <f>M902-Table13[[#This Row],[Debits]]+Table13[[#This Row],[Income]]</f>
        <v>2805.21</v>
      </c>
      <c r="N903" t="str">
        <f>IF(AND(Table13[[#This Row],[Category]]="pay",NOT(Table13[[#This Row],[Debits]]=0)),"bad","good")</f>
        <v>good</v>
      </c>
      <c r="O903" s="5"/>
    </row>
    <row r="904" spans="6:15" x14ac:dyDescent="0.3">
      <c r="F904">
        <f>MONTH(Table13[[#This Row],[Date  (DMY)]])</f>
        <v>1</v>
      </c>
      <c r="G904" s="2"/>
      <c r="L904" s="5"/>
      <c r="M904" s="4">
        <f>M903-Table13[[#This Row],[Debits]]+Table13[[#This Row],[Income]]</f>
        <v>2805.21</v>
      </c>
      <c r="N904" t="str">
        <f>IF(AND(Table13[[#This Row],[Category]]="pay",NOT(Table13[[#This Row],[Debits]]=0)),"bad","good")</f>
        <v>good</v>
      </c>
      <c r="O904" s="5"/>
    </row>
    <row r="905" spans="6:15" x14ac:dyDescent="0.3">
      <c r="F905">
        <f>MONTH(Table13[[#This Row],[Date  (DMY)]])</f>
        <v>1</v>
      </c>
      <c r="G905" s="2"/>
      <c r="L905" s="5"/>
      <c r="M905" s="4">
        <f>M904-Table13[[#This Row],[Debits]]+Table13[[#This Row],[Income]]</f>
        <v>2805.21</v>
      </c>
      <c r="N905" t="str">
        <f>IF(AND(Table13[[#This Row],[Category]]="pay",NOT(Table13[[#This Row],[Debits]]=0)),"bad","good")</f>
        <v>good</v>
      </c>
      <c r="O905" s="5"/>
    </row>
    <row r="906" spans="6:15" x14ac:dyDescent="0.3">
      <c r="F906">
        <f>MONTH(Table13[[#This Row],[Date  (DMY)]])</f>
        <v>1</v>
      </c>
      <c r="G906" s="2"/>
      <c r="L906" s="5"/>
      <c r="M906" s="4">
        <f>M905-Table13[[#This Row],[Debits]]+Table13[[#This Row],[Income]]</f>
        <v>2805.21</v>
      </c>
      <c r="N906" t="str">
        <f>IF(AND(Table13[[#This Row],[Category]]="pay",NOT(Table13[[#This Row],[Debits]]=0)),"bad","good")</f>
        <v>good</v>
      </c>
      <c r="O906" s="5"/>
    </row>
    <row r="907" spans="6:15" x14ac:dyDescent="0.3">
      <c r="F907">
        <f>MONTH(Table13[[#This Row],[Date  (DMY)]])</f>
        <v>1</v>
      </c>
      <c r="G907" s="2"/>
      <c r="L907" s="5"/>
      <c r="M907" s="4">
        <f>M906-Table13[[#This Row],[Debits]]+Table13[[#This Row],[Income]]</f>
        <v>2805.21</v>
      </c>
      <c r="N907" t="str">
        <f>IF(AND(Table13[[#This Row],[Category]]="pay",NOT(Table13[[#This Row],[Debits]]=0)),"bad","good")</f>
        <v>good</v>
      </c>
      <c r="O907" s="5"/>
    </row>
    <row r="908" spans="6:15" x14ac:dyDescent="0.3">
      <c r="F908">
        <f>MONTH(Table13[[#This Row],[Date  (DMY)]])</f>
        <v>1</v>
      </c>
      <c r="G908" s="2"/>
      <c r="L908" s="5"/>
      <c r="M908" s="4">
        <f>M907-Table13[[#This Row],[Debits]]+Table13[[#This Row],[Income]]</f>
        <v>2805.21</v>
      </c>
      <c r="N908" t="str">
        <f>IF(AND(Table13[[#This Row],[Category]]="pay",NOT(Table13[[#This Row],[Debits]]=0)),"bad","good")</f>
        <v>good</v>
      </c>
      <c r="O908" s="5"/>
    </row>
    <row r="909" spans="6:15" x14ac:dyDescent="0.3">
      <c r="F909">
        <f>MONTH(Table13[[#This Row],[Date  (DMY)]])</f>
        <v>1</v>
      </c>
      <c r="G909" s="2"/>
      <c r="L909" s="5"/>
      <c r="M909" s="4">
        <f>M908-Table13[[#This Row],[Debits]]+Table13[[#This Row],[Income]]</f>
        <v>2805.21</v>
      </c>
      <c r="N909" t="str">
        <f>IF(AND(Table13[[#This Row],[Category]]="pay",NOT(Table13[[#This Row],[Debits]]=0)),"bad","good")</f>
        <v>good</v>
      </c>
      <c r="O909" s="5"/>
    </row>
    <row r="910" spans="6:15" x14ac:dyDescent="0.3">
      <c r="F910">
        <f>MONTH(Table13[[#This Row],[Date  (DMY)]])</f>
        <v>1</v>
      </c>
      <c r="G910" s="2"/>
      <c r="L910" s="5"/>
      <c r="M910" s="4">
        <f>M909-Table13[[#This Row],[Debits]]+Table13[[#This Row],[Income]]</f>
        <v>2805.21</v>
      </c>
      <c r="N910" t="str">
        <f>IF(AND(Table13[[#This Row],[Category]]="pay",NOT(Table13[[#This Row],[Debits]]=0)),"bad","good")</f>
        <v>good</v>
      </c>
      <c r="O910" s="5"/>
    </row>
    <row r="911" spans="6:15" x14ac:dyDescent="0.3">
      <c r="F911">
        <f>MONTH(Table13[[#This Row],[Date  (DMY)]])</f>
        <v>1</v>
      </c>
      <c r="G911" s="2"/>
      <c r="L911" s="5"/>
      <c r="M911" s="4">
        <f>M910-Table13[[#This Row],[Debits]]+Table13[[#This Row],[Income]]</f>
        <v>2805.21</v>
      </c>
      <c r="N911" t="str">
        <f>IF(AND(Table13[[#This Row],[Category]]="pay",NOT(Table13[[#This Row],[Debits]]=0)),"bad","good")</f>
        <v>good</v>
      </c>
      <c r="O911" s="5"/>
    </row>
    <row r="912" spans="6:15" x14ac:dyDescent="0.3">
      <c r="F912">
        <f>MONTH(Table13[[#This Row],[Date  (DMY)]])</f>
        <v>1</v>
      </c>
      <c r="G912" s="2"/>
      <c r="L912" s="5"/>
      <c r="M912" s="4">
        <f>M911-Table13[[#This Row],[Debits]]+Table13[[#This Row],[Income]]</f>
        <v>2805.21</v>
      </c>
      <c r="N912" t="str">
        <f>IF(AND(Table13[[#This Row],[Category]]="pay",NOT(Table13[[#This Row],[Debits]]=0)),"bad","good")</f>
        <v>good</v>
      </c>
      <c r="O912" s="5"/>
    </row>
    <row r="913" spans="6:15" x14ac:dyDescent="0.3">
      <c r="F913">
        <f>MONTH(Table13[[#This Row],[Date  (DMY)]])</f>
        <v>1</v>
      </c>
      <c r="G913" s="2"/>
      <c r="L913" s="5"/>
      <c r="M913" s="4">
        <f>M912-Table13[[#This Row],[Debits]]+Table13[[#This Row],[Income]]</f>
        <v>2805.21</v>
      </c>
      <c r="N913" t="str">
        <f>IF(AND(Table13[[#This Row],[Category]]="pay",NOT(Table13[[#This Row],[Debits]]=0)),"bad","good")</f>
        <v>good</v>
      </c>
      <c r="O913" s="5"/>
    </row>
    <row r="914" spans="6:15" x14ac:dyDescent="0.3">
      <c r="F914">
        <f>MONTH(Table13[[#This Row],[Date  (DMY)]])</f>
        <v>1</v>
      </c>
      <c r="G914" s="2"/>
      <c r="L914" s="5"/>
      <c r="M914" s="4">
        <f>M913-Table13[[#This Row],[Debits]]+Table13[[#This Row],[Income]]</f>
        <v>2805.21</v>
      </c>
      <c r="N914" t="str">
        <f>IF(AND(Table13[[#This Row],[Category]]="pay",NOT(Table13[[#This Row],[Debits]]=0)),"bad","good")</f>
        <v>good</v>
      </c>
      <c r="O914" s="5"/>
    </row>
    <row r="915" spans="6:15" x14ac:dyDescent="0.3">
      <c r="F915">
        <f>MONTH(Table13[[#This Row],[Date  (DMY)]])</f>
        <v>1</v>
      </c>
      <c r="G915" s="2"/>
      <c r="L915" s="5"/>
      <c r="M915" s="4">
        <f>M914-Table13[[#This Row],[Debits]]+Table13[[#This Row],[Income]]</f>
        <v>2805.21</v>
      </c>
      <c r="N915" t="str">
        <f>IF(AND(Table13[[#This Row],[Category]]="pay",NOT(Table13[[#This Row],[Debits]]=0)),"bad","good")</f>
        <v>good</v>
      </c>
      <c r="O915" s="5"/>
    </row>
    <row r="916" spans="6:15" x14ac:dyDescent="0.3">
      <c r="F916">
        <f>MONTH(Table13[[#This Row],[Date  (DMY)]])</f>
        <v>1</v>
      </c>
      <c r="G916" s="2"/>
      <c r="L916" s="5"/>
      <c r="M916" s="4">
        <f>M915-Table13[[#This Row],[Debits]]+Table13[[#This Row],[Income]]</f>
        <v>2805.21</v>
      </c>
      <c r="N916" t="str">
        <f>IF(AND(Table13[[#This Row],[Category]]="pay",NOT(Table13[[#This Row],[Debits]]=0)),"bad","good")</f>
        <v>good</v>
      </c>
      <c r="O916" s="5"/>
    </row>
    <row r="917" spans="6:15" x14ac:dyDescent="0.3">
      <c r="F917">
        <f>MONTH(Table13[[#This Row],[Date  (DMY)]])</f>
        <v>1</v>
      </c>
      <c r="G917" s="2"/>
      <c r="L917" s="5"/>
      <c r="M917" s="4">
        <f>M916-Table13[[#This Row],[Debits]]+Table13[[#This Row],[Income]]</f>
        <v>2805.21</v>
      </c>
      <c r="N917" t="str">
        <f>IF(AND(Table13[[#This Row],[Category]]="pay",NOT(Table13[[#This Row],[Debits]]=0)),"bad","good")</f>
        <v>good</v>
      </c>
      <c r="O917" s="5"/>
    </row>
    <row r="918" spans="6:15" x14ac:dyDescent="0.3">
      <c r="F918">
        <f>MONTH(Table13[[#This Row],[Date  (DMY)]])</f>
        <v>1</v>
      </c>
      <c r="G918" s="2"/>
      <c r="L918" s="5"/>
      <c r="M918" s="4">
        <f>M917-Table13[[#This Row],[Debits]]+Table13[[#This Row],[Income]]</f>
        <v>2805.21</v>
      </c>
      <c r="N918" t="str">
        <f>IF(AND(Table13[[#This Row],[Category]]="pay",NOT(Table13[[#This Row],[Debits]]=0)),"bad","good")</f>
        <v>good</v>
      </c>
      <c r="O918" s="5"/>
    </row>
    <row r="919" spans="6:15" x14ac:dyDescent="0.3">
      <c r="F919">
        <f>MONTH(Table13[[#This Row],[Date  (DMY)]])</f>
        <v>1</v>
      </c>
      <c r="G919" s="2"/>
      <c r="L919" s="5"/>
      <c r="M919" s="4">
        <f>M918-Table13[[#This Row],[Debits]]+Table13[[#This Row],[Income]]</f>
        <v>2805.21</v>
      </c>
      <c r="N919" t="str">
        <f>IF(AND(Table13[[#This Row],[Category]]="pay",NOT(Table13[[#This Row],[Debits]]=0)),"bad","good")</f>
        <v>good</v>
      </c>
      <c r="O919" s="5"/>
    </row>
    <row r="920" spans="6:15" x14ac:dyDescent="0.3">
      <c r="F920">
        <f>MONTH(Table13[[#This Row],[Date  (DMY)]])</f>
        <v>1</v>
      </c>
      <c r="G920" s="2"/>
      <c r="L920" s="5"/>
      <c r="M920" s="4">
        <f>M919-Table13[[#This Row],[Debits]]+Table13[[#This Row],[Income]]</f>
        <v>2805.21</v>
      </c>
      <c r="N920" t="str">
        <f>IF(AND(Table13[[#This Row],[Category]]="pay",NOT(Table13[[#This Row],[Debits]]=0)),"bad","good")</f>
        <v>good</v>
      </c>
      <c r="O920" s="5"/>
    </row>
    <row r="921" spans="6:15" x14ac:dyDescent="0.3">
      <c r="F921">
        <f>MONTH(Table13[[#This Row],[Date  (DMY)]])</f>
        <v>1</v>
      </c>
      <c r="G921" s="2"/>
      <c r="L921" s="5"/>
      <c r="M921" s="4">
        <f>M920-Table13[[#This Row],[Debits]]+Table13[[#This Row],[Income]]</f>
        <v>2805.21</v>
      </c>
      <c r="N921" t="str">
        <f>IF(AND(Table13[[#This Row],[Category]]="pay",NOT(Table13[[#This Row],[Debits]]=0)),"bad","good")</f>
        <v>good</v>
      </c>
      <c r="O921" s="5"/>
    </row>
    <row r="922" spans="6:15" x14ac:dyDescent="0.3">
      <c r="F922">
        <f>MONTH(Table13[[#This Row],[Date  (DMY)]])</f>
        <v>1</v>
      </c>
      <c r="G922" s="2"/>
      <c r="L922" s="5"/>
      <c r="M922" s="4">
        <f>M921-Table13[[#This Row],[Debits]]+Table13[[#This Row],[Income]]</f>
        <v>2805.21</v>
      </c>
      <c r="N922" t="str">
        <f>IF(AND(Table13[[#This Row],[Category]]="pay",NOT(Table13[[#This Row],[Debits]]=0)),"bad","good")</f>
        <v>good</v>
      </c>
      <c r="O922" s="5"/>
    </row>
    <row r="923" spans="6:15" x14ac:dyDescent="0.3">
      <c r="F923">
        <f>MONTH(Table13[[#This Row],[Date  (DMY)]])</f>
        <v>1</v>
      </c>
      <c r="G923" s="2"/>
      <c r="L923" s="5"/>
      <c r="M923" s="4">
        <f>M922-Table13[[#This Row],[Debits]]+Table13[[#This Row],[Income]]</f>
        <v>2805.21</v>
      </c>
      <c r="N923" t="str">
        <f>IF(AND(Table13[[#This Row],[Category]]="pay",NOT(Table13[[#This Row],[Debits]]=0)),"bad","good")</f>
        <v>good</v>
      </c>
      <c r="O923" s="5"/>
    </row>
    <row r="924" spans="6:15" x14ac:dyDescent="0.3">
      <c r="F924">
        <f>MONTH(Table13[[#This Row],[Date  (DMY)]])</f>
        <v>1</v>
      </c>
      <c r="G924" s="2"/>
      <c r="L924" s="5"/>
      <c r="M924" s="4">
        <f>M923-Table13[[#This Row],[Debits]]+Table13[[#This Row],[Income]]</f>
        <v>2805.21</v>
      </c>
      <c r="N924" t="str">
        <f>IF(AND(Table13[[#This Row],[Category]]="pay",NOT(Table13[[#This Row],[Debits]]=0)),"bad","good")</f>
        <v>good</v>
      </c>
      <c r="O924" s="5"/>
    </row>
    <row r="925" spans="6:15" x14ac:dyDescent="0.3">
      <c r="F925">
        <f>MONTH(Table13[[#This Row],[Date  (DMY)]])</f>
        <v>1</v>
      </c>
      <c r="G925" s="2"/>
      <c r="L925" s="5"/>
      <c r="M925" s="4">
        <f>M924-Table13[[#This Row],[Debits]]+Table13[[#This Row],[Income]]</f>
        <v>2805.21</v>
      </c>
      <c r="N925" t="str">
        <f>IF(AND(Table13[[#This Row],[Category]]="pay",NOT(Table13[[#This Row],[Debits]]=0)),"bad","good")</f>
        <v>good</v>
      </c>
      <c r="O925" s="5"/>
    </row>
    <row r="926" spans="6:15" x14ac:dyDescent="0.3">
      <c r="F926">
        <f>MONTH(Table13[[#This Row],[Date  (DMY)]])</f>
        <v>1</v>
      </c>
      <c r="G926" s="2"/>
      <c r="L926" s="5"/>
      <c r="M926" s="4">
        <f>M925-Table13[[#This Row],[Debits]]+Table13[[#This Row],[Income]]</f>
        <v>2805.21</v>
      </c>
      <c r="N926" t="str">
        <f>IF(AND(Table13[[#This Row],[Category]]="pay",NOT(Table13[[#This Row],[Debits]]=0)),"bad","good")</f>
        <v>good</v>
      </c>
      <c r="O926" s="5"/>
    </row>
    <row r="927" spans="6:15" x14ac:dyDescent="0.3">
      <c r="F927">
        <f>MONTH(Table13[[#This Row],[Date  (DMY)]])</f>
        <v>1</v>
      </c>
      <c r="G927" s="2"/>
      <c r="L927" s="5"/>
      <c r="M927" s="4">
        <f>M926-Table13[[#This Row],[Debits]]+Table13[[#This Row],[Income]]</f>
        <v>2805.21</v>
      </c>
      <c r="N927" t="str">
        <f>IF(AND(Table13[[#This Row],[Category]]="pay",NOT(Table13[[#This Row],[Debits]]=0)),"bad","good")</f>
        <v>good</v>
      </c>
      <c r="O927" s="5"/>
    </row>
    <row r="928" spans="6:15" x14ac:dyDescent="0.3">
      <c r="F928">
        <f>MONTH(Table13[[#This Row],[Date  (DMY)]])</f>
        <v>1</v>
      </c>
      <c r="G928" s="2"/>
      <c r="L928" s="5"/>
      <c r="M928" s="4">
        <f>M927-Table13[[#This Row],[Debits]]+Table13[[#This Row],[Income]]</f>
        <v>2805.21</v>
      </c>
      <c r="N928" t="str">
        <f>IF(AND(Table13[[#This Row],[Category]]="pay",NOT(Table13[[#This Row],[Debits]]=0)),"bad","good")</f>
        <v>good</v>
      </c>
      <c r="O928" s="5"/>
    </row>
    <row r="929" spans="6:15" x14ac:dyDescent="0.3">
      <c r="F929">
        <f>MONTH(Table13[[#This Row],[Date  (DMY)]])</f>
        <v>1</v>
      </c>
      <c r="G929" s="2"/>
      <c r="L929" s="5"/>
      <c r="M929" s="4">
        <f>M928-Table13[[#This Row],[Debits]]+Table13[[#This Row],[Income]]</f>
        <v>2805.21</v>
      </c>
      <c r="N929" t="str">
        <f>IF(AND(Table13[[#This Row],[Category]]="pay",NOT(Table13[[#This Row],[Debits]]=0)),"bad","good")</f>
        <v>good</v>
      </c>
      <c r="O929" s="5"/>
    </row>
    <row r="930" spans="6:15" x14ac:dyDescent="0.3">
      <c r="F930">
        <f>MONTH(Table13[[#This Row],[Date  (DMY)]])</f>
        <v>1</v>
      </c>
      <c r="G930" s="2"/>
      <c r="L930" s="5"/>
      <c r="M930" s="4">
        <f>M929-Table13[[#This Row],[Debits]]+Table13[[#This Row],[Income]]</f>
        <v>2805.21</v>
      </c>
      <c r="N930" t="str">
        <f>IF(AND(Table13[[#This Row],[Category]]="pay",NOT(Table13[[#This Row],[Debits]]=0)),"bad","good")</f>
        <v>good</v>
      </c>
      <c r="O930" s="5"/>
    </row>
    <row r="931" spans="6:15" x14ac:dyDescent="0.3">
      <c r="F931">
        <f>MONTH(Table13[[#This Row],[Date  (DMY)]])</f>
        <v>1</v>
      </c>
      <c r="G931" s="2"/>
      <c r="L931" s="5"/>
      <c r="M931" s="4">
        <f>M930-Table13[[#This Row],[Debits]]+Table13[[#This Row],[Income]]</f>
        <v>2805.21</v>
      </c>
      <c r="N931" t="str">
        <f>IF(AND(Table13[[#This Row],[Category]]="pay",NOT(Table13[[#This Row],[Debits]]=0)),"bad","good")</f>
        <v>good</v>
      </c>
      <c r="O931" s="5"/>
    </row>
    <row r="932" spans="6:15" x14ac:dyDescent="0.3">
      <c r="F932">
        <f>MONTH(Table13[[#This Row],[Date  (DMY)]])</f>
        <v>1</v>
      </c>
      <c r="G932" s="2"/>
      <c r="L932" s="5"/>
      <c r="M932" s="4">
        <f>M931-Table13[[#This Row],[Debits]]+Table13[[#This Row],[Income]]</f>
        <v>2805.21</v>
      </c>
      <c r="N932" t="str">
        <f>IF(AND(Table13[[#This Row],[Category]]="pay",NOT(Table13[[#This Row],[Debits]]=0)),"bad","good")</f>
        <v>good</v>
      </c>
      <c r="O932" s="5"/>
    </row>
    <row r="933" spans="6:15" x14ac:dyDescent="0.3">
      <c r="F933">
        <f>MONTH(Table13[[#This Row],[Date  (DMY)]])</f>
        <v>1</v>
      </c>
      <c r="G933" s="2"/>
      <c r="L933" s="5"/>
      <c r="M933" s="4">
        <f>M932-Table13[[#This Row],[Debits]]+Table13[[#This Row],[Income]]</f>
        <v>2805.21</v>
      </c>
      <c r="N933" t="str">
        <f>IF(AND(Table13[[#This Row],[Category]]="pay",NOT(Table13[[#This Row],[Debits]]=0)),"bad","good")</f>
        <v>good</v>
      </c>
      <c r="O933" s="5"/>
    </row>
    <row r="934" spans="6:15" x14ac:dyDescent="0.3">
      <c r="F934">
        <f>MONTH(Table13[[#This Row],[Date  (DMY)]])</f>
        <v>1</v>
      </c>
      <c r="G934" s="2"/>
      <c r="L934" s="5"/>
      <c r="M934" s="4">
        <f>M933-Table13[[#This Row],[Debits]]+Table13[[#This Row],[Income]]</f>
        <v>2805.21</v>
      </c>
      <c r="N934" t="str">
        <f>IF(AND(Table13[[#This Row],[Category]]="pay",NOT(Table13[[#This Row],[Debits]]=0)),"bad","good")</f>
        <v>good</v>
      </c>
      <c r="O934" s="5"/>
    </row>
    <row r="935" spans="6:15" x14ac:dyDescent="0.3">
      <c r="F935">
        <f>MONTH(Table13[[#This Row],[Date  (DMY)]])</f>
        <v>1</v>
      </c>
      <c r="G935" s="2"/>
      <c r="L935" s="5"/>
      <c r="M935" s="4">
        <f>M934-Table13[[#This Row],[Debits]]+Table13[[#This Row],[Income]]</f>
        <v>2805.21</v>
      </c>
      <c r="N935" t="str">
        <f>IF(AND(Table13[[#This Row],[Category]]="pay",NOT(Table13[[#This Row],[Debits]]=0)),"bad","good")</f>
        <v>good</v>
      </c>
      <c r="O935" s="5"/>
    </row>
    <row r="936" spans="6:15" x14ac:dyDescent="0.3">
      <c r="F936">
        <f>MONTH(Table13[[#This Row],[Date  (DMY)]])</f>
        <v>1</v>
      </c>
      <c r="G936" s="2"/>
      <c r="L936" s="5"/>
      <c r="M936" s="4">
        <f>M935-Table13[[#This Row],[Debits]]+Table13[[#This Row],[Income]]</f>
        <v>2805.21</v>
      </c>
      <c r="N936" t="str">
        <f>IF(AND(Table13[[#This Row],[Category]]="pay",NOT(Table13[[#This Row],[Debits]]=0)),"bad","good")</f>
        <v>good</v>
      </c>
      <c r="O936" s="5"/>
    </row>
    <row r="937" spans="6:15" x14ac:dyDescent="0.3">
      <c r="F937">
        <f>MONTH(Table13[[#This Row],[Date  (DMY)]])</f>
        <v>1</v>
      </c>
      <c r="G937" s="2"/>
      <c r="L937" s="5"/>
      <c r="M937" s="4">
        <f>M936-Table13[[#This Row],[Debits]]+Table13[[#This Row],[Income]]</f>
        <v>2805.21</v>
      </c>
      <c r="N937" t="str">
        <f>IF(AND(Table13[[#This Row],[Category]]="pay",NOT(Table13[[#This Row],[Debits]]=0)),"bad","good")</f>
        <v>good</v>
      </c>
      <c r="O937" s="5"/>
    </row>
    <row r="938" spans="6:15" x14ac:dyDescent="0.3">
      <c r="F938">
        <f>MONTH(Table13[[#This Row],[Date  (DMY)]])</f>
        <v>1</v>
      </c>
      <c r="G938" s="2"/>
      <c r="L938" s="5"/>
      <c r="M938" s="4">
        <f>M937-Table13[[#This Row],[Debits]]+Table13[[#This Row],[Income]]</f>
        <v>2805.21</v>
      </c>
      <c r="N938" t="str">
        <f>IF(AND(Table13[[#This Row],[Category]]="pay",NOT(Table13[[#This Row],[Debits]]=0)),"bad","good")</f>
        <v>good</v>
      </c>
      <c r="O938" s="5"/>
    </row>
    <row r="939" spans="6:15" x14ac:dyDescent="0.3">
      <c r="F939">
        <f>MONTH(Table13[[#This Row],[Date  (DMY)]])</f>
        <v>1</v>
      </c>
      <c r="G939" s="2"/>
      <c r="L939" s="5"/>
      <c r="M939" s="4">
        <f>M938-Table13[[#This Row],[Debits]]+Table13[[#This Row],[Income]]</f>
        <v>2805.21</v>
      </c>
      <c r="N939" t="str">
        <f>IF(AND(Table13[[#This Row],[Category]]="pay",NOT(Table13[[#This Row],[Debits]]=0)),"bad","good")</f>
        <v>good</v>
      </c>
      <c r="O939" s="5"/>
    </row>
    <row r="940" spans="6:15" x14ac:dyDescent="0.3">
      <c r="F940">
        <f>MONTH(Table13[[#This Row],[Date  (DMY)]])</f>
        <v>1</v>
      </c>
      <c r="G940" s="2"/>
      <c r="L940" s="5"/>
      <c r="M940" s="4">
        <f>M939-Table13[[#This Row],[Debits]]+Table13[[#This Row],[Income]]</f>
        <v>2805.21</v>
      </c>
      <c r="N940" t="str">
        <f>IF(AND(Table13[[#This Row],[Category]]="pay",NOT(Table13[[#This Row],[Debits]]=0)),"bad","good")</f>
        <v>good</v>
      </c>
      <c r="O940" s="5"/>
    </row>
    <row r="941" spans="6:15" x14ac:dyDescent="0.3">
      <c r="F941">
        <f>MONTH(Table13[[#This Row],[Date  (DMY)]])</f>
        <v>1</v>
      </c>
      <c r="G941" s="2"/>
      <c r="L941" s="5"/>
      <c r="M941" s="4">
        <f>M940-Table13[[#This Row],[Debits]]+Table13[[#This Row],[Income]]</f>
        <v>2805.21</v>
      </c>
      <c r="N941" t="str">
        <f>IF(AND(Table13[[#This Row],[Category]]="pay",NOT(Table13[[#This Row],[Debits]]=0)),"bad","good")</f>
        <v>good</v>
      </c>
      <c r="O941" s="5"/>
    </row>
    <row r="942" spans="6:15" x14ac:dyDescent="0.3">
      <c r="F942">
        <f>MONTH(Table13[[#This Row],[Date  (DMY)]])</f>
        <v>1</v>
      </c>
      <c r="G942" s="2"/>
      <c r="L942" s="5"/>
      <c r="M942" s="4">
        <f>M941-Table13[[#This Row],[Debits]]+Table13[[#This Row],[Income]]</f>
        <v>2805.21</v>
      </c>
      <c r="N942" t="str">
        <f>IF(AND(Table13[[#This Row],[Category]]="pay",NOT(Table13[[#This Row],[Debits]]=0)),"bad","good")</f>
        <v>good</v>
      </c>
      <c r="O942" s="5"/>
    </row>
    <row r="943" spans="6:15" x14ac:dyDescent="0.3">
      <c r="F943">
        <f>MONTH(Table13[[#This Row],[Date  (DMY)]])</f>
        <v>1</v>
      </c>
      <c r="G943" s="2"/>
      <c r="L943" s="5"/>
      <c r="M943" s="4">
        <f>M942-Table13[[#This Row],[Debits]]+Table13[[#This Row],[Income]]</f>
        <v>2805.21</v>
      </c>
      <c r="N943" t="str">
        <f>IF(AND(Table13[[#This Row],[Category]]="pay",NOT(Table13[[#This Row],[Debits]]=0)),"bad","good")</f>
        <v>good</v>
      </c>
      <c r="O943" s="5"/>
    </row>
    <row r="944" spans="6:15" x14ac:dyDescent="0.3">
      <c r="F944">
        <f>MONTH(Table13[[#This Row],[Date  (DMY)]])</f>
        <v>1</v>
      </c>
      <c r="G944" s="2"/>
      <c r="L944" s="5"/>
      <c r="M944" s="4">
        <f>M943-Table13[[#This Row],[Debits]]+Table13[[#This Row],[Income]]</f>
        <v>2805.21</v>
      </c>
      <c r="N944" t="str">
        <f>IF(AND(Table13[[#This Row],[Category]]="pay",NOT(Table13[[#This Row],[Debits]]=0)),"bad","good")</f>
        <v>good</v>
      </c>
      <c r="O944" s="5"/>
    </row>
    <row r="945" spans="6:15" x14ac:dyDescent="0.3">
      <c r="F945">
        <f>MONTH(Table13[[#This Row],[Date  (DMY)]])</f>
        <v>1</v>
      </c>
      <c r="G945" s="2"/>
      <c r="L945" s="5"/>
      <c r="M945" s="4">
        <f>M944-Table13[[#This Row],[Debits]]+Table13[[#This Row],[Income]]</f>
        <v>2805.21</v>
      </c>
      <c r="N945" t="str">
        <f>IF(AND(Table13[[#This Row],[Category]]="pay",NOT(Table13[[#This Row],[Debits]]=0)),"bad","good")</f>
        <v>good</v>
      </c>
      <c r="O945" s="5"/>
    </row>
    <row r="946" spans="6:15" x14ac:dyDescent="0.3">
      <c r="F946">
        <f>MONTH(Table13[[#This Row],[Date  (DMY)]])</f>
        <v>1</v>
      </c>
      <c r="G946" s="2"/>
      <c r="L946" s="5"/>
      <c r="M946" s="4">
        <f>M945-Table13[[#This Row],[Debits]]+Table13[[#This Row],[Income]]</f>
        <v>2805.21</v>
      </c>
      <c r="N946" t="str">
        <f>IF(AND(Table13[[#This Row],[Category]]="pay",NOT(Table13[[#This Row],[Debits]]=0)),"bad","good")</f>
        <v>good</v>
      </c>
      <c r="O946" s="5"/>
    </row>
    <row r="947" spans="6:15" x14ac:dyDescent="0.3">
      <c r="F947">
        <f>MONTH(Table13[[#This Row],[Date  (DMY)]])</f>
        <v>1</v>
      </c>
      <c r="G947" s="2"/>
      <c r="L947" s="5"/>
      <c r="M947" s="4">
        <f>M946-Table13[[#This Row],[Debits]]+Table13[[#This Row],[Income]]</f>
        <v>2805.21</v>
      </c>
      <c r="N947" t="str">
        <f>IF(AND(Table13[[#This Row],[Category]]="pay",NOT(Table13[[#This Row],[Debits]]=0)),"bad","good")</f>
        <v>good</v>
      </c>
      <c r="O947" s="5"/>
    </row>
    <row r="948" spans="6:15" x14ac:dyDescent="0.3">
      <c r="F948">
        <f>MONTH(Table13[[#This Row],[Date  (DMY)]])</f>
        <v>1</v>
      </c>
      <c r="G948" s="2"/>
      <c r="L948" s="5"/>
      <c r="M948" s="4">
        <f>M947-Table13[[#This Row],[Debits]]+Table13[[#This Row],[Income]]</f>
        <v>2805.21</v>
      </c>
      <c r="N948" t="str">
        <f>IF(AND(Table13[[#This Row],[Category]]="pay",NOT(Table13[[#This Row],[Debits]]=0)),"bad","good")</f>
        <v>good</v>
      </c>
      <c r="O948" s="5"/>
    </row>
    <row r="949" spans="6:15" x14ac:dyDescent="0.3">
      <c r="F949">
        <f>MONTH(Table13[[#This Row],[Date  (DMY)]])</f>
        <v>1</v>
      </c>
      <c r="G949" s="2"/>
      <c r="L949" s="5"/>
      <c r="M949" s="4">
        <f>M948-Table13[[#This Row],[Debits]]+Table13[[#This Row],[Income]]</f>
        <v>2805.21</v>
      </c>
      <c r="N949" t="str">
        <f>IF(AND(Table13[[#This Row],[Category]]="pay",NOT(Table13[[#This Row],[Debits]]=0)),"bad","good")</f>
        <v>good</v>
      </c>
      <c r="O949" s="5"/>
    </row>
    <row r="950" spans="6:15" x14ac:dyDescent="0.3">
      <c r="F950">
        <f>MONTH(Table13[[#This Row],[Date  (DMY)]])</f>
        <v>1</v>
      </c>
      <c r="G950" s="2"/>
      <c r="L950" s="5"/>
      <c r="M950" s="4">
        <f>M949-Table13[[#This Row],[Debits]]+Table13[[#This Row],[Income]]</f>
        <v>2805.21</v>
      </c>
      <c r="N950" t="str">
        <f>IF(AND(Table13[[#This Row],[Category]]="pay",NOT(Table13[[#This Row],[Debits]]=0)),"bad","good")</f>
        <v>good</v>
      </c>
      <c r="O950" s="5"/>
    </row>
    <row r="951" spans="6:15" x14ac:dyDescent="0.3">
      <c r="F951">
        <f>MONTH(Table13[[#This Row],[Date  (DMY)]])</f>
        <v>1</v>
      </c>
      <c r="G951" s="2"/>
      <c r="L951" s="5"/>
      <c r="M951" s="4">
        <f>M950-Table13[[#This Row],[Debits]]+Table13[[#This Row],[Income]]</f>
        <v>2805.21</v>
      </c>
      <c r="N951" t="str">
        <f>IF(AND(Table13[[#This Row],[Category]]="pay",NOT(Table13[[#This Row],[Debits]]=0)),"bad","good")</f>
        <v>good</v>
      </c>
      <c r="O951" s="5"/>
    </row>
    <row r="952" spans="6:15" x14ac:dyDescent="0.3">
      <c r="F952">
        <f>MONTH(Table13[[#This Row],[Date  (DMY)]])</f>
        <v>1</v>
      </c>
      <c r="G952" s="2"/>
      <c r="L952" s="5"/>
      <c r="M952" s="4">
        <f>M951-Table13[[#This Row],[Debits]]+Table13[[#This Row],[Income]]</f>
        <v>2805.21</v>
      </c>
      <c r="N952" t="str">
        <f>IF(AND(Table13[[#This Row],[Category]]="pay",NOT(Table13[[#This Row],[Debits]]=0)),"bad","good")</f>
        <v>good</v>
      </c>
      <c r="O952" s="5"/>
    </row>
    <row r="953" spans="6:15" x14ac:dyDescent="0.3">
      <c r="F953">
        <f>MONTH(Table13[[#This Row],[Date  (DMY)]])</f>
        <v>1</v>
      </c>
      <c r="G953" s="2"/>
      <c r="L953" s="5"/>
      <c r="M953" s="4">
        <f>M952-Table13[[#This Row],[Debits]]+Table13[[#This Row],[Income]]</f>
        <v>2805.21</v>
      </c>
      <c r="N953" t="str">
        <f>IF(AND(Table13[[#This Row],[Category]]="pay",NOT(Table13[[#This Row],[Debits]]=0)),"bad","good")</f>
        <v>good</v>
      </c>
      <c r="O953" s="5"/>
    </row>
    <row r="954" spans="6:15" x14ac:dyDescent="0.3">
      <c r="F954">
        <f>MONTH(Table13[[#This Row],[Date  (DMY)]])</f>
        <v>1</v>
      </c>
      <c r="G954" s="2"/>
      <c r="L954" s="5"/>
      <c r="M954" s="4">
        <f>M953-Table13[[#This Row],[Debits]]+Table13[[#This Row],[Income]]</f>
        <v>2805.21</v>
      </c>
      <c r="N954" t="str">
        <f>IF(AND(Table13[[#This Row],[Category]]="pay",NOT(Table13[[#This Row],[Debits]]=0)),"bad","good")</f>
        <v>good</v>
      </c>
      <c r="O954" s="5"/>
    </row>
    <row r="955" spans="6:15" x14ac:dyDescent="0.3">
      <c r="F955">
        <f>MONTH(Table13[[#This Row],[Date  (DMY)]])</f>
        <v>1</v>
      </c>
      <c r="G955" s="2"/>
      <c r="L955" s="5"/>
      <c r="M955" s="4">
        <f>M954-Table13[[#This Row],[Debits]]+Table13[[#This Row],[Income]]</f>
        <v>2805.21</v>
      </c>
      <c r="N955" t="str">
        <f>IF(AND(Table13[[#This Row],[Category]]="pay",NOT(Table13[[#This Row],[Debits]]=0)),"bad","good")</f>
        <v>good</v>
      </c>
      <c r="O955" s="5"/>
    </row>
    <row r="956" spans="6:15" x14ac:dyDescent="0.3">
      <c r="F956">
        <f>MONTH(Table13[[#This Row],[Date  (DMY)]])</f>
        <v>1</v>
      </c>
      <c r="G956" s="2"/>
      <c r="L956" s="5"/>
      <c r="M956" s="4">
        <f>M955-Table13[[#This Row],[Debits]]+Table13[[#This Row],[Income]]</f>
        <v>2805.21</v>
      </c>
      <c r="N956" t="str">
        <f>IF(AND(Table13[[#This Row],[Category]]="pay",NOT(Table13[[#This Row],[Debits]]=0)),"bad","good")</f>
        <v>good</v>
      </c>
      <c r="O956" s="5"/>
    </row>
    <row r="957" spans="6:15" x14ac:dyDescent="0.3">
      <c r="F957">
        <f>MONTH(Table13[[#This Row],[Date  (DMY)]])</f>
        <v>1</v>
      </c>
      <c r="G957" s="2"/>
      <c r="L957" s="5"/>
      <c r="M957" s="4">
        <f>M956-Table13[[#This Row],[Debits]]+Table13[[#This Row],[Income]]</f>
        <v>2805.21</v>
      </c>
      <c r="N957" t="str">
        <f>IF(AND(Table13[[#This Row],[Category]]="pay",NOT(Table13[[#This Row],[Debits]]=0)),"bad","good")</f>
        <v>good</v>
      </c>
      <c r="O957" s="5"/>
    </row>
    <row r="958" spans="6:15" x14ac:dyDescent="0.3">
      <c r="F958">
        <f>MONTH(Table13[[#This Row],[Date  (DMY)]])</f>
        <v>1</v>
      </c>
      <c r="G958" s="2"/>
      <c r="L958" s="5"/>
      <c r="M958" s="4">
        <f>M957-Table13[[#This Row],[Debits]]+Table13[[#This Row],[Income]]</f>
        <v>2805.21</v>
      </c>
      <c r="N958" t="str">
        <f>IF(AND(Table13[[#This Row],[Category]]="pay",NOT(Table13[[#This Row],[Debits]]=0)),"bad","good")</f>
        <v>good</v>
      </c>
      <c r="O958" s="5"/>
    </row>
    <row r="959" spans="6:15" x14ac:dyDescent="0.3">
      <c r="F959">
        <f>MONTH(Table13[[#This Row],[Date  (DMY)]])</f>
        <v>1</v>
      </c>
      <c r="G959" s="2"/>
      <c r="L959" s="5"/>
      <c r="M959" s="4">
        <f>M958-Table13[[#This Row],[Debits]]+Table13[[#This Row],[Income]]</f>
        <v>2805.21</v>
      </c>
      <c r="N959" t="str">
        <f>IF(AND(Table13[[#This Row],[Category]]="pay",NOT(Table13[[#This Row],[Debits]]=0)),"bad","good")</f>
        <v>good</v>
      </c>
      <c r="O959" s="5"/>
    </row>
    <row r="960" spans="6:15" x14ac:dyDescent="0.3">
      <c r="F960">
        <f>MONTH(Table13[[#This Row],[Date  (DMY)]])</f>
        <v>1</v>
      </c>
      <c r="G960" s="2"/>
      <c r="L960" s="5"/>
      <c r="M960" s="4">
        <f>M959-Table13[[#This Row],[Debits]]+Table13[[#This Row],[Income]]</f>
        <v>2805.21</v>
      </c>
      <c r="N960" t="str">
        <f>IF(AND(Table13[[#This Row],[Category]]="pay",NOT(Table13[[#This Row],[Debits]]=0)),"bad","good")</f>
        <v>good</v>
      </c>
      <c r="O960" s="5"/>
    </row>
    <row r="961" spans="6:15" x14ac:dyDescent="0.3">
      <c r="F961">
        <f>MONTH(Table13[[#This Row],[Date  (DMY)]])</f>
        <v>1</v>
      </c>
      <c r="G961" s="2"/>
      <c r="L961" s="5"/>
      <c r="M961" s="4">
        <f>M960-Table13[[#This Row],[Debits]]+Table13[[#This Row],[Income]]</f>
        <v>2805.21</v>
      </c>
      <c r="N961" t="str">
        <f>IF(AND(Table13[[#This Row],[Category]]="pay",NOT(Table13[[#This Row],[Debits]]=0)),"bad","good")</f>
        <v>good</v>
      </c>
      <c r="O961" s="5"/>
    </row>
    <row r="962" spans="6:15" x14ac:dyDescent="0.3">
      <c r="F962">
        <f>MONTH(Table13[[#This Row],[Date  (DMY)]])</f>
        <v>1</v>
      </c>
      <c r="G962" s="2"/>
      <c r="L962" s="5"/>
      <c r="M962" s="4">
        <f>M961-Table13[[#This Row],[Debits]]+Table13[[#This Row],[Income]]</f>
        <v>2805.21</v>
      </c>
      <c r="N962" t="str">
        <f>IF(AND(Table13[[#This Row],[Category]]="pay",NOT(Table13[[#This Row],[Debits]]=0)),"bad","good")</f>
        <v>good</v>
      </c>
      <c r="O962" s="5"/>
    </row>
    <row r="963" spans="6:15" x14ac:dyDescent="0.3">
      <c r="F963">
        <f>MONTH(Table13[[#This Row],[Date  (DMY)]])</f>
        <v>1</v>
      </c>
      <c r="G963" s="2"/>
      <c r="L963" s="5"/>
      <c r="M963" s="4">
        <f>M962-Table13[[#This Row],[Debits]]+Table13[[#This Row],[Income]]</f>
        <v>2805.21</v>
      </c>
      <c r="N963" t="str">
        <f>IF(AND(Table13[[#This Row],[Category]]="pay",NOT(Table13[[#This Row],[Debits]]=0)),"bad","good")</f>
        <v>good</v>
      </c>
      <c r="O963" s="5"/>
    </row>
    <row r="964" spans="6:15" x14ac:dyDescent="0.3">
      <c r="F964">
        <f>MONTH(Table13[[#This Row],[Date  (DMY)]])</f>
        <v>1</v>
      </c>
      <c r="G964" s="2"/>
      <c r="L964" s="5"/>
      <c r="M964" s="4">
        <f>M963-Table13[[#This Row],[Debits]]+Table13[[#This Row],[Income]]</f>
        <v>2805.21</v>
      </c>
      <c r="N964" t="str">
        <f>IF(AND(Table13[[#This Row],[Category]]="pay",NOT(Table13[[#This Row],[Debits]]=0)),"bad","good")</f>
        <v>good</v>
      </c>
      <c r="O964" s="5"/>
    </row>
    <row r="965" spans="6:15" x14ac:dyDescent="0.3">
      <c r="F965">
        <f>MONTH(Table13[[#This Row],[Date  (DMY)]])</f>
        <v>1</v>
      </c>
      <c r="G965" s="2"/>
      <c r="L965" s="5"/>
      <c r="M965" s="4">
        <f>M964-Table13[[#This Row],[Debits]]+Table13[[#This Row],[Income]]</f>
        <v>2805.21</v>
      </c>
      <c r="N965" t="str">
        <f>IF(AND(Table13[[#This Row],[Category]]="pay",NOT(Table13[[#This Row],[Debits]]=0)),"bad","good")</f>
        <v>good</v>
      </c>
      <c r="O965" s="5"/>
    </row>
    <row r="966" spans="6:15" x14ac:dyDescent="0.3">
      <c r="F966">
        <f>MONTH(Table13[[#This Row],[Date  (DMY)]])</f>
        <v>1</v>
      </c>
      <c r="G966" s="2"/>
      <c r="L966" s="5"/>
      <c r="M966" s="4">
        <f>M965-Table13[[#This Row],[Debits]]+Table13[[#This Row],[Income]]</f>
        <v>2805.21</v>
      </c>
      <c r="N966" t="str">
        <f>IF(AND(Table13[[#This Row],[Category]]="pay",NOT(Table13[[#This Row],[Debits]]=0)),"bad","good")</f>
        <v>good</v>
      </c>
      <c r="O966" s="5"/>
    </row>
    <row r="967" spans="6:15" x14ac:dyDescent="0.3">
      <c r="F967">
        <f>MONTH(Table13[[#This Row],[Date  (DMY)]])</f>
        <v>1</v>
      </c>
      <c r="G967" s="2"/>
      <c r="L967" s="5"/>
      <c r="M967" s="4">
        <f>M966-Table13[[#This Row],[Debits]]+Table13[[#This Row],[Income]]</f>
        <v>2805.21</v>
      </c>
      <c r="N967" t="str">
        <f>IF(AND(Table13[[#This Row],[Category]]="pay",NOT(Table13[[#This Row],[Debits]]=0)),"bad","good")</f>
        <v>good</v>
      </c>
      <c r="O967" s="5"/>
    </row>
    <row r="968" spans="6:15" x14ac:dyDescent="0.3">
      <c r="F968">
        <f>MONTH(Table13[[#This Row],[Date  (DMY)]])</f>
        <v>1</v>
      </c>
      <c r="G968" s="2"/>
      <c r="L968" s="5"/>
      <c r="M968" s="4">
        <f>M967-Table13[[#This Row],[Debits]]+Table13[[#This Row],[Income]]</f>
        <v>2805.21</v>
      </c>
      <c r="N968" t="str">
        <f>IF(AND(Table13[[#This Row],[Category]]="pay",NOT(Table13[[#This Row],[Debits]]=0)),"bad","good")</f>
        <v>good</v>
      </c>
      <c r="O968" s="5"/>
    </row>
    <row r="969" spans="6:15" x14ac:dyDescent="0.3">
      <c r="F969">
        <f>MONTH(Table13[[#This Row],[Date  (DMY)]])</f>
        <v>1</v>
      </c>
      <c r="G969" s="2"/>
      <c r="L969" s="5"/>
      <c r="M969" s="4">
        <f>M968-Table13[[#This Row],[Debits]]+Table13[[#This Row],[Income]]</f>
        <v>2805.21</v>
      </c>
      <c r="N969" t="str">
        <f>IF(AND(Table13[[#This Row],[Category]]="pay",NOT(Table13[[#This Row],[Debits]]=0)),"bad","good")</f>
        <v>good</v>
      </c>
      <c r="O969" s="5"/>
    </row>
    <row r="970" spans="6:15" x14ac:dyDescent="0.3">
      <c r="F970">
        <f>MONTH(Table13[[#This Row],[Date  (DMY)]])</f>
        <v>1</v>
      </c>
      <c r="G970" s="2"/>
      <c r="L970" s="5"/>
      <c r="M970" s="4">
        <f>M969-Table13[[#This Row],[Debits]]+Table13[[#This Row],[Income]]</f>
        <v>2805.21</v>
      </c>
      <c r="N970" t="str">
        <f>IF(AND(Table13[[#This Row],[Category]]="pay",NOT(Table13[[#This Row],[Debits]]=0)),"bad","good")</f>
        <v>good</v>
      </c>
      <c r="O970" s="5"/>
    </row>
    <row r="971" spans="6:15" x14ac:dyDescent="0.3">
      <c r="F971">
        <f>MONTH(Table13[[#This Row],[Date  (DMY)]])</f>
        <v>1</v>
      </c>
      <c r="G971" s="2"/>
      <c r="L971" s="5"/>
      <c r="M971" s="4">
        <f>M970-Table13[[#This Row],[Debits]]+Table13[[#This Row],[Income]]</f>
        <v>2805.21</v>
      </c>
      <c r="N971" t="str">
        <f>IF(AND(Table13[[#This Row],[Category]]="pay",NOT(Table13[[#This Row],[Debits]]=0)),"bad","good")</f>
        <v>good</v>
      </c>
      <c r="O971" s="5"/>
    </row>
    <row r="972" spans="6:15" x14ac:dyDescent="0.3">
      <c r="F972">
        <f>MONTH(Table13[[#This Row],[Date  (DMY)]])</f>
        <v>1</v>
      </c>
      <c r="G972" s="2"/>
      <c r="L972" s="5"/>
      <c r="M972" s="4">
        <f>M971-Table13[[#This Row],[Debits]]+Table13[[#This Row],[Income]]</f>
        <v>2805.21</v>
      </c>
      <c r="N972" t="str">
        <f>IF(AND(Table13[[#This Row],[Category]]="pay",NOT(Table13[[#This Row],[Debits]]=0)),"bad","good")</f>
        <v>good</v>
      </c>
      <c r="O972" s="5"/>
    </row>
    <row r="973" spans="6:15" x14ac:dyDescent="0.3">
      <c r="F973">
        <f>MONTH(Table13[[#This Row],[Date  (DMY)]])</f>
        <v>1</v>
      </c>
      <c r="G973" s="2"/>
      <c r="L973" s="5"/>
      <c r="M973" s="4">
        <f>M972-Table13[[#This Row],[Debits]]+Table13[[#This Row],[Income]]</f>
        <v>2805.21</v>
      </c>
      <c r="N973" t="str">
        <f>IF(AND(Table13[[#This Row],[Category]]="pay",NOT(Table13[[#This Row],[Debits]]=0)),"bad","good")</f>
        <v>good</v>
      </c>
      <c r="O973" s="5"/>
    </row>
    <row r="974" spans="6:15" x14ac:dyDescent="0.3">
      <c r="F974">
        <f>MONTH(Table13[[#This Row],[Date  (DMY)]])</f>
        <v>1</v>
      </c>
      <c r="G974" s="2"/>
      <c r="L974" s="5"/>
      <c r="M974" s="4">
        <f>M973-Table13[[#This Row],[Debits]]+Table13[[#This Row],[Income]]</f>
        <v>2805.21</v>
      </c>
      <c r="N974" t="str">
        <f>IF(AND(Table13[[#This Row],[Category]]="pay",NOT(Table13[[#This Row],[Debits]]=0)),"bad","good")</f>
        <v>good</v>
      </c>
      <c r="O974" s="5"/>
    </row>
    <row r="975" spans="6:15" x14ac:dyDescent="0.3">
      <c r="F975">
        <f>MONTH(Table13[[#This Row],[Date  (DMY)]])</f>
        <v>1</v>
      </c>
      <c r="G975" s="2"/>
      <c r="L975" s="5"/>
      <c r="M975" s="4">
        <f>M974-Table13[[#This Row],[Debits]]+Table13[[#This Row],[Income]]</f>
        <v>2805.21</v>
      </c>
      <c r="N975" t="str">
        <f>IF(AND(Table13[[#This Row],[Category]]="pay",NOT(Table13[[#This Row],[Debits]]=0)),"bad","good")</f>
        <v>good</v>
      </c>
      <c r="O975" s="5"/>
    </row>
    <row r="976" spans="6:15" x14ac:dyDescent="0.3">
      <c r="F976">
        <f>MONTH(Table13[[#This Row],[Date  (DMY)]])</f>
        <v>1</v>
      </c>
      <c r="G976" s="2"/>
      <c r="L976" s="5"/>
      <c r="M976" s="4">
        <f>M975-Table13[[#This Row],[Debits]]+Table13[[#This Row],[Income]]</f>
        <v>2805.21</v>
      </c>
      <c r="N976" t="str">
        <f>IF(AND(Table13[[#This Row],[Category]]="pay",NOT(Table13[[#This Row],[Debits]]=0)),"bad","good")</f>
        <v>good</v>
      </c>
      <c r="O976" s="5"/>
    </row>
    <row r="977" spans="6:15" x14ac:dyDescent="0.3">
      <c r="F977">
        <f>MONTH(Table13[[#This Row],[Date  (DMY)]])</f>
        <v>1</v>
      </c>
      <c r="G977" s="2"/>
      <c r="L977" s="5"/>
      <c r="M977" s="4">
        <f>M976-Table13[[#This Row],[Debits]]+Table13[[#This Row],[Income]]</f>
        <v>2805.21</v>
      </c>
      <c r="N977" t="str">
        <f>IF(AND(Table13[[#This Row],[Category]]="pay",NOT(Table13[[#This Row],[Debits]]=0)),"bad","good")</f>
        <v>good</v>
      </c>
      <c r="O977" s="5"/>
    </row>
    <row r="978" spans="6:15" x14ac:dyDescent="0.3">
      <c r="F978">
        <f>MONTH(Table13[[#This Row],[Date  (DMY)]])</f>
        <v>1</v>
      </c>
      <c r="G978" s="2"/>
      <c r="L978" s="5"/>
      <c r="M978" s="4">
        <f>M977-Table13[[#This Row],[Debits]]+Table13[[#This Row],[Income]]</f>
        <v>2805.21</v>
      </c>
      <c r="N978" t="str">
        <f>IF(AND(Table13[[#This Row],[Category]]="pay",NOT(Table13[[#This Row],[Debits]]=0)),"bad","good")</f>
        <v>good</v>
      </c>
      <c r="O978" s="5"/>
    </row>
    <row r="979" spans="6:15" x14ac:dyDescent="0.3">
      <c r="F979">
        <f>MONTH(Table13[[#This Row],[Date  (DMY)]])</f>
        <v>1</v>
      </c>
      <c r="G979" s="2"/>
      <c r="L979" s="5"/>
      <c r="M979" s="4">
        <f>M978-Table13[[#This Row],[Debits]]+Table13[[#This Row],[Income]]</f>
        <v>2805.21</v>
      </c>
      <c r="N979" t="str">
        <f>IF(AND(Table13[[#This Row],[Category]]="pay",NOT(Table13[[#This Row],[Debits]]=0)),"bad","good")</f>
        <v>good</v>
      </c>
      <c r="O979" s="5"/>
    </row>
    <row r="980" spans="6:15" x14ac:dyDescent="0.3">
      <c r="F980">
        <f>MONTH(Table13[[#This Row],[Date  (DMY)]])</f>
        <v>1</v>
      </c>
      <c r="G980" s="2"/>
      <c r="L980" s="5"/>
      <c r="M980" s="4">
        <f>M979-Table13[[#This Row],[Debits]]+Table13[[#This Row],[Income]]</f>
        <v>2805.21</v>
      </c>
      <c r="N980" t="str">
        <f>IF(AND(Table13[[#This Row],[Category]]="pay",NOT(Table13[[#This Row],[Debits]]=0)),"bad","good")</f>
        <v>good</v>
      </c>
      <c r="O980" s="5"/>
    </row>
    <row r="981" spans="6:15" x14ac:dyDescent="0.3">
      <c r="F981">
        <f>MONTH(Table13[[#This Row],[Date  (DMY)]])</f>
        <v>1</v>
      </c>
      <c r="G981" s="2"/>
      <c r="L981" s="5"/>
      <c r="M981" s="4">
        <f>M980-Table13[[#This Row],[Debits]]+Table13[[#This Row],[Income]]</f>
        <v>2805.21</v>
      </c>
      <c r="N981" t="str">
        <f>IF(AND(Table13[[#This Row],[Category]]="pay",NOT(Table13[[#This Row],[Debits]]=0)),"bad","good")</f>
        <v>good</v>
      </c>
      <c r="O981" s="5"/>
    </row>
    <row r="982" spans="6:15" x14ac:dyDescent="0.3">
      <c r="F982">
        <f>MONTH(Table13[[#This Row],[Date  (DMY)]])</f>
        <v>1</v>
      </c>
      <c r="G982" s="2"/>
      <c r="L982" s="5"/>
      <c r="M982" s="4">
        <f>M981-Table13[[#This Row],[Debits]]+Table13[[#This Row],[Income]]</f>
        <v>2805.21</v>
      </c>
      <c r="N982" t="str">
        <f>IF(AND(Table13[[#This Row],[Category]]="pay",NOT(Table13[[#This Row],[Debits]]=0)),"bad","good")</f>
        <v>good</v>
      </c>
      <c r="O982" s="5"/>
    </row>
    <row r="983" spans="6:15" x14ac:dyDescent="0.3">
      <c r="F983">
        <f>MONTH(Table13[[#This Row],[Date  (DMY)]])</f>
        <v>1</v>
      </c>
      <c r="G983" s="2"/>
      <c r="L983" s="5"/>
      <c r="M983" s="4">
        <f>M982-Table13[[#This Row],[Debits]]+Table13[[#This Row],[Income]]</f>
        <v>2805.21</v>
      </c>
      <c r="N983" t="str">
        <f>IF(AND(Table13[[#This Row],[Category]]="pay",NOT(Table13[[#This Row],[Debits]]=0)),"bad","good")</f>
        <v>good</v>
      </c>
      <c r="O983" s="5"/>
    </row>
    <row r="984" spans="6:15" x14ac:dyDescent="0.3">
      <c r="F984">
        <f>MONTH(Table13[[#This Row],[Date  (DMY)]])</f>
        <v>1</v>
      </c>
      <c r="G984" s="2"/>
      <c r="L984" s="5"/>
      <c r="M984" s="4">
        <f>M983-Table13[[#This Row],[Debits]]+Table13[[#This Row],[Income]]</f>
        <v>2805.21</v>
      </c>
      <c r="N984" t="str">
        <f>IF(AND(Table13[[#This Row],[Category]]="pay",NOT(Table13[[#This Row],[Debits]]=0)),"bad","good")</f>
        <v>good</v>
      </c>
      <c r="O984" s="5"/>
    </row>
    <row r="985" spans="6:15" x14ac:dyDescent="0.3">
      <c r="F985">
        <f>MONTH(Table13[[#This Row],[Date  (DMY)]])</f>
        <v>1</v>
      </c>
      <c r="G985" s="2"/>
      <c r="L985" s="5"/>
      <c r="M985" s="4">
        <f>M984-Table13[[#This Row],[Debits]]+Table13[[#This Row],[Income]]</f>
        <v>2805.21</v>
      </c>
      <c r="N985" t="str">
        <f>IF(AND(Table13[[#This Row],[Category]]="pay",NOT(Table13[[#This Row],[Debits]]=0)),"bad","good")</f>
        <v>good</v>
      </c>
      <c r="O985" s="5"/>
    </row>
    <row r="986" spans="6:15" x14ac:dyDescent="0.3">
      <c r="F986">
        <f>MONTH(Table13[[#This Row],[Date  (DMY)]])</f>
        <v>1</v>
      </c>
      <c r="G986" s="2"/>
      <c r="L986" s="5"/>
      <c r="M986" s="4">
        <f>M985-Table13[[#This Row],[Debits]]+Table13[[#This Row],[Income]]</f>
        <v>2805.21</v>
      </c>
      <c r="N986" t="str">
        <f>IF(AND(Table13[[#This Row],[Category]]="pay",NOT(Table13[[#This Row],[Debits]]=0)),"bad","good")</f>
        <v>good</v>
      </c>
      <c r="O986" s="5"/>
    </row>
    <row r="987" spans="6:15" x14ac:dyDescent="0.3">
      <c r="F987">
        <f>MONTH(Table13[[#This Row],[Date  (DMY)]])</f>
        <v>1</v>
      </c>
      <c r="G987" s="2"/>
      <c r="L987" s="5"/>
      <c r="M987" s="4">
        <f>M986-Table13[[#This Row],[Debits]]+Table13[[#This Row],[Income]]</f>
        <v>2805.21</v>
      </c>
      <c r="N987" t="str">
        <f>IF(AND(Table13[[#This Row],[Category]]="pay",NOT(Table13[[#This Row],[Debits]]=0)),"bad","good")</f>
        <v>good</v>
      </c>
      <c r="O987" s="5"/>
    </row>
    <row r="988" spans="6:15" x14ac:dyDescent="0.3">
      <c r="F988">
        <f>MONTH(Table13[[#This Row],[Date  (DMY)]])</f>
        <v>1</v>
      </c>
      <c r="G988" s="2"/>
      <c r="L988" s="5"/>
      <c r="M988" s="4">
        <f>M987-Table13[[#This Row],[Debits]]+Table13[[#This Row],[Income]]</f>
        <v>2805.21</v>
      </c>
      <c r="N988" t="str">
        <f>IF(AND(Table13[[#This Row],[Category]]="pay",NOT(Table13[[#This Row],[Debits]]=0)),"bad","good")</f>
        <v>good</v>
      </c>
      <c r="O988" s="5"/>
    </row>
    <row r="989" spans="6:15" x14ac:dyDescent="0.3">
      <c r="F989">
        <f>MONTH(Table13[[#This Row],[Date  (DMY)]])</f>
        <v>1</v>
      </c>
      <c r="G989" s="2"/>
      <c r="L989" s="5"/>
      <c r="M989" s="4">
        <f>M988-Table13[[#This Row],[Debits]]+Table13[[#This Row],[Income]]</f>
        <v>2805.21</v>
      </c>
      <c r="N989" t="str">
        <f>IF(AND(Table13[[#This Row],[Category]]="pay",NOT(Table13[[#This Row],[Debits]]=0)),"bad","good")</f>
        <v>good</v>
      </c>
      <c r="O989" s="5"/>
    </row>
    <row r="990" spans="6:15" x14ac:dyDescent="0.3">
      <c r="F990">
        <f>MONTH(Table13[[#This Row],[Date  (DMY)]])</f>
        <v>1</v>
      </c>
      <c r="G990" s="2"/>
      <c r="L990" s="5"/>
      <c r="M990" s="4">
        <f>M989-Table13[[#This Row],[Debits]]+Table13[[#This Row],[Income]]</f>
        <v>2805.21</v>
      </c>
      <c r="N990" t="str">
        <f>IF(AND(Table13[[#This Row],[Category]]="pay",NOT(Table13[[#This Row],[Debits]]=0)),"bad","good")</f>
        <v>good</v>
      </c>
      <c r="O990" s="5"/>
    </row>
    <row r="991" spans="6:15" x14ac:dyDescent="0.3">
      <c r="F991">
        <f>MONTH(Table13[[#This Row],[Date  (DMY)]])</f>
        <v>1</v>
      </c>
      <c r="G991" s="2"/>
      <c r="L991" s="5"/>
      <c r="M991" s="4">
        <f>M990-Table13[[#This Row],[Debits]]+Table13[[#This Row],[Income]]</f>
        <v>2805.21</v>
      </c>
      <c r="N991" t="str">
        <f>IF(AND(Table13[[#This Row],[Category]]="pay",NOT(Table13[[#This Row],[Debits]]=0)),"bad","good")</f>
        <v>good</v>
      </c>
      <c r="O991" s="5"/>
    </row>
    <row r="992" spans="6:15" x14ac:dyDescent="0.3">
      <c r="F992">
        <f>MONTH(Table13[[#This Row],[Date  (DMY)]])</f>
        <v>1</v>
      </c>
      <c r="G992" s="2"/>
      <c r="L992" s="5"/>
      <c r="M992" s="4">
        <f>M991-Table13[[#This Row],[Debits]]+Table13[[#This Row],[Income]]</f>
        <v>2805.21</v>
      </c>
      <c r="N992" t="str">
        <f>IF(AND(Table13[[#This Row],[Category]]="pay",NOT(Table13[[#This Row],[Debits]]=0)),"bad","good")</f>
        <v>good</v>
      </c>
      <c r="O992" s="5"/>
    </row>
    <row r="993" spans="6:15" x14ac:dyDescent="0.3">
      <c r="F993">
        <f>MONTH(Table13[[#This Row],[Date  (DMY)]])</f>
        <v>1</v>
      </c>
      <c r="G993" s="2"/>
      <c r="L993" s="5"/>
      <c r="M993" s="4">
        <f>M992-Table13[[#This Row],[Debits]]+Table13[[#This Row],[Income]]</f>
        <v>2805.21</v>
      </c>
      <c r="N993" t="str">
        <f>IF(AND(Table13[[#This Row],[Category]]="pay",NOT(Table13[[#This Row],[Debits]]=0)),"bad","good")</f>
        <v>good</v>
      </c>
      <c r="O993" s="5"/>
    </row>
    <row r="994" spans="6:15" x14ac:dyDescent="0.3">
      <c r="F994">
        <f>MONTH(Table13[[#This Row],[Date  (DMY)]])</f>
        <v>1</v>
      </c>
      <c r="G994" s="2"/>
      <c r="L994" s="5"/>
      <c r="M994" s="4">
        <f>M993-Table13[[#This Row],[Debits]]+Table13[[#This Row],[Income]]</f>
        <v>2805.21</v>
      </c>
      <c r="N994" t="str">
        <f>IF(AND(Table13[[#This Row],[Category]]="pay",NOT(Table13[[#This Row],[Debits]]=0)),"bad","good")</f>
        <v>good</v>
      </c>
      <c r="O994" s="5"/>
    </row>
    <row r="995" spans="6:15" x14ac:dyDescent="0.3">
      <c r="F995">
        <f>MONTH(Table13[[#This Row],[Date  (DMY)]])</f>
        <v>1</v>
      </c>
      <c r="G995" s="2"/>
      <c r="L995" s="5"/>
      <c r="M995" s="4">
        <f>M994-Table13[[#This Row],[Debits]]+Table13[[#This Row],[Income]]</f>
        <v>2805.21</v>
      </c>
      <c r="N995" t="str">
        <f>IF(AND(Table13[[#This Row],[Category]]="pay",NOT(Table13[[#This Row],[Debits]]=0)),"bad","good")</f>
        <v>good</v>
      </c>
      <c r="O995" s="5"/>
    </row>
    <row r="996" spans="6:15" x14ac:dyDescent="0.3">
      <c r="F996">
        <f>MONTH(Table13[[#This Row],[Date  (DMY)]])</f>
        <v>1</v>
      </c>
      <c r="G996" s="2"/>
      <c r="L996" s="5"/>
      <c r="M996" s="4">
        <f>M995-Table13[[#This Row],[Debits]]+Table13[[#This Row],[Income]]</f>
        <v>2805.21</v>
      </c>
      <c r="N996" t="str">
        <f>IF(AND(Table13[[#This Row],[Category]]="pay",NOT(Table13[[#This Row],[Debits]]=0)),"bad","good")</f>
        <v>good</v>
      </c>
      <c r="O996" s="5"/>
    </row>
    <row r="997" spans="6:15" x14ac:dyDescent="0.3">
      <c r="F997">
        <f>MONTH(Table13[[#This Row],[Date  (DMY)]])</f>
        <v>1</v>
      </c>
      <c r="G997" s="2"/>
      <c r="L997" s="5"/>
      <c r="M997" s="4">
        <f>M996-Table13[[#This Row],[Debits]]+Table13[[#This Row],[Income]]</f>
        <v>2805.21</v>
      </c>
      <c r="N997" t="str">
        <f>IF(AND(Table13[[#This Row],[Category]]="pay",NOT(Table13[[#This Row],[Debits]]=0)),"bad","good")</f>
        <v>good</v>
      </c>
      <c r="O997" s="5"/>
    </row>
    <row r="998" spans="6:15" x14ac:dyDescent="0.3">
      <c r="F998">
        <f>MONTH(Table13[[#This Row],[Date  (DMY)]])</f>
        <v>1</v>
      </c>
      <c r="G998" s="2"/>
      <c r="L998" s="5"/>
      <c r="M998" s="4">
        <f>M997-Table13[[#This Row],[Debits]]+Table13[[#This Row],[Income]]</f>
        <v>2805.21</v>
      </c>
      <c r="N998" t="str">
        <f>IF(AND(Table13[[#This Row],[Category]]="pay",NOT(Table13[[#This Row],[Debits]]=0)),"bad","good")</f>
        <v>good</v>
      </c>
      <c r="O998" s="5"/>
    </row>
    <row r="999" spans="6:15" x14ac:dyDescent="0.3">
      <c r="F999">
        <f>MONTH(Table13[[#This Row],[Date  (DMY)]])</f>
        <v>1</v>
      </c>
      <c r="G999" s="2"/>
      <c r="L999" s="5"/>
      <c r="M999" s="4">
        <f>M998-Table13[[#This Row],[Debits]]+Table13[[#This Row],[Income]]</f>
        <v>2805.21</v>
      </c>
      <c r="N999" t="str">
        <f>IF(AND(Table13[[#This Row],[Category]]="pay",NOT(Table13[[#This Row],[Debits]]=0)),"bad","good")</f>
        <v>good</v>
      </c>
      <c r="O999" s="5"/>
    </row>
    <row r="1000" spans="6:15" x14ac:dyDescent="0.3">
      <c r="F1000">
        <f>MONTH(Table13[[#This Row],[Date  (DMY)]])</f>
        <v>1</v>
      </c>
      <c r="G1000" s="2"/>
      <c r="L1000" s="5"/>
      <c r="M1000" s="4">
        <f>M999-Table13[[#This Row],[Debits]]+Table13[[#This Row],[Income]]</f>
        <v>2805.21</v>
      </c>
      <c r="N1000" t="str">
        <f>IF(AND(Table13[[#This Row],[Category]]="pay",NOT(Table13[[#This Row],[Debits]]=0)),"bad","good")</f>
        <v>good</v>
      </c>
      <c r="O1000" s="5"/>
    </row>
    <row r="1001" spans="6:15" x14ac:dyDescent="0.3">
      <c r="F1001">
        <f>MONTH(Table13[[#This Row],[Date  (DMY)]])</f>
        <v>1</v>
      </c>
      <c r="G1001" s="2"/>
      <c r="L1001" s="5"/>
      <c r="M1001" s="4">
        <f>M1000-Table13[[#This Row],[Debits]]+Table13[[#This Row],[Income]]</f>
        <v>2805.21</v>
      </c>
      <c r="N1001" t="str">
        <f>IF(AND(Table13[[#This Row],[Category]]="pay",NOT(Table13[[#This Row],[Debits]]=0)),"bad","good")</f>
        <v>good</v>
      </c>
      <c r="O1001" s="5"/>
    </row>
    <row r="1002" spans="6:15" x14ac:dyDescent="0.3">
      <c r="F1002">
        <f>MONTH(Table13[[#This Row],[Date  (DMY)]])</f>
        <v>1</v>
      </c>
      <c r="G1002" s="2"/>
      <c r="L1002" s="5"/>
      <c r="M1002" s="4">
        <f>M1001-Table13[[#This Row],[Debits]]+Table13[[#This Row],[Income]]</f>
        <v>2805.21</v>
      </c>
      <c r="N1002" t="str">
        <f>IF(AND(Table13[[#This Row],[Category]]="pay",NOT(Table13[[#This Row],[Debits]]=0)),"bad","good")</f>
        <v>good</v>
      </c>
      <c r="O1002" s="5"/>
    </row>
    <row r="1003" spans="6:15" x14ac:dyDescent="0.3">
      <c r="F1003">
        <f>MONTH(Table13[[#This Row],[Date  (DMY)]])</f>
        <v>1</v>
      </c>
      <c r="G1003" s="2"/>
      <c r="L1003" s="5"/>
      <c r="M1003" s="4">
        <f>M1002-Table13[[#This Row],[Debits]]+Table13[[#This Row],[Income]]</f>
        <v>2805.21</v>
      </c>
      <c r="N1003" t="str">
        <f>IF(AND(Table13[[#This Row],[Category]]="pay",NOT(Table13[[#This Row],[Debits]]=0)),"bad","good")</f>
        <v>good</v>
      </c>
      <c r="O1003" s="5"/>
    </row>
    <row r="1004" spans="6:15" x14ac:dyDescent="0.3">
      <c r="F1004">
        <f>MONTH(Table13[[#This Row],[Date  (DMY)]])</f>
        <v>1</v>
      </c>
      <c r="G1004" s="2"/>
      <c r="L1004" s="5"/>
      <c r="M1004" s="4">
        <f>M1003-Table13[[#This Row],[Debits]]+Table13[[#This Row],[Income]]</f>
        <v>2805.21</v>
      </c>
      <c r="N1004" t="str">
        <f>IF(AND(Table13[[#This Row],[Category]]="pay",NOT(Table13[[#This Row],[Debits]]=0)),"bad","good")</f>
        <v>good</v>
      </c>
      <c r="O1004" s="5"/>
    </row>
    <row r="1005" spans="6:15" x14ac:dyDescent="0.3">
      <c r="F1005">
        <f>MONTH(Table13[[#This Row],[Date  (DMY)]])</f>
        <v>1</v>
      </c>
      <c r="G1005" s="2"/>
      <c r="L1005" s="5"/>
      <c r="M1005" s="4">
        <f>M1004-Table13[[#This Row],[Debits]]+Table13[[#This Row],[Income]]</f>
        <v>2805.21</v>
      </c>
      <c r="N1005" t="str">
        <f>IF(AND(Table13[[#This Row],[Category]]="pay",NOT(Table13[[#This Row],[Debits]]=0)),"bad","good")</f>
        <v>good</v>
      </c>
      <c r="O1005" s="5"/>
    </row>
    <row r="1006" spans="6:15" x14ac:dyDescent="0.3">
      <c r="F1006">
        <f>MONTH(Table13[[#This Row],[Date  (DMY)]])</f>
        <v>1</v>
      </c>
      <c r="G1006" s="2"/>
      <c r="L1006" s="5"/>
      <c r="M1006" s="4">
        <f>M1005-Table13[[#This Row],[Debits]]+Table13[[#This Row],[Income]]</f>
        <v>2805.21</v>
      </c>
      <c r="N1006" t="str">
        <f>IF(AND(Table13[[#This Row],[Category]]="pay",NOT(Table13[[#This Row],[Debits]]=0)),"bad","good")</f>
        <v>good</v>
      </c>
      <c r="O1006" s="5"/>
    </row>
    <row r="1007" spans="6:15" x14ac:dyDescent="0.3">
      <c r="F1007">
        <f>MONTH(Table13[[#This Row],[Date  (DMY)]])</f>
        <v>1</v>
      </c>
      <c r="G1007" s="2"/>
      <c r="L1007" s="5"/>
      <c r="M1007" s="4">
        <f>M1006-Table13[[#This Row],[Debits]]+Table13[[#This Row],[Income]]</f>
        <v>2805.21</v>
      </c>
      <c r="N1007" t="str">
        <f>IF(AND(Table13[[#This Row],[Category]]="pay",NOT(Table13[[#This Row],[Debits]]=0)),"bad","good")</f>
        <v>good</v>
      </c>
      <c r="O1007" s="5"/>
    </row>
    <row r="1008" spans="6:15" x14ac:dyDescent="0.3">
      <c r="F1008">
        <f>MONTH(Table13[[#This Row],[Date  (DMY)]])</f>
        <v>1</v>
      </c>
      <c r="G1008" s="2"/>
      <c r="L1008" s="5"/>
      <c r="M1008" s="4">
        <f>M1007-Table13[[#This Row],[Debits]]+Table13[[#This Row],[Income]]</f>
        <v>2805.21</v>
      </c>
      <c r="N1008" t="str">
        <f>IF(AND(Table13[[#This Row],[Category]]="pay",NOT(Table13[[#This Row],[Debits]]=0)),"bad","good")</f>
        <v>good</v>
      </c>
      <c r="O1008" s="5"/>
    </row>
    <row r="1009" spans="6:15" x14ac:dyDescent="0.3">
      <c r="F1009">
        <f>MONTH(Table13[[#This Row],[Date  (DMY)]])</f>
        <v>1</v>
      </c>
      <c r="G1009" s="2"/>
      <c r="L1009" s="5"/>
      <c r="M1009" s="4">
        <f>M1008-Table13[[#This Row],[Debits]]+Table13[[#This Row],[Income]]</f>
        <v>2805.21</v>
      </c>
      <c r="N1009" t="str">
        <f>IF(AND(Table13[[#This Row],[Category]]="pay",NOT(Table13[[#This Row],[Debits]]=0)),"bad","good")</f>
        <v>good</v>
      </c>
      <c r="O1009" s="5"/>
    </row>
    <row r="1010" spans="6:15" x14ac:dyDescent="0.3">
      <c r="F1010">
        <f>MONTH(Table13[[#This Row],[Date  (DMY)]])</f>
        <v>1</v>
      </c>
      <c r="G1010" s="2"/>
      <c r="L1010" s="5"/>
      <c r="M1010" s="4">
        <f>M1009-Table13[[#This Row],[Debits]]+Table13[[#This Row],[Income]]</f>
        <v>2805.21</v>
      </c>
      <c r="N1010" t="str">
        <f>IF(AND(Table13[[#This Row],[Category]]="pay",NOT(Table13[[#This Row],[Debits]]=0)),"bad","good")</f>
        <v>good</v>
      </c>
      <c r="O1010" s="5"/>
    </row>
    <row r="1011" spans="6:15" x14ac:dyDescent="0.3">
      <c r="F1011">
        <f>MONTH(Table13[[#This Row],[Date  (DMY)]])</f>
        <v>1</v>
      </c>
      <c r="G1011" s="2"/>
      <c r="L1011" s="5"/>
      <c r="M1011" s="4">
        <f>M1010-Table13[[#This Row],[Debits]]+Table13[[#This Row],[Income]]</f>
        <v>2805.21</v>
      </c>
      <c r="N1011" t="str">
        <f>IF(AND(Table13[[#This Row],[Category]]="pay",NOT(Table13[[#This Row],[Debits]]=0)),"bad","good")</f>
        <v>good</v>
      </c>
      <c r="O1011" s="5"/>
    </row>
    <row r="1012" spans="6:15" x14ac:dyDescent="0.3">
      <c r="F1012">
        <f>MONTH(Table13[[#This Row],[Date  (DMY)]])</f>
        <v>1</v>
      </c>
      <c r="G1012" s="2"/>
      <c r="L1012" s="5"/>
      <c r="M1012" s="4">
        <f>M1011-Table13[[#This Row],[Debits]]+Table13[[#This Row],[Income]]</f>
        <v>2805.21</v>
      </c>
      <c r="N1012" t="str">
        <f>IF(AND(Table13[[#This Row],[Category]]="pay",NOT(Table13[[#This Row],[Debits]]=0)),"bad","good")</f>
        <v>good</v>
      </c>
      <c r="O1012" s="5"/>
    </row>
    <row r="1013" spans="6:15" x14ac:dyDescent="0.3">
      <c r="F1013">
        <f>MONTH(Table13[[#This Row],[Date  (DMY)]])</f>
        <v>1</v>
      </c>
      <c r="G1013" s="2"/>
      <c r="L1013" s="5"/>
      <c r="M1013" s="4">
        <f>M1012-Table13[[#This Row],[Debits]]+Table13[[#This Row],[Income]]</f>
        <v>2805.21</v>
      </c>
      <c r="N1013" t="str">
        <f>IF(AND(Table13[[#This Row],[Category]]="pay",NOT(Table13[[#This Row],[Debits]]=0)),"bad","good")</f>
        <v>good</v>
      </c>
      <c r="O1013" s="5"/>
    </row>
    <row r="1014" spans="6:15" x14ac:dyDescent="0.3">
      <c r="F1014">
        <f>MONTH(Table13[[#This Row],[Date  (DMY)]])</f>
        <v>1</v>
      </c>
      <c r="G1014" s="2"/>
      <c r="L1014" s="5"/>
      <c r="M1014" s="4">
        <f>M1013-Table13[[#This Row],[Debits]]+Table13[[#This Row],[Income]]</f>
        <v>2805.21</v>
      </c>
      <c r="N1014" t="str">
        <f>IF(AND(Table13[[#This Row],[Category]]="pay",NOT(Table13[[#This Row],[Debits]]=0)),"bad","good")</f>
        <v>good</v>
      </c>
      <c r="O1014" s="5"/>
    </row>
    <row r="1015" spans="6:15" x14ac:dyDescent="0.3">
      <c r="F1015">
        <f>MONTH(Table13[[#This Row],[Date  (DMY)]])</f>
        <v>1</v>
      </c>
      <c r="G1015" s="2"/>
      <c r="L1015" s="5"/>
      <c r="M1015" s="4">
        <f>M1014-Table13[[#This Row],[Debits]]+Table13[[#This Row],[Income]]</f>
        <v>2805.21</v>
      </c>
      <c r="N1015" t="str">
        <f>IF(AND(Table13[[#This Row],[Category]]="pay",NOT(Table13[[#This Row],[Debits]]=0)),"bad","good")</f>
        <v>good</v>
      </c>
      <c r="O1015" s="5"/>
    </row>
    <row r="1016" spans="6:15" x14ac:dyDescent="0.3">
      <c r="F1016">
        <f>MONTH(Table13[[#This Row],[Date  (DMY)]])</f>
        <v>1</v>
      </c>
      <c r="G1016" s="2"/>
      <c r="L1016" s="5"/>
      <c r="M1016" s="4">
        <f>M1015-Table13[[#This Row],[Debits]]+Table13[[#This Row],[Income]]</f>
        <v>2805.21</v>
      </c>
      <c r="N1016" t="str">
        <f>IF(AND(Table13[[#This Row],[Category]]="pay",NOT(Table13[[#This Row],[Debits]]=0)),"bad","good")</f>
        <v>good</v>
      </c>
      <c r="O1016" s="5"/>
    </row>
    <row r="1017" spans="6:15" x14ac:dyDescent="0.3">
      <c r="F1017">
        <f>MONTH(Table13[[#This Row],[Date  (DMY)]])</f>
        <v>1</v>
      </c>
      <c r="G1017" s="2"/>
      <c r="L1017" s="5"/>
      <c r="M1017" s="4">
        <f>M1016-Table13[[#This Row],[Debits]]+Table13[[#This Row],[Income]]</f>
        <v>2805.21</v>
      </c>
      <c r="N1017" t="str">
        <f>IF(AND(Table13[[#This Row],[Category]]="pay",NOT(Table13[[#This Row],[Debits]]=0)),"bad","good")</f>
        <v>good</v>
      </c>
      <c r="O1017" s="5"/>
    </row>
    <row r="1018" spans="6:15" x14ac:dyDescent="0.3">
      <c r="F1018">
        <f>MONTH(Table13[[#This Row],[Date  (DMY)]])</f>
        <v>1</v>
      </c>
      <c r="G1018" s="2"/>
      <c r="L1018" s="5"/>
      <c r="M1018" s="4">
        <f>M1017-Table13[[#This Row],[Debits]]+Table13[[#This Row],[Income]]</f>
        <v>2805.21</v>
      </c>
      <c r="N1018" t="str">
        <f>IF(AND(Table13[[#This Row],[Category]]="pay",NOT(Table13[[#This Row],[Debits]]=0)),"bad","good")</f>
        <v>good</v>
      </c>
      <c r="O1018" s="5"/>
    </row>
    <row r="1019" spans="6:15" x14ac:dyDescent="0.3">
      <c r="F1019">
        <f>MONTH(Table13[[#This Row],[Date  (DMY)]])</f>
        <v>1</v>
      </c>
      <c r="G1019" s="2"/>
      <c r="L1019" s="5"/>
      <c r="M1019" s="4">
        <f>M1018-Table13[[#This Row],[Debits]]+Table13[[#This Row],[Income]]</f>
        <v>2805.21</v>
      </c>
      <c r="N1019" t="str">
        <f>IF(AND(Table13[[#This Row],[Category]]="pay",NOT(Table13[[#This Row],[Debits]]=0)),"bad","good")</f>
        <v>good</v>
      </c>
      <c r="O1019" s="5"/>
    </row>
    <row r="1020" spans="6:15" x14ac:dyDescent="0.3">
      <c r="F1020">
        <f>MONTH(Table13[[#This Row],[Date  (DMY)]])</f>
        <v>1</v>
      </c>
      <c r="G1020" s="2"/>
      <c r="L1020" s="5"/>
      <c r="M1020" s="4">
        <f>M1019-Table13[[#This Row],[Debits]]+Table13[[#This Row],[Income]]</f>
        <v>2805.21</v>
      </c>
      <c r="N1020" t="str">
        <f>IF(AND(Table13[[#This Row],[Category]]="pay",NOT(Table13[[#This Row],[Debits]]=0)),"bad","good")</f>
        <v>good</v>
      </c>
      <c r="O1020" s="5"/>
    </row>
    <row r="1021" spans="6:15" x14ac:dyDescent="0.3">
      <c r="F1021">
        <f>MONTH(Table13[[#This Row],[Date  (DMY)]])</f>
        <v>1</v>
      </c>
      <c r="G1021" s="2"/>
      <c r="L1021" s="5"/>
      <c r="M1021" s="4">
        <f>M1020-Table13[[#This Row],[Debits]]+Table13[[#This Row],[Income]]</f>
        <v>2805.21</v>
      </c>
      <c r="N1021" t="str">
        <f>IF(AND(Table13[[#This Row],[Category]]="pay",NOT(Table13[[#This Row],[Debits]]=0)),"bad","good")</f>
        <v>good</v>
      </c>
      <c r="O1021" s="5"/>
    </row>
    <row r="1022" spans="6:15" x14ac:dyDescent="0.3">
      <c r="F1022">
        <f>MONTH(Table13[[#This Row],[Date  (DMY)]])</f>
        <v>1</v>
      </c>
      <c r="G1022" s="2"/>
      <c r="L1022" s="5"/>
      <c r="M1022" s="4">
        <f>M1021-Table13[[#This Row],[Debits]]+Table13[[#This Row],[Income]]</f>
        <v>2805.21</v>
      </c>
      <c r="N1022" t="str">
        <f>IF(AND(Table13[[#This Row],[Category]]="pay",NOT(Table13[[#This Row],[Debits]]=0)),"bad","good")</f>
        <v>good</v>
      </c>
      <c r="O1022" s="5"/>
    </row>
    <row r="1023" spans="6:15" x14ac:dyDescent="0.3">
      <c r="F1023">
        <f>MONTH(Table13[[#This Row],[Date  (DMY)]])</f>
        <v>1</v>
      </c>
      <c r="G1023" s="2"/>
      <c r="L1023" s="5"/>
      <c r="M1023" s="4">
        <f>M1022-Table13[[#This Row],[Debits]]+Table13[[#This Row],[Income]]</f>
        <v>2805.21</v>
      </c>
      <c r="N1023" t="str">
        <f>IF(AND(Table13[[#This Row],[Category]]="pay",NOT(Table13[[#This Row],[Debits]]=0)),"bad","good")</f>
        <v>good</v>
      </c>
      <c r="O1023" s="5"/>
    </row>
    <row r="1024" spans="6:15" x14ac:dyDescent="0.3">
      <c r="F1024">
        <f>MONTH(Table13[[#This Row],[Date  (DMY)]])</f>
        <v>1</v>
      </c>
      <c r="G1024" s="2"/>
      <c r="L1024" s="5"/>
      <c r="M1024" s="4">
        <f>M1023-Table13[[#This Row],[Debits]]+Table13[[#This Row],[Income]]</f>
        <v>2805.21</v>
      </c>
      <c r="N1024" t="str">
        <f>IF(AND(Table13[[#This Row],[Category]]="pay",NOT(Table13[[#This Row],[Debits]]=0)),"bad","good")</f>
        <v>good</v>
      </c>
      <c r="O1024" s="5"/>
    </row>
    <row r="1025" spans="6:15" x14ac:dyDescent="0.3">
      <c r="F1025">
        <f>MONTH(Table13[[#This Row],[Date  (DMY)]])</f>
        <v>1</v>
      </c>
      <c r="G1025" s="2"/>
      <c r="L1025" s="5"/>
      <c r="M1025" s="4">
        <f>M1024-Table13[[#This Row],[Debits]]+Table13[[#This Row],[Income]]</f>
        <v>2805.21</v>
      </c>
      <c r="N1025" t="str">
        <f>IF(AND(Table13[[#This Row],[Category]]="pay",NOT(Table13[[#This Row],[Debits]]=0)),"bad","good")</f>
        <v>good</v>
      </c>
      <c r="O1025" s="5"/>
    </row>
    <row r="1026" spans="6:15" x14ac:dyDescent="0.3">
      <c r="F1026">
        <f>MONTH(Table13[[#This Row],[Date  (DMY)]])</f>
        <v>1</v>
      </c>
      <c r="G1026" s="2"/>
      <c r="L1026" s="5"/>
      <c r="M1026" s="4">
        <f>M1025-Table13[[#This Row],[Debits]]+Table13[[#This Row],[Income]]</f>
        <v>2805.21</v>
      </c>
      <c r="N1026" t="str">
        <f>IF(AND(Table13[[#This Row],[Category]]="pay",NOT(Table13[[#This Row],[Debits]]=0)),"bad","good")</f>
        <v>good</v>
      </c>
      <c r="O1026" s="5"/>
    </row>
    <row r="1027" spans="6:15" x14ac:dyDescent="0.3">
      <c r="F1027">
        <f>MONTH(Table13[[#This Row],[Date  (DMY)]])</f>
        <v>1</v>
      </c>
      <c r="G1027" s="2"/>
      <c r="L1027" s="5"/>
      <c r="M1027" s="4">
        <f>M1026-Table13[[#This Row],[Debits]]+Table13[[#This Row],[Income]]</f>
        <v>2805.21</v>
      </c>
      <c r="N1027" t="str">
        <f>IF(AND(Table13[[#This Row],[Category]]="pay",NOT(Table13[[#This Row],[Debits]]=0)),"bad","good")</f>
        <v>good</v>
      </c>
      <c r="O1027" s="5"/>
    </row>
    <row r="1028" spans="6:15" x14ac:dyDescent="0.3">
      <c r="F1028">
        <f>MONTH(Table13[[#This Row],[Date  (DMY)]])</f>
        <v>1</v>
      </c>
      <c r="G1028" s="2"/>
      <c r="L1028" s="5"/>
      <c r="M1028" s="4">
        <f>M1027-Table13[[#This Row],[Debits]]+Table13[[#This Row],[Income]]</f>
        <v>2805.21</v>
      </c>
      <c r="N1028" t="str">
        <f>IF(AND(Table13[[#This Row],[Category]]="pay",NOT(Table13[[#This Row],[Debits]]=0)),"bad","good")</f>
        <v>good</v>
      </c>
      <c r="O1028" s="5"/>
    </row>
    <row r="1029" spans="6:15" x14ac:dyDescent="0.3">
      <c r="F1029">
        <f>MONTH(Table13[[#This Row],[Date  (DMY)]])</f>
        <v>1</v>
      </c>
      <c r="G1029" s="2"/>
      <c r="L1029" s="5"/>
      <c r="M1029" s="4">
        <f>M1028-Table13[[#This Row],[Debits]]+Table13[[#This Row],[Income]]</f>
        <v>2805.21</v>
      </c>
      <c r="N1029" t="str">
        <f>IF(AND(Table13[[#This Row],[Category]]="pay",NOT(Table13[[#This Row],[Debits]]=0)),"bad","good")</f>
        <v>good</v>
      </c>
      <c r="O1029" s="5"/>
    </row>
    <row r="1030" spans="6:15" x14ac:dyDescent="0.3">
      <c r="F1030">
        <f>MONTH(Table13[[#This Row],[Date  (DMY)]])</f>
        <v>1</v>
      </c>
      <c r="G1030" s="2"/>
      <c r="L1030" s="5"/>
      <c r="M1030" s="4">
        <f>M1029-Table13[[#This Row],[Debits]]+Table13[[#This Row],[Income]]</f>
        <v>2805.21</v>
      </c>
      <c r="N1030" t="str">
        <f>IF(AND(Table13[[#This Row],[Category]]="pay",NOT(Table13[[#This Row],[Debits]]=0)),"bad","good")</f>
        <v>good</v>
      </c>
      <c r="O1030" s="5"/>
    </row>
    <row r="1031" spans="6:15" x14ac:dyDescent="0.3">
      <c r="F1031">
        <f>MONTH(Table13[[#This Row],[Date  (DMY)]])</f>
        <v>1</v>
      </c>
      <c r="G1031" s="2"/>
      <c r="L1031" s="5"/>
      <c r="M1031" s="4">
        <f>M1030-Table13[[#This Row],[Debits]]+Table13[[#This Row],[Income]]</f>
        <v>2805.21</v>
      </c>
      <c r="N1031" t="str">
        <f>IF(AND(Table13[[#This Row],[Category]]="pay",NOT(Table13[[#This Row],[Debits]]=0)),"bad","good")</f>
        <v>good</v>
      </c>
      <c r="O1031" s="5"/>
    </row>
    <row r="1032" spans="6:15" x14ac:dyDescent="0.3">
      <c r="F1032">
        <f>MONTH(Table13[[#This Row],[Date  (DMY)]])</f>
        <v>1</v>
      </c>
      <c r="G1032" s="2"/>
      <c r="L1032" s="5"/>
      <c r="M1032" s="4">
        <f>M1031-Table13[[#This Row],[Debits]]+Table13[[#This Row],[Income]]</f>
        <v>2805.21</v>
      </c>
      <c r="N1032" t="str">
        <f>IF(AND(Table13[[#This Row],[Category]]="pay",NOT(Table13[[#This Row],[Debits]]=0)),"bad","good")</f>
        <v>good</v>
      </c>
      <c r="O1032" s="5"/>
    </row>
    <row r="1033" spans="6:15" x14ac:dyDescent="0.3">
      <c r="F1033">
        <f>MONTH(Table13[[#This Row],[Date  (DMY)]])</f>
        <v>1</v>
      </c>
      <c r="G1033" s="2"/>
      <c r="L1033" s="5"/>
      <c r="M1033" s="4">
        <f>M1032-Table13[[#This Row],[Debits]]+Table13[[#This Row],[Income]]</f>
        <v>2805.21</v>
      </c>
      <c r="N1033" t="str">
        <f>IF(AND(Table13[[#This Row],[Category]]="pay",NOT(Table13[[#This Row],[Debits]]=0)),"bad","good")</f>
        <v>good</v>
      </c>
      <c r="O1033" s="5"/>
    </row>
    <row r="1034" spans="6:15" x14ac:dyDescent="0.3">
      <c r="F1034">
        <f>MONTH(Table13[[#This Row],[Date  (DMY)]])</f>
        <v>1</v>
      </c>
      <c r="G1034" s="2"/>
      <c r="L1034" s="5"/>
      <c r="M1034" s="4">
        <f>M1033-Table13[[#This Row],[Debits]]+Table13[[#This Row],[Income]]</f>
        <v>2805.21</v>
      </c>
      <c r="N1034" t="str">
        <f>IF(AND(Table13[[#This Row],[Category]]="pay",NOT(Table13[[#This Row],[Debits]]=0)),"bad","good")</f>
        <v>good</v>
      </c>
      <c r="O1034" s="5"/>
    </row>
    <row r="1035" spans="6:15" x14ac:dyDescent="0.3">
      <c r="F1035">
        <f>MONTH(Table13[[#This Row],[Date  (DMY)]])</f>
        <v>1</v>
      </c>
      <c r="G1035" s="2"/>
      <c r="L1035" s="5"/>
      <c r="M1035" s="4">
        <f>M1034-Table13[[#This Row],[Debits]]+Table13[[#This Row],[Income]]</f>
        <v>2805.21</v>
      </c>
      <c r="N1035" t="str">
        <f>IF(AND(Table13[[#This Row],[Category]]="pay",NOT(Table13[[#This Row],[Debits]]=0)),"bad","good")</f>
        <v>good</v>
      </c>
      <c r="O1035" s="5"/>
    </row>
    <row r="1036" spans="6:15" x14ac:dyDescent="0.3">
      <c r="F1036">
        <f>MONTH(Table13[[#This Row],[Date  (DMY)]])</f>
        <v>1</v>
      </c>
      <c r="G1036" s="2"/>
      <c r="L1036" s="5"/>
      <c r="M1036" s="4">
        <f>M1035-Table13[[#This Row],[Debits]]+Table13[[#This Row],[Income]]</f>
        <v>2805.21</v>
      </c>
      <c r="N1036" t="str">
        <f>IF(AND(Table13[[#This Row],[Category]]="pay",NOT(Table13[[#This Row],[Debits]]=0)),"bad","good")</f>
        <v>good</v>
      </c>
      <c r="O1036" s="5"/>
    </row>
    <row r="1037" spans="6:15" x14ac:dyDescent="0.3">
      <c r="F1037">
        <f>MONTH(Table13[[#This Row],[Date  (DMY)]])</f>
        <v>1</v>
      </c>
      <c r="G1037" s="2"/>
      <c r="L1037" s="5"/>
      <c r="M1037" s="4">
        <f>M1036-Table13[[#This Row],[Debits]]+Table13[[#This Row],[Income]]</f>
        <v>2805.21</v>
      </c>
      <c r="N1037" t="str">
        <f>IF(AND(Table13[[#This Row],[Category]]="pay",NOT(Table13[[#This Row],[Debits]]=0)),"bad","good")</f>
        <v>good</v>
      </c>
      <c r="O1037" s="5"/>
    </row>
    <row r="1038" spans="6:15" x14ac:dyDescent="0.3">
      <c r="F1038">
        <f>MONTH(Table13[[#This Row],[Date  (DMY)]])</f>
        <v>1</v>
      </c>
      <c r="G1038" s="2"/>
      <c r="L1038" s="5"/>
      <c r="M1038" s="4">
        <f>M1037-Table13[[#This Row],[Debits]]+Table13[[#This Row],[Income]]</f>
        <v>2805.21</v>
      </c>
      <c r="N1038" t="str">
        <f>IF(AND(Table13[[#This Row],[Category]]="pay",NOT(Table13[[#This Row],[Debits]]=0)),"bad","good")</f>
        <v>good</v>
      </c>
      <c r="O1038" s="5"/>
    </row>
    <row r="1039" spans="6:15" x14ac:dyDescent="0.3">
      <c r="F1039">
        <f>MONTH(Table13[[#This Row],[Date  (DMY)]])</f>
        <v>1</v>
      </c>
      <c r="G1039" s="2"/>
      <c r="L1039" s="5"/>
      <c r="M1039" s="4">
        <f>M1038-Table13[[#This Row],[Debits]]+Table13[[#This Row],[Income]]</f>
        <v>2805.21</v>
      </c>
      <c r="N1039" t="str">
        <f>IF(AND(Table13[[#This Row],[Category]]="pay",NOT(Table13[[#This Row],[Debits]]=0)),"bad","good")</f>
        <v>good</v>
      </c>
      <c r="O1039" s="5"/>
    </row>
    <row r="1040" spans="6:15" x14ac:dyDescent="0.3">
      <c r="F1040">
        <f>MONTH(Table13[[#This Row],[Date  (DMY)]])</f>
        <v>1</v>
      </c>
      <c r="G1040" s="2"/>
      <c r="L1040" s="5"/>
      <c r="M1040" s="4">
        <f>M1039-Table13[[#This Row],[Debits]]+Table13[[#This Row],[Income]]</f>
        <v>2805.21</v>
      </c>
      <c r="N1040" t="str">
        <f>IF(AND(Table13[[#This Row],[Category]]="pay",NOT(Table13[[#This Row],[Debits]]=0)),"bad","good")</f>
        <v>good</v>
      </c>
      <c r="O1040" s="5"/>
    </row>
    <row r="1041" spans="6:15" x14ac:dyDescent="0.3">
      <c r="F1041">
        <f>MONTH(Table13[[#This Row],[Date  (DMY)]])</f>
        <v>1</v>
      </c>
      <c r="G1041" s="2"/>
      <c r="L1041" s="5"/>
      <c r="M1041" s="4">
        <f>M1040-Table13[[#This Row],[Debits]]+Table13[[#This Row],[Income]]</f>
        <v>2805.21</v>
      </c>
      <c r="N1041" t="str">
        <f>IF(AND(Table13[[#This Row],[Category]]="pay",NOT(Table13[[#This Row],[Debits]]=0)),"bad","good")</f>
        <v>good</v>
      </c>
      <c r="O1041" s="5"/>
    </row>
    <row r="1042" spans="6:15" x14ac:dyDescent="0.3">
      <c r="F1042">
        <f>MONTH(Table13[[#This Row],[Date  (DMY)]])</f>
        <v>1</v>
      </c>
      <c r="G1042" s="2"/>
      <c r="L1042" s="5"/>
      <c r="M1042" s="4">
        <f>M1041-Table13[[#This Row],[Debits]]+Table13[[#This Row],[Income]]</f>
        <v>2805.21</v>
      </c>
      <c r="N1042" t="str">
        <f>IF(AND(Table13[[#This Row],[Category]]="pay",NOT(Table13[[#This Row],[Debits]]=0)),"bad","good")</f>
        <v>good</v>
      </c>
      <c r="O1042" s="5"/>
    </row>
    <row r="1043" spans="6:15" x14ac:dyDescent="0.3">
      <c r="F1043">
        <f>MONTH(Table13[[#This Row],[Date  (DMY)]])</f>
        <v>1</v>
      </c>
      <c r="G1043" s="2"/>
      <c r="L1043" s="5"/>
      <c r="M1043" s="4">
        <f>M1042-Table13[[#This Row],[Debits]]+Table13[[#This Row],[Income]]</f>
        <v>2805.21</v>
      </c>
      <c r="N1043" t="str">
        <f>IF(AND(Table13[[#This Row],[Category]]="pay",NOT(Table13[[#This Row],[Debits]]=0)),"bad","good")</f>
        <v>good</v>
      </c>
      <c r="O1043" s="5"/>
    </row>
    <row r="1044" spans="6:15" x14ac:dyDescent="0.3">
      <c r="F1044">
        <f>MONTH(Table13[[#This Row],[Date  (DMY)]])</f>
        <v>1</v>
      </c>
      <c r="G1044" s="2"/>
      <c r="L1044" s="5"/>
      <c r="M1044" s="4">
        <f>M1043-Table13[[#This Row],[Debits]]+Table13[[#This Row],[Income]]</f>
        <v>2805.21</v>
      </c>
      <c r="N1044" t="str">
        <f>IF(AND(Table13[[#This Row],[Category]]="pay",NOT(Table13[[#This Row],[Debits]]=0)),"bad","good")</f>
        <v>good</v>
      </c>
      <c r="O1044" s="5"/>
    </row>
    <row r="1045" spans="6:15" x14ac:dyDescent="0.3">
      <c r="F1045">
        <f>MONTH(Table13[[#This Row],[Date  (DMY)]])</f>
        <v>1</v>
      </c>
      <c r="G1045" s="2"/>
      <c r="L1045" s="5"/>
      <c r="M1045" s="4">
        <f>M1044-Table13[[#This Row],[Debits]]+Table13[[#This Row],[Income]]</f>
        <v>2805.21</v>
      </c>
      <c r="N1045" t="str">
        <f>IF(AND(Table13[[#This Row],[Category]]="pay",NOT(Table13[[#This Row],[Debits]]=0)),"bad","good")</f>
        <v>good</v>
      </c>
      <c r="O1045" s="5"/>
    </row>
    <row r="1046" spans="6:15" x14ac:dyDescent="0.3">
      <c r="F1046">
        <f>MONTH(Table13[[#This Row],[Date  (DMY)]])</f>
        <v>1</v>
      </c>
      <c r="G1046" s="2"/>
      <c r="L1046" s="5"/>
      <c r="M1046" s="4">
        <f>M1045-Table13[[#This Row],[Debits]]+Table13[[#This Row],[Income]]</f>
        <v>2805.21</v>
      </c>
      <c r="N1046" t="str">
        <f>IF(AND(Table13[[#This Row],[Category]]="pay",NOT(Table13[[#This Row],[Debits]]=0)),"bad","good")</f>
        <v>good</v>
      </c>
      <c r="O1046" s="5"/>
    </row>
    <row r="1047" spans="6:15" x14ac:dyDescent="0.3">
      <c r="F1047">
        <f>MONTH(Table13[[#This Row],[Date  (DMY)]])</f>
        <v>1</v>
      </c>
      <c r="G1047" s="2"/>
      <c r="L1047" s="5"/>
      <c r="M1047" s="4">
        <f>M1046-Table13[[#This Row],[Debits]]+Table13[[#This Row],[Income]]</f>
        <v>2805.21</v>
      </c>
      <c r="N1047" t="str">
        <f>IF(AND(Table13[[#This Row],[Category]]="pay",NOT(Table13[[#This Row],[Debits]]=0)),"bad","good")</f>
        <v>good</v>
      </c>
      <c r="O1047" s="5"/>
    </row>
    <row r="1048" spans="6:15" x14ac:dyDescent="0.3">
      <c r="F1048">
        <f>MONTH(Table13[[#This Row],[Date  (DMY)]])</f>
        <v>1</v>
      </c>
      <c r="G1048" s="2"/>
      <c r="L1048" s="5"/>
      <c r="M1048" s="4">
        <f>M1047-Table13[[#This Row],[Debits]]+Table13[[#This Row],[Income]]</f>
        <v>2805.21</v>
      </c>
      <c r="N1048" t="str">
        <f>IF(AND(Table13[[#This Row],[Category]]="pay",NOT(Table13[[#This Row],[Debits]]=0)),"bad","good")</f>
        <v>good</v>
      </c>
      <c r="O1048" s="5"/>
    </row>
    <row r="1049" spans="6:15" x14ac:dyDescent="0.3">
      <c r="F1049">
        <f>MONTH(Table13[[#This Row],[Date  (DMY)]])</f>
        <v>1</v>
      </c>
      <c r="G1049" s="2"/>
      <c r="L1049" s="5"/>
      <c r="M1049" s="4">
        <f>M1048-Table13[[#This Row],[Debits]]+Table13[[#This Row],[Income]]</f>
        <v>2805.21</v>
      </c>
      <c r="N1049" t="str">
        <f>IF(AND(Table13[[#This Row],[Category]]="pay",NOT(Table13[[#This Row],[Debits]]=0)),"bad","good")</f>
        <v>good</v>
      </c>
      <c r="O1049" s="5"/>
    </row>
    <row r="1050" spans="6:15" x14ac:dyDescent="0.3">
      <c r="F1050">
        <f>MONTH(Table13[[#This Row],[Date  (DMY)]])</f>
        <v>1</v>
      </c>
      <c r="G1050" s="2"/>
      <c r="L1050" s="5"/>
      <c r="M1050" s="4">
        <f>M1049-Table13[[#This Row],[Debits]]+Table13[[#This Row],[Income]]</f>
        <v>2805.21</v>
      </c>
      <c r="N1050" t="str">
        <f>IF(AND(Table13[[#This Row],[Category]]="pay",NOT(Table13[[#This Row],[Debits]]=0)),"bad","good")</f>
        <v>good</v>
      </c>
      <c r="O1050" s="5"/>
    </row>
    <row r="1051" spans="6:15" x14ac:dyDescent="0.3">
      <c r="F1051">
        <f>MONTH(Table13[[#This Row],[Date  (DMY)]])</f>
        <v>1</v>
      </c>
      <c r="G1051" s="2"/>
      <c r="L1051" s="5"/>
      <c r="M1051" s="4">
        <f>M1050-Table13[[#This Row],[Debits]]+Table13[[#This Row],[Income]]</f>
        <v>2805.21</v>
      </c>
      <c r="N1051" t="str">
        <f>IF(AND(Table13[[#This Row],[Category]]="pay",NOT(Table13[[#This Row],[Debits]]=0)),"bad","good")</f>
        <v>good</v>
      </c>
      <c r="O1051" s="5"/>
    </row>
    <row r="1052" spans="6:15" x14ac:dyDescent="0.3">
      <c r="F1052">
        <f>MONTH(Table13[[#This Row],[Date  (DMY)]])</f>
        <v>1</v>
      </c>
      <c r="G1052" s="2"/>
      <c r="L1052" s="5"/>
      <c r="M1052" s="4">
        <f>M1051-Table13[[#This Row],[Debits]]+Table13[[#This Row],[Income]]</f>
        <v>2805.21</v>
      </c>
      <c r="N1052" t="str">
        <f>IF(AND(Table13[[#This Row],[Category]]="pay",NOT(Table13[[#This Row],[Debits]]=0)),"bad","good")</f>
        <v>good</v>
      </c>
      <c r="O1052" s="5"/>
    </row>
    <row r="1053" spans="6:15" x14ac:dyDescent="0.3">
      <c r="F1053">
        <f>MONTH(Table13[[#This Row],[Date  (DMY)]])</f>
        <v>1</v>
      </c>
      <c r="G1053" s="2"/>
      <c r="L1053" s="5"/>
      <c r="M1053" s="4">
        <f>M1052-Table13[[#This Row],[Debits]]+Table13[[#This Row],[Income]]</f>
        <v>2805.21</v>
      </c>
      <c r="N1053" t="str">
        <f>IF(AND(Table13[[#This Row],[Category]]="pay",NOT(Table13[[#This Row],[Debits]]=0)),"bad","good")</f>
        <v>good</v>
      </c>
      <c r="O1053" s="5"/>
    </row>
    <row r="1054" spans="6:15" x14ac:dyDescent="0.3">
      <c r="F1054">
        <f>MONTH(Table13[[#This Row],[Date  (DMY)]])</f>
        <v>1</v>
      </c>
      <c r="G1054" s="2"/>
      <c r="L1054" s="5"/>
      <c r="M1054" s="4">
        <f>M1053-Table13[[#This Row],[Debits]]+Table13[[#This Row],[Income]]</f>
        <v>2805.21</v>
      </c>
      <c r="N1054" t="str">
        <f>IF(AND(Table13[[#This Row],[Category]]="pay",NOT(Table13[[#This Row],[Debits]]=0)),"bad","good")</f>
        <v>good</v>
      </c>
      <c r="O1054" s="5"/>
    </row>
    <row r="1055" spans="6:15" x14ac:dyDescent="0.3">
      <c r="F1055">
        <f>MONTH(Table13[[#This Row],[Date  (DMY)]])</f>
        <v>1</v>
      </c>
      <c r="G1055" s="2"/>
      <c r="L1055" s="5"/>
      <c r="M1055" s="4">
        <f>M1054-Table13[[#This Row],[Debits]]+Table13[[#This Row],[Income]]</f>
        <v>2805.21</v>
      </c>
      <c r="N1055" t="str">
        <f>IF(AND(Table13[[#This Row],[Category]]="pay",NOT(Table13[[#This Row],[Debits]]=0)),"bad","good")</f>
        <v>good</v>
      </c>
      <c r="O1055" s="5"/>
    </row>
    <row r="1056" spans="6:15" x14ac:dyDescent="0.3">
      <c r="F1056">
        <f>MONTH(Table13[[#This Row],[Date  (DMY)]])</f>
        <v>1</v>
      </c>
      <c r="G1056" s="2"/>
      <c r="L1056" s="5"/>
      <c r="M1056" s="4">
        <f>M1055-Table13[[#This Row],[Debits]]+Table13[[#This Row],[Income]]</f>
        <v>2805.21</v>
      </c>
      <c r="N1056" t="str">
        <f>IF(AND(Table13[[#This Row],[Category]]="pay",NOT(Table13[[#This Row],[Debits]]=0)),"bad","good")</f>
        <v>good</v>
      </c>
      <c r="O1056" s="5"/>
    </row>
    <row r="1057" spans="6:15" x14ac:dyDescent="0.3">
      <c r="F1057">
        <f>MONTH(Table13[[#This Row],[Date  (DMY)]])</f>
        <v>1</v>
      </c>
      <c r="G1057" s="2"/>
      <c r="L1057" s="5"/>
      <c r="M1057" s="4">
        <f>M1056-Table13[[#This Row],[Debits]]+Table13[[#This Row],[Income]]</f>
        <v>2805.21</v>
      </c>
      <c r="N1057" t="str">
        <f>IF(AND(Table13[[#This Row],[Category]]="pay",NOT(Table13[[#This Row],[Debits]]=0)),"bad","good")</f>
        <v>good</v>
      </c>
      <c r="O1057" s="5"/>
    </row>
    <row r="1058" spans="6:15" x14ac:dyDescent="0.3">
      <c r="F1058">
        <f>MONTH(Table13[[#This Row],[Date  (DMY)]])</f>
        <v>1</v>
      </c>
      <c r="G1058" s="2"/>
      <c r="L1058" s="5"/>
      <c r="M1058" s="4">
        <f>M1057-Table13[[#This Row],[Debits]]+Table13[[#This Row],[Income]]</f>
        <v>2805.21</v>
      </c>
      <c r="N1058" t="str">
        <f>IF(AND(Table13[[#This Row],[Category]]="pay",NOT(Table13[[#This Row],[Debits]]=0)),"bad","good")</f>
        <v>good</v>
      </c>
      <c r="O1058" s="5"/>
    </row>
    <row r="1059" spans="6:15" x14ac:dyDescent="0.3">
      <c r="F1059">
        <f>MONTH(Table13[[#This Row],[Date  (DMY)]])</f>
        <v>1</v>
      </c>
      <c r="G1059" s="2"/>
      <c r="L1059" s="5"/>
      <c r="M1059" s="4">
        <f>M1058-Table13[[#This Row],[Debits]]+Table13[[#This Row],[Income]]</f>
        <v>2805.21</v>
      </c>
      <c r="N1059" t="str">
        <f>IF(AND(Table13[[#This Row],[Category]]="pay",NOT(Table13[[#This Row],[Debits]]=0)),"bad","good")</f>
        <v>good</v>
      </c>
      <c r="O1059" s="5"/>
    </row>
    <row r="1060" spans="6:15" x14ac:dyDescent="0.3">
      <c r="F1060">
        <f>MONTH(Table13[[#This Row],[Date  (DMY)]])</f>
        <v>1</v>
      </c>
      <c r="G1060" s="2"/>
      <c r="L1060" s="5"/>
      <c r="M1060" s="4">
        <f>M1059-Table13[[#This Row],[Debits]]+Table13[[#This Row],[Income]]</f>
        <v>2805.21</v>
      </c>
      <c r="N1060" t="str">
        <f>IF(AND(Table13[[#This Row],[Category]]="pay",NOT(Table13[[#This Row],[Debits]]=0)),"bad","good")</f>
        <v>good</v>
      </c>
      <c r="O1060" s="5"/>
    </row>
    <row r="1061" spans="6:15" x14ac:dyDescent="0.3">
      <c r="F1061">
        <f>MONTH(Table13[[#This Row],[Date  (DMY)]])</f>
        <v>1</v>
      </c>
      <c r="G1061" s="2"/>
      <c r="L1061" s="5"/>
      <c r="M1061" s="4">
        <f>M1060-Table13[[#This Row],[Debits]]+Table13[[#This Row],[Income]]</f>
        <v>2805.21</v>
      </c>
      <c r="N1061" t="str">
        <f>IF(AND(Table13[[#This Row],[Category]]="pay",NOT(Table13[[#This Row],[Debits]]=0)),"bad","good")</f>
        <v>good</v>
      </c>
      <c r="O1061" s="5"/>
    </row>
    <row r="1062" spans="6:15" x14ac:dyDescent="0.3">
      <c r="F1062">
        <f>MONTH(Table13[[#This Row],[Date  (DMY)]])</f>
        <v>1</v>
      </c>
      <c r="G1062" s="2"/>
      <c r="L1062" s="5"/>
      <c r="M1062" s="4">
        <f>M1061-Table13[[#This Row],[Debits]]+Table13[[#This Row],[Income]]</f>
        <v>2805.21</v>
      </c>
      <c r="N1062" t="str">
        <f>IF(AND(Table13[[#This Row],[Category]]="pay",NOT(Table13[[#This Row],[Debits]]=0)),"bad","good")</f>
        <v>good</v>
      </c>
      <c r="O1062" s="5"/>
    </row>
    <row r="1063" spans="6:15" x14ac:dyDescent="0.3">
      <c r="F1063">
        <f>MONTH(Table13[[#This Row],[Date  (DMY)]])</f>
        <v>1</v>
      </c>
      <c r="G1063" s="2"/>
      <c r="L1063" s="5"/>
      <c r="M1063" s="4">
        <f>M1062-Table13[[#This Row],[Debits]]+Table13[[#This Row],[Income]]</f>
        <v>2805.21</v>
      </c>
      <c r="N1063" t="str">
        <f>IF(AND(Table13[[#This Row],[Category]]="pay",NOT(Table13[[#This Row],[Debits]]=0)),"bad","good")</f>
        <v>good</v>
      </c>
      <c r="O1063" s="5"/>
    </row>
    <row r="1064" spans="6:15" x14ac:dyDescent="0.3">
      <c r="F1064">
        <f>MONTH(Table13[[#This Row],[Date  (DMY)]])</f>
        <v>1</v>
      </c>
      <c r="G1064" s="2"/>
      <c r="L1064" s="5"/>
      <c r="M1064" s="4">
        <f>M1063-Table13[[#This Row],[Debits]]+Table13[[#This Row],[Income]]</f>
        <v>2805.21</v>
      </c>
      <c r="N1064" t="str">
        <f>IF(AND(Table13[[#This Row],[Category]]="pay",NOT(Table13[[#This Row],[Debits]]=0)),"bad","good")</f>
        <v>good</v>
      </c>
      <c r="O1064" s="5"/>
    </row>
    <row r="1065" spans="6:15" x14ac:dyDescent="0.3">
      <c r="F1065">
        <f>MONTH(Table13[[#This Row],[Date  (DMY)]])</f>
        <v>1</v>
      </c>
      <c r="G1065" s="2"/>
      <c r="L1065" s="5"/>
      <c r="M1065" s="4">
        <f>M1064-Table13[[#This Row],[Debits]]+Table13[[#This Row],[Income]]</f>
        <v>2805.21</v>
      </c>
      <c r="N1065" t="str">
        <f>IF(AND(Table13[[#This Row],[Category]]="pay",NOT(Table13[[#This Row],[Debits]]=0)),"bad","good")</f>
        <v>good</v>
      </c>
      <c r="O1065" s="5"/>
    </row>
    <row r="1066" spans="6:15" x14ac:dyDescent="0.3">
      <c r="F1066">
        <f>MONTH(Table13[[#This Row],[Date  (DMY)]])</f>
        <v>1</v>
      </c>
      <c r="G1066" s="2"/>
      <c r="L1066" s="5"/>
      <c r="M1066" s="4">
        <f>M1065-Table13[[#This Row],[Debits]]+Table13[[#This Row],[Income]]</f>
        <v>2805.21</v>
      </c>
      <c r="N1066" t="str">
        <f>IF(AND(Table13[[#This Row],[Category]]="pay",NOT(Table13[[#This Row],[Debits]]=0)),"bad","good")</f>
        <v>good</v>
      </c>
      <c r="O1066" s="5"/>
    </row>
    <row r="1067" spans="6:15" x14ac:dyDescent="0.3">
      <c r="F1067">
        <f>MONTH(Table13[[#This Row],[Date  (DMY)]])</f>
        <v>1</v>
      </c>
      <c r="G1067" s="2"/>
      <c r="L1067" s="5"/>
      <c r="M1067" s="4">
        <f>M1066-Table13[[#This Row],[Debits]]+Table13[[#This Row],[Income]]</f>
        <v>2805.21</v>
      </c>
      <c r="N1067" t="str">
        <f>IF(AND(Table13[[#This Row],[Category]]="pay",NOT(Table13[[#This Row],[Debits]]=0)),"bad","good")</f>
        <v>good</v>
      </c>
      <c r="O1067" s="5"/>
    </row>
    <row r="1068" spans="6:15" x14ac:dyDescent="0.3">
      <c r="F1068">
        <f>MONTH(Table13[[#This Row],[Date  (DMY)]])</f>
        <v>1</v>
      </c>
      <c r="G1068" s="2"/>
      <c r="L1068" s="5"/>
      <c r="M1068" s="4">
        <f>M1067-Table13[[#This Row],[Debits]]+Table13[[#This Row],[Income]]</f>
        <v>2805.21</v>
      </c>
      <c r="N1068" t="str">
        <f>IF(AND(Table13[[#This Row],[Category]]="pay",NOT(Table13[[#This Row],[Debits]]=0)),"bad","good")</f>
        <v>good</v>
      </c>
      <c r="O1068" s="5"/>
    </row>
    <row r="1069" spans="6:15" x14ac:dyDescent="0.3">
      <c r="F1069">
        <f>MONTH(Table13[[#This Row],[Date  (DMY)]])</f>
        <v>1</v>
      </c>
      <c r="G1069" s="2"/>
      <c r="L1069" s="5"/>
      <c r="M1069" s="4">
        <f>M1068-Table13[[#This Row],[Debits]]+Table13[[#This Row],[Income]]</f>
        <v>2805.21</v>
      </c>
      <c r="N1069" t="str">
        <f>IF(AND(Table13[[#This Row],[Category]]="pay",NOT(Table13[[#This Row],[Debits]]=0)),"bad","good")</f>
        <v>good</v>
      </c>
      <c r="O1069" s="5"/>
    </row>
    <row r="1070" spans="6:15" x14ac:dyDescent="0.3">
      <c r="F1070">
        <f>MONTH(Table13[[#This Row],[Date  (DMY)]])</f>
        <v>1</v>
      </c>
      <c r="G1070" s="2"/>
      <c r="L1070" s="5"/>
      <c r="M1070" s="4">
        <f>M1069-Table13[[#This Row],[Debits]]+Table13[[#This Row],[Income]]</f>
        <v>2805.21</v>
      </c>
      <c r="N1070" t="str">
        <f>IF(AND(Table13[[#This Row],[Category]]="pay",NOT(Table13[[#This Row],[Debits]]=0)),"bad","good")</f>
        <v>good</v>
      </c>
      <c r="O1070" s="5"/>
    </row>
    <row r="1071" spans="6:15" x14ac:dyDescent="0.3">
      <c r="F1071">
        <f>MONTH(Table13[[#This Row],[Date  (DMY)]])</f>
        <v>1</v>
      </c>
      <c r="G1071" s="2"/>
      <c r="L1071" s="5"/>
      <c r="M1071" s="4">
        <f>M1070-Table13[[#This Row],[Debits]]+Table13[[#This Row],[Income]]</f>
        <v>2805.21</v>
      </c>
      <c r="N1071" t="str">
        <f>IF(AND(Table13[[#This Row],[Category]]="pay",NOT(Table13[[#This Row],[Debits]]=0)),"bad","good")</f>
        <v>good</v>
      </c>
      <c r="O1071" s="5"/>
    </row>
    <row r="1072" spans="6:15" x14ac:dyDescent="0.3">
      <c r="F1072">
        <f>MONTH(Table13[[#This Row],[Date  (DMY)]])</f>
        <v>1</v>
      </c>
      <c r="G1072" s="2"/>
      <c r="L1072" s="5"/>
      <c r="M1072" s="4">
        <f>M1071-Table13[[#This Row],[Debits]]+Table13[[#This Row],[Income]]</f>
        <v>2805.21</v>
      </c>
      <c r="N1072" t="str">
        <f>IF(AND(Table13[[#This Row],[Category]]="pay",NOT(Table13[[#This Row],[Debits]]=0)),"bad","good")</f>
        <v>good</v>
      </c>
      <c r="O1072" s="5"/>
    </row>
    <row r="1073" spans="6:15" x14ac:dyDescent="0.3">
      <c r="F1073">
        <f>MONTH(Table13[[#This Row],[Date  (DMY)]])</f>
        <v>1</v>
      </c>
      <c r="G1073" s="2"/>
      <c r="L1073" s="5"/>
      <c r="M1073" s="4">
        <f>M1072-Table13[[#This Row],[Debits]]+Table13[[#This Row],[Income]]</f>
        <v>2805.21</v>
      </c>
      <c r="N1073" t="str">
        <f>IF(AND(Table13[[#This Row],[Category]]="pay",NOT(Table13[[#This Row],[Debits]]=0)),"bad","good")</f>
        <v>good</v>
      </c>
      <c r="O1073" s="5"/>
    </row>
    <row r="1074" spans="6:15" x14ac:dyDescent="0.3">
      <c r="F1074">
        <f>MONTH(Table13[[#This Row],[Date  (DMY)]])</f>
        <v>1</v>
      </c>
      <c r="G1074" s="2"/>
      <c r="L1074" s="5"/>
      <c r="M1074" s="4">
        <f>M1073-Table13[[#This Row],[Debits]]+Table13[[#This Row],[Income]]</f>
        <v>2805.21</v>
      </c>
      <c r="N1074" t="str">
        <f>IF(AND(Table13[[#This Row],[Category]]="pay",NOT(Table13[[#This Row],[Debits]]=0)),"bad","good")</f>
        <v>good</v>
      </c>
      <c r="O1074" s="5"/>
    </row>
    <row r="1075" spans="6:15" x14ac:dyDescent="0.3">
      <c r="F1075">
        <f>MONTH(Table13[[#This Row],[Date  (DMY)]])</f>
        <v>1</v>
      </c>
      <c r="G1075" s="2"/>
      <c r="L1075" s="5"/>
      <c r="M1075" s="4">
        <f>M1074-Table13[[#This Row],[Debits]]+Table13[[#This Row],[Income]]</f>
        <v>2805.21</v>
      </c>
      <c r="N1075" t="str">
        <f>IF(AND(Table13[[#This Row],[Category]]="pay",NOT(Table13[[#This Row],[Debits]]=0)),"bad","good")</f>
        <v>good</v>
      </c>
      <c r="O1075" s="5"/>
    </row>
    <row r="1076" spans="6:15" x14ac:dyDescent="0.3">
      <c r="F1076">
        <f>MONTH(Table13[[#This Row],[Date  (DMY)]])</f>
        <v>1</v>
      </c>
      <c r="G1076" s="2"/>
      <c r="L1076" s="5"/>
      <c r="M1076" s="4">
        <f>M1075-Table13[[#This Row],[Debits]]+Table13[[#This Row],[Income]]</f>
        <v>2805.21</v>
      </c>
      <c r="N1076" t="str">
        <f>IF(AND(Table13[[#This Row],[Category]]="pay",NOT(Table13[[#This Row],[Debits]]=0)),"bad","good")</f>
        <v>good</v>
      </c>
      <c r="O1076" s="5"/>
    </row>
    <row r="1077" spans="6:15" x14ac:dyDescent="0.3">
      <c r="F1077">
        <f>MONTH(Table13[[#This Row],[Date  (DMY)]])</f>
        <v>1</v>
      </c>
      <c r="G1077" s="2"/>
      <c r="L1077" s="5"/>
      <c r="M1077" s="4">
        <f>M1076-Table13[[#This Row],[Debits]]+Table13[[#This Row],[Income]]</f>
        <v>2805.21</v>
      </c>
      <c r="N1077" t="str">
        <f>IF(AND(Table13[[#This Row],[Category]]="pay",NOT(Table13[[#This Row],[Debits]]=0)),"bad","good")</f>
        <v>good</v>
      </c>
      <c r="O1077" s="5"/>
    </row>
    <row r="1078" spans="6:15" x14ac:dyDescent="0.3">
      <c r="F1078">
        <f>MONTH(Table13[[#This Row],[Date  (DMY)]])</f>
        <v>1</v>
      </c>
      <c r="G1078" s="2"/>
      <c r="L1078" s="5"/>
      <c r="M1078" s="4">
        <f>M1077-Table13[[#This Row],[Debits]]+Table13[[#This Row],[Income]]</f>
        <v>2805.21</v>
      </c>
      <c r="N1078" t="str">
        <f>IF(AND(Table13[[#This Row],[Category]]="pay",NOT(Table13[[#This Row],[Debits]]=0)),"bad","good")</f>
        <v>good</v>
      </c>
      <c r="O1078" s="5"/>
    </row>
    <row r="1079" spans="6:15" x14ac:dyDescent="0.3">
      <c r="F1079">
        <f>MONTH(Table13[[#This Row],[Date  (DMY)]])</f>
        <v>1</v>
      </c>
      <c r="G1079" s="2"/>
      <c r="L1079" s="5"/>
      <c r="M1079" s="4">
        <f>M1078-Table13[[#This Row],[Debits]]+Table13[[#This Row],[Income]]</f>
        <v>2805.21</v>
      </c>
      <c r="N1079" t="str">
        <f>IF(AND(Table13[[#This Row],[Category]]="pay",NOT(Table13[[#This Row],[Debits]]=0)),"bad","good")</f>
        <v>good</v>
      </c>
      <c r="O1079" s="5"/>
    </row>
    <row r="1080" spans="6:15" x14ac:dyDescent="0.3">
      <c r="F1080">
        <f>MONTH(Table13[[#This Row],[Date  (DMY)]])</f>
        <v>1</v>
      </c>
      <c r="G1080" s="2"/>
      <c r="L1080" s="5"/>
      <c r="M1080" s="4">
        <f>M1079-Table13[[#This Row],[Debits]]+Table13[[#This Row],[Income]]</f>
        <v>2805.21</v>
      </c>
      <c r="N1080" t="str">
        <f>IF(AND(Table13[[#This Row],[Category]]="pay",NOT(Table13[[#This Row],[Debits]]=0)),"bad","good")</f>
        <v>good</v>
      </c>
      <c r="O1080" s="5"/>
    </row>
    <row r="1081" spans="6:15" x14ac:dyDescent="0.3">
      <c r="F1081">
        <f>MONTH(Table13[[#This Row],[Date  (DMY)]])</f>
        <v>1</v>
      </c>
      <c r="G1081" s="2"/>
      <c r="L1081" s="5"/>
      <c r="M1081" s="4">
        <f>M1080-Table13[[#This Row],[Debits]]+Table13[[#This Row],[Income]]</f>
        <v>2805.21</v>
      </c>
      <c r="N1081" t="str">
        <f>IF(AND(Table13[[#This Row],[Category]]="pay",NOT(Table13[[#This Row],[Debits]]=0)),"bad","good")</f>
        <v>good</v>
      </c>
      <c r="O1081" s="5"/>
    </row>
    <row r="1082" spans="6:15" x14ac:dyDescent="0.3">
      <c r="F1082">
        <f>MONTH(Table13[[#This Row],[Date  (DMY)]])</f>
        <v>1</v>
      </c>
      <c r="G1082" s="2"/>
      <c r="L1082" s="5"/>
      <c r="M1082" s="4">
        <f>M1081-Table13[[#This Row],[Debits]]+Table13[[#This Row],[Income]]</f>
        <v>2805.21</v>
      </c>
      <c r="N1082" t="str">
        <f>IF(AND(Table13[[#This Row],[Category]]="pay",NOT(Table13[[#This Row],[Debits]]=0)),"bad","good")</f>
        <v>good</v>
      </c>
      <c r="O1082" s="5"/>
    </row>
    <row r="1083" spans="6:15" x14ac:dyDescent="0.3">
      <c r="F1083">
        <f>MONTH(Table13[[#This Row],[Date  (DMY)]])</f>
        <v>1</v>
      </c>
      <c r="G1083" s="2"/>
      <c r="L1083" s="5"/>
      <c r="M1083" s="4">
        <f>M1082-Table13[[#This Row],[Debits]]+Table13[[#This Row],[Income]]</f>
        <v>2805.21</v>
      </c>
      <c r="N1083" t="str">
        <f>IF(AND(Table13[[#This Row],[Category]]="pay",NOT(Table13[[#This Row],[Debits]]=0)),"bad","good")</f>
        <v>good</v>
      </c>
      <c r="O1083" s="5"/>
    </row>
    <row r="1084" spans="6:15" x14ac:dyDescent="0.3">
      <c r="F1084">
        <f>MONTH(Table13[[#This Row],[Date  (DMY)]])</f>
        <v>1</v>
      </c>
      <c r="G1084" s="2"/>
      <c r="L1084" s="5"/>
      <c r="M1084" s="4">
        <f>M1083-Table13[[#This Row],[Debits]]+Table13[[#This Row],[Income]]</f>
        <v>2805.21</v>
      </c>
      <c r="N1084" t="str">
        <f>IF(AND(Table13[[#This Row],[Category]]="pay",NOT(Table13[[#This Row],[Debits]]=0)),"bad","good")</f>
        <v>good</v>
      </c>
      <c r="O1084" s="5"/>
    </row>
    <row r="1085" spans="6:15" x14ac:dyDescent="0.3">
      <c r="F1085">
        <f>MONTH(Table13[[#This Row],[Date  (DMY)]])</f>
        <v>1</v>
      </c>
      <c r="G1085" s="2"/>
      <c r="L1085" s="5"/>
      <c r="M1085" s="4">
        <f>M1084-Table13[[#This Row],[Debits]]+Table13[[#This Row],[Income]]</f>
        <v>2805.21</v>
      </c>
      <c r="N1085" t="str">
        <f>IF(AND(Table13[[#This Row],[Category]]="pay",NOT(Table13[[#This Row],[Debits]]=0)),"bad","good")</f>
        <v>good</v>
      </c>
      <c r="O1085" s="5"/>
    </row>
    <row r="1086" spans="6:15" x14ac:dyDescent="0.3">
      <c r="F1086">
        <f>MONTH(Table13[[#This Row],[Date  (DMY)]])</f>
        <v>1</v>
      </c>
      <c r="G1086" s="2"/>
      <c r="L1086" s="5"/>
      <c r="M1086" s="4">
        <f>M1085-Table13[[#This Row],[Debits]]+Table13[[#This Row],[Income]]</f>
        <v>2805.21</v>
      </c>
      <c r="N1086" t="str">
        <f>IF(AND(Table13[[#This Row],[Category]]="pay",NOT(Table13[[#This Row],[Debits]]=0)),"bad","good")</f>
        <v>good</v>
      </c>
      <c r="O1086" s="5"/>
    </row>
    <row r="1087" spans="6:15" x14ac:dyDescent="0.3">
      <c r="F1087">
        <f>MONTH(Table13[[#This Row],[Date  (DMY)]])</f>
        <v>1</v>
      </c>
      <c r="G1087" s="2"/>
      <c r="L1087" s="5"/>
      <c r="M1087" s="4">
        <f>M1086-Table13[[#This Row],[Debits]]+Table13[[#This Row],[Income]]</f>
        <v>2805.21</v>
      </c>
      <c r="N1087" t="str">
        <f>IF(AND(Table13[[#This Row],[Category]]="pay",NOT(Table13[[#This Row],[Debits]]=0)),"bad","good")</f>
        <v>good</v>
      </c>
      <c r="O1087" s="5"/>
    </row>
    <row r="1088" spans="6:15" x14ac:dyDescent="0.3">
      <c r="F1088">
        <f>MONTH(Table13[[#This Row],[Date  (DMY)]])</f>
        <v>1</v>
      </c>
      <c r="G1088" s="2"/>
      <c r="L1088" s="5"/>
      <c r="M1088" s="4">
        <f>M1087-Table13[[#This Row],[Debits]]+Table13[[#This Row],[Income]]</f>
        <v>2805.21</v>
      </c>
      <c r="N1088" t="str">
        <f>IF(AND(Table13[[#This Row],[Category]]="pay",NOT(Table13[[#This Row],[Debits]]=0)),"bad","good")</f>
        <v>good</v>
      </c>
      <c r="O1088" s="5"/>
    </row>
    <row r="1089" spans="6:15" x14ac:dyDescent="0.3">
      <c r="F1089">
        <f>MONTH(Table13[[#This Row],[Date  (DMY)]])</f>
        <v>1</v>
      </c>
      <c r="G1089" s="2"/>
      <c r="L1089" s="5"/>
      <c r="M1089" s="4">
        <f>M1088-Table13[[#This Row],[Debits]]+Table13[[#This Row],[Income]]</f>
        <v>2805.21</v>
      </c>
      <c r="N1089" t="str">
        <f>IF(AND(Table13[[#This Row],[Category]]="pay",NOT(Table13[[#This Row],[Debits]]=0)),"bad","good")</f>
        <v>good</v>
      </c>
      <c r="O1089" s="5"/>
    </row>
    <row r="1090" spans="6:15" x14ac:dyDescent="0.3">
      <c r="F1090">
        <f>MONTH(Table13[[#This Row],[Date  (DMY)]])</f>
        <v>1</v>
      </c>
      <c r="G1090" s="2"/>
      <c r="L1090" s="5"/>
      <c r="M1090" s="4">
        <f>M1089-Table13[[#This Row],[Debits]]+Table13[[#This Row],[Income]]</f>
        <v>2805.21</v>
      </c>
      <c r="N1090" t="str">
        <f>IF(AND(Table13[[#This Row],[Category]]="pay",NOT(Table13[[#This Row],[Debits]]=0)),"bad","good")</f>
        <v>good</v>
      </c>
      <c r="O1090" s="5"/>
    </row>
    <row r="1091" spans="6:15" x14ac:dyDescent="0.3">
      <c r="F1091">
        <f>MONTH(Table13[[#This Row],[Date  (DMY)]])</f>
        <v>1</v>
      </c>
      <c r="G1091" s="2"/>
      <c r="L1091" s="5"/>
      <c r="M1091" s="4">
        <f>M1090-Table13[[#This Row],[Debits]]+Table13[[#This Row],[Income]]</f>
        <v>2805.21</v>
      </c>
      <c r="N1091" t="str">
        <f>IF(AND(Table13[[#This Row],[Category]]="pay",NOT(Table13[[#This Row],[Debits]]=0)),"bad","good")</f>
        <v>good</v>
      </c>
      <c r="O1091" s="5"/>
    </row>
    <row r="1092" spans="6:15" x14ac:dyDescent="0.3">
      <c r="F1092">
        <f>MONTH(Table13[[#This Row],[Date  (DMY)]])</f>
        <v>1</v>
      </c>
      <c r="G1092" s="2"/>
      <c r="L1092" s="5"/>
      <c r="M1092" s="4">
        <f>M1091-Table13[[#This Row],[Debits]]+Table13[[#This Row],[Income]]</f>
        <v>2805.21</v>
      </c>
      <c r="N1092" t="str">
        <f>IF(AND(Table13[[#This Row],[Category]]="pay",NOT(Table13[[#This Row],[Debits]]=0)),"bad","good")</f>
        <v>good</v>
      </c>
      <c r="O1092" s="5"/>
    </row>
    <row r="1093" spans="6:15" x14ac:dyDescent="0.3">
      <c r="F1093">
        <f>MONTH(Table13[[#This Row],[Date  (DMY)]])</f>
        <v>1</v>
      </c>
      <c r="G1093" s="2"/>
      <c r="L1093" s="5"/>
      <c r="M1093" s="4">
        <f>M1092-Table13[[#This Row],[Debits]]+Table13[[#This Row],[Income]]</f>
        <v>2805.21</v>
      </c>
      <c r="N1093" t="str">
        <f>IF(AND(Table13[[#This Row],[Category]]="pay",NOT(Table13[[#This Row],[Debits]]=0)),"bad","good")</f>
        <v>good</v>
      </c>
      <c r="O1093" s="5"/>
    </row>
    <row r="1094" spans="6:15" x14ac:dyDescent="0.3">
      <c r="F1094">
        <f>MONTH(Table13[[#This Row],[Date  (DMY)]])</f>
        <v>1</v>
      </c>
      <c r="G1094" s="2"/>
      <c r="L1094" s="5"/>
      <c r="M1094" s="4">
        <f>M1093-Table13[[#This Row],[Debits]]+Table13[[#This Row],[Income]]</f>
        <v>2805.21</v>
      </c>
      <c r="N1094" t="str">
        <f>IF(AND(Table13[[#This Row],[Category]]="pay",NOT(Table13[[#This Row],[Debits]]=0)),"bad","good")</f>
        <v>good</v>
      </c>
      <c r="O1094" s="5"/>
    </row>
    <row r="1095" spans="6:15" x14ac:dyDescent="0.3">
      <c r="F1095">
        <f>MONTH(Table13[[#This Row],[Date  (DMY)]])</f>
        <v>1</v>
      </c>
      <c r="G1095" s="2"/>
      <c r="L1095" s="5"/>
      <c r="M1095" s="4">
        <f>M1094-Table13[[#This Row],[Debits]]+Table13[[#This Row],[Income]]</f>
        <v>2805.21</v>
      </c>
      <c r="N1095" t="str">
        <f>IF(AND(Table13[[#This Row],[Category]]="pay",NOT(Table13[[#This Row],[Debits]]=0)),"bad","good")</f>
        <v>good</v>
      </c>
      <c r="O1095" s="5"/>
    </row>
    <row r="1096" spans="6:15" x14ac:dyDescent="0.3">
      <c r="F1096">
        <f>MONTH(Table13[[#This Row],[Date  (DMY)]])</f>
        <v>1</v>
      </c>
      <c r="G1096" s="2"/>
      <c r="L1096" s="5"/>
      <c r="M1096" s="4">
        <f>M1095-Table13[[#This Row],[Debits]]+Table13[[#This Row],[Income]]</f>
        <v>2805.21</v>
      </c>
      <c r="N1096" t="str">
        <f>IF(AND(Table13[[#This Row],[Category]]="pay",NOT(Table13[[#This Row],[Debits]]=0)),"bad","good")</f>
        <v>good</v>
      </c>
      <c r="O1096" s="5"/>
    </row>
    <row r="1097" spans="6:15" x14ac:dyDescent="0.3">
      <c r="F1097">
        <f>MONTH(Table13[[#This Row],[Date  (DMY)]])</f>
        <v>1</v>
      </c>
      <c r="G1097" s="2"/>
      <c r="L1097" s="5"/>
      <c r="M1097" s="4">
        <f>M1096-Table13[[#This Row],[Debits]]+Table13[[#This Row],[Income]]</f>
        <v>2805.21</v>
      </c>
      <c r="N1097" t="str">
        <f>IF(AND(Table13[[#This Row],[Category]]="pay",NOT(Table13[[#This Row],[Debits]]=0)),"bad","good")</f>
        <v>good</v>
      </c>
      <c r="O1097" s="5"/>
    </row>
    <row r="1098" spans="6:15" x14ac:dyDescent="0.3">
      <c r="F1098">
        <f>MONTH(Table13[[#This Row],[Date  (DMY)]])</f>
        <v>1</v>
      </c>
      <c r="G1098" s="2"/>
      <c r="L1098" s="5"/>
      <c r="M1098" s="4">
        <f>M1097-Table13[[#This Row],[Debits]]+Table13[[#This Row],[Income]]</f>
        <v>2805.21</v>
      </c>
      <c r="N1098" t="str">
        <f>IF(AND(Table13[[#This Row],[Category]]="pay",NOT(Table13[[#This Row],[Debits]]=0)),"bad","good")</f>
        <v>good</v>
      </c>
      <c r="O1098" s="5"/>
    </row>
    <row r="1099" spans="6:15" x14ac:dyDescent="0.3">
      <c r="F1099">
        <f>MONTH(Table13[[#This Row],[Date  (DMY)]])</f>
        <v>1</v>
      </c>
      <c r="G1099" s="2"/>
      <c r="L1099" s="5"/>
      <c r="M1099" s="4">
        <f>M1098-Table13[[#This Row],[Debits]]+Table13[[#This Row],[Income]]</f>
        <v>2805.21</v>
      </c>
      <c r="N1099" t="str">
        <f>IF(AND(Table13[[#This Row],[Category]]="pay",NOT(Table13[[#This Row],[Debits]]=0)),"bad","good")</f>
        <v>good</v>
      </c>
      <c r="O1099" s="5"/>
    </row>
    <row r="1100" spans="6:15" x14ac:dyDescent="0.3">
      <c r="F1100">
        <f>MONTH(Table13[[#This Row],[Date  (DMY)]])</f>
        <v>1</v>
      </c>
      <c r="G1100" s="2"/>
      <c r="L1100" s="5"/>
      <c r="M1100" s="4">
        <f>M1099-Table13[[#This Row],[Debits]]+Table13[[#This Row],[Income]]</f>
        <v>2805.21</v>
      </c>
      <c r="N1100" t="str">
        <f>IF(AND(Table13[[#This Row],[Category]]="pay",NOT(Table13[[#This Row],[Debits]]=0)),"bad","good")</f>
        <v>good</v>
      </c>
      <c r="O1100" s="5"/>
    </row>
    <row r="1101" spans="6:15" x14ac:dyDescent="0.3">
      <c r="F1101">
        <f>MONTH(Table13[[#This Row],[Date  (DMY)]])</f>
        <v>1</v>
      </c>
      <c r="G1101" s="2"/>
      <c r="L1101" s="5"/>
      <c r="M1101" s="4">
        <f>M1100-Table13[[#This Row],[Debits]]+Table13[[#This Row],[Income]]</f>
        <v>2805.21</v>
      </c>
      <c r="N1101" t="str">
        <f>IF(AND(Table13[[#This Row],[Category]]="pay",NOT(Table13[[#This Row],[Debits]]=0)),"bad","good")</f>
        <v>good</v>
      </c>
      <c r="O1101" s="5"/>
    </row>
    <row r="1102" spans="6:15" x14ac:dyDescent="0.3">
      <c r="F1102">
        <f>MONTH(Table13[[#This Row],[Date  (DMY)]])</f>
        <v>1</v>
      </c>
      <c r="G1102" s="2"/>
      <c r="L1102" s="5"/>
      <c r="M1102" s="4">
        <f>M1101-Table13[[#This Row],[Debits]]+Table13[[#This Row],[Income]]</f>
        <v>2805.21</v>
      </c>
      <c r="N1102" t="str">
        <f>IF(AND(Table13[[#This Row],[Category]]="pay",NOT(Table13[[#This Row],[Debits]]=0)),"bad","good")</f>
        <v>good</v>
      </c>
      <c r="O1102" s="5"/>
    </row>
    <row r="1103" spans="6:15" x14ac:dyDescent="0.3">
      <c r="F1103">
        <f>MONTH(Table13[[#This Row],[Date  (DMY)]])</f>
        <v>1</v>
      </c>
      <c r="G1103" s="2"/>
      <c r="L1103" s="5"/>
      <c r="M1103" s="4">
        <f>M1102-Table13[[#This Row],[Debits]]+Table13[[#This Row],[Income]]</f>
        <v>2805.21</v>
      </c>
      <c r="N1103" t="str">
        <f>IF(AND(Table13[[#This Row],[Category]]="pay",NOT(Table13[[#This Row],[Debits]]=0)),"bad","good")</f>
        <v>good</v>
      </c>
      <c r="O1103" s="5"/>
    </row>
    <row r="1104" spans="6:15" x14ac:dyDescent="0.3">
      <c r="F1104">
        <f>MONTH(Table13[[#This Row],[Date  (DMY)]])</f>
        <v>1</v>
      </c>
      <c r="G1104" s="2"/>
      <c r="L1104" s="5"/>
      <c r="M1104" s="4">
        <f>M1103-Table13[[#This Row],[Debits]]+Table13[[#This Row],[Income]]</f>
        <v>2805.21</v>
      </c>
      <c r="N1104" t="str">
        <f>IF(AND(Table13[[#This Row],[Category]]="pay",NOT(Table13[[#This Row],[Debits]]=0)),"bad","good")</f>
        <v>good</v>
      </c>
      <c r="O1104" s="5"/>
    </row>
    <row r="1105" spans="6:15" x14ac:dyDescent="0.3">
      <c r="F1105">
        <f>MONTH(Table13[[#This Row],[Date  (DMY)]])</f>
        <v>1</v>
      </c>
      <c r="G1105" s="2"/>
      <c r="L1105" s="5"/>
      <c r="M1105" s="4">
        <f>M1104-Table13[[#This Row],[Debits]]+Table13[[#This Row],[Income]]</f>
        <v>2805.21</v>
      </c>
      <c r="N1105" t="str">
        <f>IF(AND(Table13[[#This Row],[Category]]="pay",NOT(Table13[[#This Row],[Debits]]=0)),"bad","good")</f>
        <v>good</v>
      </c>
      <c r="O1105" s="5"/>
    </row>
    <row r="1106" spans="6:15" x14ac:dyDescent="0.3">
      <c r="F1106">
        <f>MONTH(Table13[[#This Row],[Date  (DMY)]])</f>
        <v>1</v>
      </c>
      <c r="G1106" s="2"/>
      <c r="L1106" s="5"/>
      <c r="M1106" s="4">
        <f>M1105-Table13[[#This Row],[Debits]]+Table13[[#This Row],[Income]]</f>
        <v>2805.21</v>
      </c>
      <c r="N1106" t="str">
        <f>IF(AND(Table13[[#This Row],[Category]]="pay",NOT(Table13[[#This Row],[Debits]]=0)),"bad","good")</f>
        <v>good</v>
      </c>
      <c r="O1106" s="5"/>
    </row>
    <row r="1107" spans="6:15" x14ac:dyDescent="0.3">
      <c r="F1107">
        <f>MONTH(Table13[[#This Row],[Date  (DMY)]])</f>
        <v>1</v>
      </c>
      <c r="G1107" s="2"/>
      <c r="L1107" s="5"/>
      <c r="M1107" s="4">
        <f>M1106-Table13[[#This Row],[Debits]]+Table13[[#This Row],[Income]]</f>
        <v>2805.21</v>
      </c>
      <c r="N1107" t="str">
        <f>IF(AND(Table13[[#This Row],[Category]]="pay",NOT(Table13[[#This Row],[Debits]]=0)),"bad","good")</f>
        <v>good</v>
      </c>
      <c r="O1107" s="5"/>
    </row>
    <row r="1108" spans="6:15" x14ac:dyDescent="0.3">
      <c r="F1108">
        <f>MONTH(Table13[[#This Row],[Date  (DMY)]])</f>
        <v>1</v>
      </c>
      <c r="G1108" s="2"/>
      <c r="L1108" s="5"/>
      <c r="M1108" s="4">
        <f>M1107-Table13[[#This Row],[Debits]]+Table13[[#This Row],[Income]]</f>
        <v>2805.21</v>
      </c>
      <c r="N1108" t="str">
        <f>IF(AND(Table13[[#This Row],[Category]]="pay",NOT(Table13[[#This Row],[Debits]]=0)),"bad","good")</f>
        <v>good</v>
      </c>
      <c r="O1108" s="5"/>
    </row>
    <row r="1109" spans="6:15" x14ac:dyDescent="0.3">
      <c r="F1109">
        <f>MONTH(Table13[[#This Row],[Date  (DMY)]])</f>
        <v>1</v>
      </c>
      <c r="G1109" s="2"/>
      <c r="L1109" s="5"/>
      <c r="M1109" s="4">
        <f>M1108-Table13[[#This Row],[Debits]]+Table13[[#This Row],[Income]]</f>
        <v>2805.21</v>
      </c>
      <c r="N1109" t="str">
        <f>IF(AND(Table13[[#This Row],[Category]]="pay",NOT(Table13[[#This Row],[Debits]]=0)),"bad","good")</f>
        <v>good</v>
      </c>
      <c r="O1109" s="5"/>
    </row>
    <row r="1110" spans="6:15" x14ac:dyDescent="0.3">
      <c r="F1110">
        <f>MONTH(Table13[[#This Row],[Date  (DMY)]])</f>
        <v>1</v>
      </c>
      <c r="G1110" s="2"/>
      <c r="L1110" s="5"/>
      <c r="M1110" s="4">
        <f>M1109-Table13[[#This Row],[Debits]]+Table13[[#This Row],[Income]]</f>
        <v>2805.21</v>
      </c>
      <c r="N1110" t="str">
        <f>IF(AND(Table13[[#This Row],[Category]]="pay",NOT(Table13[[#This Row],[Debits]]=0)),"bad","good")</f>
        <v>good</v>
      </c>
      <c r="O1110" s="5"/>
    </row>
    <row r="1111" spans="6:15" x14ac:dyDescent="0.3">
      <c r="F1111">
        <f>MONTH(Table13[[#This Row],[Date  (DMY)]])</f>
        <v>1</v>
      </c>
      <c r="G1111" s="2"/>
      <c r="L1111" s="5"/>
      <c r="M1111" s="4">
        <f>M1110-Table13[[#This Row],[Debits]]+Table13[[#This Row],[Income]]</f>
        <v>2805.21</v>
      </c>
      <c r="N1111" t="str">
        <f>IF(AND(Table13[[#This Row],[Category]]="pay",NOT(Table13[[#This Row],[Debits]]=0)),"bad","good")</f>
        <v>good</v>
      </c>
      <c r="O1111" s="5"/>
    </row>
    <row r="1112" spans="6:15" x14ac:dyDescent="0.3">
      <c r="F1112">
        <f>MONTH(Table13[[#This Row],[Date  (DMY)]])</f>
        <v>1</v>
      </c>
      <c r="G1112" s="2"/>
      <c r="L1112" s="5"/>
      <c r="M1112" s="4">
        <f>M1111-Table13[[#This Row],[Debits]]+Table13[[#This Row],[Income]]</f>
        <v>2805.21</v>
      </c>
      <c r="N1112" t="str">
        <f>IF(AND(Table13[[#This Row],[Category]]="pay",NOT(Table13[[#This Row],[Debits]]=0)),"bad","good")</f>
        <v>good</v>
      </c>
      <c r="O1112" s="5"/>
    </row>
    <row r="1113" spans="6:15" x14ac:dyDescent="0.3">
      <c r="F1113">
        <f>MONTH(Table13[[#This Row],[Date  (DMY)]])</f>
        <v>1</v>
      </c>
      <c r="G1113" s="2"/>
      <c r="L1113" s="5"/>
      <c r="M1113" s="4">
        <f>M1112-Table13[[#This Row],[Debits]]+Table13[[#This Row],[Income]]</f>
        <v>2805.21</v>
      </c>
      <c r="N1113" t="str">
        <f>IF(AND(Table13[[#This Row],[Category]]="pay",NOT(Table13[[#This Row],[Debits]]=0)),"bad","good")</f>
        <v>good</v>
      </c>
      <c r="O1113" s="5"/>
    </row>
    <row r="1114" spans="6:15" x14ac:dyDescent="0.3">
      <c r="F1114">
        <f>MONTH(Table13[[#This Row],[Date  (DMY)]])</f>
        <v>1</v>
      </c>
      <c r="G1114" s="2"/>
      <c r="L1114" s="5"/>
      <c r="M1114" s="4">
        <f>M1113-Table13[[#This Row],[Debits]]+Table13[[#This Row],[Income]]</f>
        <v>2805.21</v>
      </c>
      <c r="N1114" t="str">
        <f>IF(AND(Table13[[#This Row],[Category]]="pay",NOT(Table13[[#This Row],[Debits]]=0)),"bad","good")</f>
        <v>good</v>
      </c>
      <c r="O1114" s="5"/>
    </row>
    <row r="1115" spans="6:15" x14ac:dyDescent="0.3">
      <c r="F1115">
        <f>MONTH(Table13[[#This Row],[Date  (DMY)]])</f>
        <v>1</v>
      </c>
      <c r="G1115" s="2"/>
      <c r="L1115" s="5"/>
      <c r="M1115" s="4">
        <f>M1114-Table13[[#This Row],[Debits]]+Table13[[#This Row],[Income]]</f>
        <v>2805.21</v>
      </c>
      <c r="N1115" t="str">
        <f>IF(AND(Table13[[#This Row],[Category]]="pay",NOT(Table13[[#This Row],[Debits]]=0)),"bad","good")</f>
        <v>good</v>
      </c>
      <c r="O1115" s="5"/>
    </row>
    <row r="1116" spans="6:15" x14ac:dyDescent="0.3">
      <c r="F1116">
        <f>MONTH(Table13[[#This Row],[Date  (DMY)]])</f>
        <v>1</v>
      </c>
      <c r="G1116" s="2"/>
      <c r="L1116" s="5"/>
      <c r="M1116" s="4">
        <f>M1115-Table13[[#This Row],[Debits]]+Table13[[#This Row],[Income]]</f>
        <v>2805.21</v>
      </c>
      <c r="N1116" t="str">
        <f>IF(AND(Table13[[#This Row],[Category]]="pay",NOT(Table13[[#This Row],[Debits]]=0)),"bad","good")</f>
        <v>good</v>
      </c>
      <c r="O1116" s="5"/>
    </row>
    <row r="1117" spans="6:15" x14ac:dyDescent="0.3">
      <c r="F1117">
        <f>MONTH(Table13[[#This Row],[Date  (DMY)]])</f>
        <v>1</v>
      </c>
      <c r="G1117" s="2"/>
      <c r="L1117" s="5"/>
      <c r="M1117" s="4">
        <f>M1116-Table13[[#This Row],[Debits]]+Table13[[#This Row],[Income]]</f>
        <v>2805.21</v>
      </c>
      <c r="N1117" t="str">
        <f>IF(AND(Table13[[#This Row],[Category]]="pay",NOT(Table13[[#This Row],[Debits]]=0)),"bad","good")</f>
        <v>good</v>
      </c>
      <c r="O1117" s="5"/>
    </row>
    <row r="1118" spans="6:15" x14ac:dyDescent="0.3">
      <c r="F1118">
        <f>MONTH(Table13[[#This Row],[Date  (DMY)]])</f>
        <v>1</v>
      </c>
      <c r="G1118" s="2"/>
      <c r="L1118" s="5"/>
      <c r="M1118" s="4">
        <f>M1117-Table13[[#This Row],[Debits]]+Table13[[#This Row],[Income]]</f>
        <v>2805.21</v>
      </c>
      <c r="N1118" t="str">
        <f>IF(AND(Table13[[#This Row],[Category]]="pay",NOT(Table13[[#This Row],[Debits]]=0)),"bad","good")</f>
        <v>good</v>
      </c>
      <c r="O1118" s="5"/>
    </row>
    <row r="1119" spans="6:15" x14ac:dyDescent="0.3">
      <c r="F1119">
        <f>MONTH(Table13[[#This Row],[Date  (DMY)]])</f>
        <v>1</v>
      </c>
      <c r="G1119" s="2"/>
      <c r="L1119" s="5"/>
      <c r="M1119" s="4">
        <f>M1118-Table13[[#This Row],[Debits]]+Table13[[#This Row],[Income]]</f>
        <v>2805.21</v>
      </c>
      <c r="N1119" t="str">
        <f>IF(AND(Table13[[#This Row],[Category]]="pay",NOT(Table13[[#This Row],[Debits]]=0)),"bad","good")</f>
        <v>good</v>
      </c>
      <c r="O1119" s="5"/>
    </row>
    <row r="1120" spans="6:15" x14ac:dyDescent="0.3">
      <c r="F1120">
        <f>MONTH(Table13[[#This Row],[Date  (DMY)]])</f>
        <v>1</v>
      </c>
      <c r="G1120" s="2"/>
      <c r="L1120" s="5"/>
      <c r="M1120" s="4">
        <f>M1119-Table13[[#This Row],[Debits]]+Table13[[#This Row],[Income]]</f>
        <v>2805.21</v>
      </c>
      <c r="N1120" t="str">
        <f>IF(AND(Table13[[#This Row],[Category]]="pay",NOT(Table13[[#This Row],[Debits]]=0)),"bad","good")</f>
        <v>good</v>
      </c>
      <c r="O1120" s="5"/>
    </row>
    <row r="1121" spans="6:15" x14ac:dyDescent="0.3">
      <c r="F1121">
        <f>MONTH(Table13[[#This Row],[Date  (DMY)]])</f>
        <v>1</v>
      </c>
      <c r="G1121" s="2"/>
      <c r="L1121" s="5"/>
      <c r="M1121" s="4">
        <f>M1120-Table13[[#This Row],[Debits]]+Table13[[#This Row],[Income]]</f>
        <v>2805.21</v>
      </c>
      <c r="N1121" t="str">
        <f>IF(AND(Table13[[#This Row],[Category]]="pay",NOT(Table13[[#This Row],[Debits]]=0)),"bad","good")</f>
        <v>good</v>
      </c>
      <c r="O1121" s="5"/>
    </row>
    <row r="1122" spans="6:15" x14ac:dyDescent="0.3">
      <c r="F1122">
        <f>MONTH(Table13[[#This Row],[Date  (DMY)]])</f>
        <v>1</v>
      </c>
      <c r="G1122" s="2"/>
      <c r="L1122" s="5"/>
      <c r="M1122" s="4">
        <f>M1121-Table13[[#This Row],[Debits]]+Table13[[#This Row],[Income]]</f>
        <v>2805.21</v>
      </c>
      <c r="N1122" t="str">
        <f>IF(AND(Table13[[#This Row],[Category]]="pay",NOT(Table13[[#This Row],[Debits]]=0)),"bad","good")</f>
        <v>good</v>
      </c>
      <c r="O1122" s="5"/>
    </row>
    <row r="1123" spans="6:15" x14ac:dyDescent="0.3">
      <c r="F1123">
        <f>MONTH(Table13[[#This Row],[Date  (DMY)]])</f>
        <v>1</v>
      </c>
      <c r="G1123" s="2"/>
      <c r="L1123" s="5"/>
      <c r="M1123" s="4">
        <f>M1122-Table13[[#This Row],[Debits]]+Table13[[#This Row],[Income]]</f>
        <v>2805.21</v>
      </c>
      <c r="N1123" t="str">
        <f>IF(AND(Table13[[#This Row],[Category]]="pay",NOT(Table13[[#This Row],[Debits]]=0)),"bad","good")</f>
        <v>good</v>
      </c>
      <c r="O1123" s="5"/>
    </row>
    <row r="1124" spans="6:15" x14ac:dyDescent="0.3">
      <c r="F1124">
        <f>MONTH(Table13[[#This Row],[Date  (DMY)]])</f>
        <v>1</v>
      </c>
      <c r="G1124" s="2"/>
      <c r="L1124" s="5"/>
      <c r="M1124" s="4">
        <f>M1123-Table13[[#This Row],[Debits]]+Table13[[#This Row],[Income]]</f>
        <v>2805.21</v>
      </c>
      <c r="N1124" t="str">
        <f>IF(AND(Table13[[#This Row],[Category]]="pay",NOT(Table13[[#This Row],[Debits]]=0)),"bad","good")</f>
        <v>good</v>
      </c>
      <c r="O1124" s="5"/>
    </row>
    <row r="1125" spans="6:15" x14ac:dyDescent="0.3">
      <c r="F1125">
        <f>MONTH(Table13[[#This Row],[Date  (DMY)]])</f>
        <v>1</v>
      </c>
      <c r="G1125" s="2"/>
      <c r="L1125" s="5"/>
      <c r="M1125" s="4">
        <f>M1124-Table13[[#This Row],[Debits]]+Table13[[#This Row],[Income]]</f>
        <v>2805.21</v>
      </c>
      <c r="N1125" t="str">
        <f>IF(AND(Table13[[#This Row],[Category]]="pay",NOT(Table13[[#This Row],[Debits]]=0)),"bad","good")</f>
        <v>good</v>
      </c>
      <c r="O1125" s="5"/>
    </row>
    <row r="1126" spans="6:15" x14ac:dyDescent="0.3">
      <c r="F1126">
        <f>MONTH(Table13[[#This Row],[Date  (DMY)]])</f>
        <v>1</v>
      </c>
      <c r="G1126" s="2"/>
      <c r="L1126" s="5"/>
      <c r="M1126" s="4">
        <f>M1125-Table13[[#This Row],[Debits]]+Table13[[#This Row],[Income]]</f>
        <v>2805.21</v>
      </c>
      <c r="N1126" t="str">
        <f>IF(AND(Table13[[#This Row],[Category]]="pay",NOT(Table13[[#This Row],[Debits]]=0)),"bad","good")</f>
        <v>good</v>
      </c>
      <c r="O1126" s="5"/>
    </row>
    <row r="1127" spans="6:15" x14ac:dyDescent="0.3">
      <c r="F1127">
        <f>MONTH(Table13[[#This Row],[Date  (DMY)]])</f>
        <v>1</v>
      </c>
      <c r="G1127" s="2"/>
      <c r="L1127" s="5"/>
      <c r="M1127" s="4">
        <f>M1126-Table13[[#This Row],[Debits]]+Table13[[#This Row],[Income]]</f>
        <v>2805.21</v>
      </c>
      <c r="N1127" t="str">
        <f>IF(AND(Table13[[#This Row],[Category]]="pay",NOT(Table13[[#This Row],[Debits]]=0)),"bad","good")</f>
        <v>good</v>
      </c>
      <c r="O1127" s="5"/>
    </row>
    <row r="1128" spans="6:15" x14ac:dyDescent="0.3">
      <c r="F1128">
        <f>MONTH(Table13[[#This Row],[Date  (DMY)]])</f>
        <v>1</v>
      </c>
      <c r="G1128" s="2"/>
      <c r="L1128" s="5"/>
      <c r="M1128" s="4">
        <f>M1127-Table13[[#This Row],[Debits]]+Table13[[#This Row],[Income]]</f>
        <v>2805.21</v>
      </c>
      <c r="N1128" t="str">
        <f>IF(AND(Table13[[#This Row],[Category]]="pay",NOT(Table13[[#This Row],[Debits]]=0)),"bad","good")</f>
        <v>good</v>
      </c>
      <c r="O1128" s="5"/>
    </row>
    <row r="1129" spans="6:15" x14ac:dyDescent="0.3">
      <c r="F1129">
        <f>MONTH(Table13[[#This Row],[Date  (DMY)]])</f>
        <v>1</v>
      </c>
      <c r="G1129" s="2"/>
      <c r="L1129" s="5"/>
      <c r="M1129" s="4">
        <f>M1128-Table13[[#This Row],[Debits]]+Table13[[#This Row],[Income]]</f>
        <v>2805.21</v>
      </c>
      <c r="N1129" t="str">
        <f>IF(AND(Table13[[#This Row],[Category]]="pay",NOT(Table13[[#This Row],[Debits]]=0)),"bad","good")</f>
        <v>good</v>
      </c>
      <c r="O1129" s="5"/>
    </row>
    <row r="1130" spans="6:15" x14ac:dyDescent="0.3">
      <c r="F1130">
        <f>MONTH(Table13[[#This Row],[Date  (DMY)]])</f>
        <v>1</v>
      </c>
      <c r="G1130" s="2"/>
      <c r="L1130" s="5"/>
      <c r="M1130" s="4">
        <f>M1129-Table13[[#This Row],[Debits]]+Table13[[#This Row],[Income]]</f>
        <v>2805.21</v>
      </c>
      <c r="N1130" t="str">
        <f>IF(AND(Table13[[#This Row],[Category]]="pay",NOT(Table13[[#This Row],[Debits]]=0)),"bad","good")</f>
        <v>good</v>
      </c>
      <c r="O1130" s="5"/>
    </row>
    <row r="1131" spans="6:15" x14ac:dyDescent="0.3">
      <c r="F1131">
        <f>MONTH(Table13[[#This Row],[Date  (DMY)]])</f>
        <v>1</v>
      </c>
      <c r="G1131" s="2"/>
      <c r="L1131" s="5"/>
      <c r="M1131" s="4">
        <f>M1130-Table13[[#This Row],[Debits]]+Table13[[#This Row],[Income]]</f>
        <v>2805.21</v>
      </c>
      <c r="N1131" t="str">
        <f>IF(AND(Table13[[#This Row],[Category]]="pay",NOT(Table13[[#This Row],[Debits]]=0)),"bad","good")</f>
        <v>good</v>
      </c>
      <c r="O1131" s="5"/>
    </row>
    <row r="1132" spans="6:15" x14ac:dyDescent="0.3">
      <c r="F1132">
        <f>MONTH(Table13[[#This Row],[Date  (DMY)]])</f>
        <v>1</v>
      </c>
      <c r="G1132" s="2"/>
      <c r="L1132" s="5"/>
      <c r="M1132" s="4">
        <f>M1131-Table13[[#This Row],[Debits]]+Table13[[#This Row],[Income]]</f>
        <v>2805.21</v>
      </c>
      <c r="N1132" t="str">
        <f>IF(AND(Table13[[#This Row],[Category]]="pay",NOT(Table13[[#This Row],[Debits]]=0)),"bad","good")</f>
        <v>good</v>
      </c>
      <c r="O1132" s="5"/>
    </row>
    <row r="1133" spans="6:15" x14ac:dyDescent="0.3">
      <c r="F1133">
        <f>MONTH(Table13[[#This Row],[Date  (DMY)]])</f>
        <v>1</v>
      </c>
      <c r="G1133" s="2"/>
      <c r="L1133" s="5"/>
      <c r="M1133" s="4">
        <f>M1132-Table13[[#This Row],[Debits]]+Table13[[#This Row],[Income]]</f>
        <v>2805.21</v>
      </c>
      <c r="N1133" t="str">
        <f>IF(AND(Table13[[#This Row],[Category]]="pay",NOT(Table13[[#This Row],[Debits]]=0)),"bad","good")</f>
        <v>good</v>
      </c>
      <c r="O1133" s="5"/>
    </row>
    <row r="1134" spans="6:15" x14ac:dyDescent="0.3">
      <c r="F1134">
        <f>MONTH(Table13[[#This Row],[Date  (DMY)]])</f>
        <v>1</v>
      </c>
      <c r="G1134" s="2"/>
      <c r="L1134" s="5"/>
      <c r="M1134" s="4">
        <f>M1133-Table13[[#This Row],[Debits]]+Table13[[#This Row],[Income]]</f>
        <v>2805.21</v>
      </c>
      <c r="N1134" t="str">
        <f>IF(AND(Table13[[#This Row],[Category]]="pay",NOT(Table13[[#This Row],[Debits]]=0)),"bad","good")</f>
        <v>good</v>
      </c>
      <c r="O1134" s="5"/>
    </row>
    <row r="1135" spans="6:15" x14ac:dyDescent="0.3">
      <c r="F1135">
        <f>MONTH(Table13[[#This Row],[Date  (DMY)]])</f>
        <v>1</v>
      </c>
      <c r="G1135" s="2"/>
      <c r="L1135" s="5"/>
      <c r="M1135" s="4">
        <f>M1134-Table13[[#This Row],[Debits]]+Table13[[#This Row],[Income]]</f>
        <v>2805.21</v>
      </c>
      <c r="N1135" t="str">
        <f>IF(AND(Table13[[#This Row],[Category]]="pay",NOT(Table13[[#This Row],[Debits]]=0)),"bad","good")</f>
        <v>good</v>
      </c>
      <c r="O1135" s="5"/>
    </row>
    <row r="1136" spans="6:15" x14ac:dyDescent="0.3">
      <c r="F1136">
        <f>MONTH(Table13[[#This Row],[Date  (DMY)]])</f>
        <v>1</v>
      </c>
      <c r="G1136" s="2"/>
      <c r="L1136" s="5"/>
      <c r="M1136" s="4">
        <f>M1135-Table13[[#This Row],[Debits]]+Table13[[#This Row],[Income]]</f>
        <v>2805.21</v>
      </c>
      <c r="N1136" t="str">
        <f>IF(AND(Table13[[#This Row],[Category]]="pay",NOT(Table13[[#This Row],[Debits]]=0)),"bad","good")</f>
        <v>good</v>
      </c>
      <c r="O1136" s="5"/>
    </row>
    <row r="1137" spans="6:15" x14ac:dyDescent="0.3">
      <c r="F1137">
        <f>MONTH(Table13[[#This Row],[Date  (DMY)]])</f>
        <v>1</v>
      </c>
      <c r="G1137" s="2"/>
      <c r="L1137" s="5"/>
      <c r="M1137" s="4">
        <f>M1136-Table13[[#This Row],[Debits]]+Table13[[#This Row],[Income]]</f>
        <v>2805.21</v>
      </c>
      <c r="N1137" t="str">
        <f>IF(AND(Table13[[#This Row],[Category]]="pay",NOT(Table13[[#This Row],[Debits]]=0)),"bad","good")</f>
        <v>good</v>
      </c>
      <c r="O1137" s="5"/>
    </row>
    <row r="1138" spans="6:15" x14ac:dyDescent="0.3">
      <c r="F1138">
        <f>MONTH(Table13[[#This Row],[Date  (DMY)]])</f>
        <v>1</v>
      </c>
      <c r="G1138" s="2"/>
      <c r="L1138" s="5"/>
      <c r="M1138" s="4">
        <f>M1137-Table13[[#This Row],[Debits]]+Table13[[#This Row],[Income]]</f>
        <v>2805.21</v>
      </c>
      <c r="N1138" t="str">
        <f>IF(AND(Table13[[#This Row],[Category]]="pay",NOT(Table13[[#This Row],[Debits]]=0)),"bad","good")</f>
        <v>good</v>
      </c>
      <c r="O1138" s="5"/>
    </row>
    <row r="1139" spans="6:15" x14ac:dyDescent="0.3">
      <c r="F1139">
        <f>MONTH(Table13[[#This Row],[Date  (DMY)]])</f>
        <v>1</v>
      </c>
      <c r="G1139" s="2"/>
      <c r="L1139" s="5"/>
      <c r="M1139" s="4">
        <f>M1138-Table13[[#This Row],[Debits]]+Table13[[#This Row],[Income]]</f>
        <v>2805.21</v>
      </c>
      <c r="N1139" t="str">
        <f>IF(AND(Table13[[#This Row],[Category]]="pay",NOT(Table13[[#This Row],[Debits]]=0)),"bad","good")</f>
        <v>good</v>
      </c>
      <c r="O1139" s="5"/>
    </row>
    <row r="1140" spans="6:15" x14ac:dyDescent="0.3">
      <c r="F1140">
        <f>MONTH(Table13[[#This Row],[Date  (DMY)]])</f>
        <v>1</v>
      </c>
      <c r="G1140" s="2"/>
      <c r="L1140" s="5"/>
      <c r="M1140" s="4">
        <f>M1139-Table13[[#This Row],[Debits]]+Table13[[#This Row],[Income]]</f>
        <v>2805.21</v>
      </c>
      <c r="N1140" t="str">
        <f>IF(AND(Table13[[#This Row],[Category]]="pay",NOT(Table13[[#This Row],[Debits]]=0)),"bad","good")</f>
        <v>good</v>
      </c>
      <c r="O1140" s="5"/>
    </row>
    <row r="1141" spans="6:15" x14ac:dyDescent="0.3">
      <c r="F1141">
        <f>MONTH(Table13[[#This Row],[Date  (DMY)]])</f>
        <v>1</v>
      </c>
      <c r="G1141" s="2"/>
      <c r="L1141" s="5"/>
      <c r="M1141" s="4">
        <f>M1140-Table13[[#This Row],[Debits]]+Table13[[#This Row],[Income]]</f>
        <v>2805.21</v>
      </c>
      <c r="N1141" t="str">
        <f>IF(AND(Table13[[#This Row],[Category]]="pay",NOT(Table13[[#This Row],[Debits]]=0)),"bad","good")</f>
        <v>good</v>
      </c>
      <c r="O1141" s="5"/>
    </row>
    <row r="1142" spans="6:15" x14ac:dyDescent="0.3">
      <c r="F1142">
        <f>MONTH(Table13[[#This Row],[Date  (DMY)]])</f>
        <v>1</v>
      </c>
      <c r="G1142" s="2"/>
      <c r="L1142" s="5"/>
      <c r="M1142" s="4">
        <f>M1141-Table13[[#This Row],[Debits]]+Table13[[#This Row],[Income]]</f>
        <v>2805.21</v>
      </c>
      <c r="N1142" t="str">
        <f>IF(AND(Table13[[#This Row],[Category]]="pay",NOT(Table13[[#This Row],[Debits]]=0)),"bad","good")</f>
        <v>good</v>
      </c>
      <c r="O1142" s="5"/>
    </row>
    <row r="1143" spans="6:15" x14ac:dyDescent="0.3">
      <c r="F1143">
        <f>MONTH(Table13[[#This Row],[Date  (DMY)]])</f>
        <v>1</v>
      </c>
      <c r="G1143" s="2"/>
      <c r="L1143" s="5"/>
      <c r="M1143" s="4">
        <f>M1142-Table13[[#This Row],[Debits]]+Table13[[#This Row],[Income]]</f>
        <v>2805.21</v>
      </c>
      <c r="N1143" t="str">
        <f>IF(AND(Table13[[#This Row],[Category]]="pay",NOT(Table13[[#This Row],[Debits]]=0)),"bad","good")</f>
        <v>good</v>
      </c>
      <c r="O1143" s="5"/>
    </row>
    <row r="1144" spans="6:15" x14ac:dyDescent="0.3">
      <c r="F1144">
        <f>MONTH(Table13[[#This Row],[Date  (DMY)]])</f>
        <v>1</v>
      </c>
      <c r="G1144" s="2"/>
      <c r="L1144" s="5"/>
      <c r="M1144" s="4">
        <f>M1143-Table13[[#This Row],[Debits]]+Table13[[#This Row],[Income]]</f>
        <v>2805.21</v>
      </c>
      <c r="N1144" t="str">
        <f>IF(AND(Table13[[#This Row],[Category]]="pay",NOT(Table13[[#This Row],[Debits]]=0)),"bad","good")</f>
        <v>good</v>
      </c>
      <c r="O1144" s="5"/>
    </row>
    <row r="1145" spans="6:15" x14ac:dyDescent="0.3">
      <c r="F1145">
        <f>MONTH(Table13[[#This Row],[Date  (DMY)]])</f>
        <v>1</v>
      </c>
      <c r="G1145" s="2"/>
      <c r="L1145" s="5"/>
      <c r="M1145" s="4">
        <f>M1144-Table13[[#This Row],[Debits]]+Table13[[#This Row],[Income]]</f>
        <v>2805.21</v>
      </c>
      <c r="N1145" t="str">
        <f>IF(AND(Table13[[#This Row],[Category]]="pay",NOT(Table13[[#This Row],[Debits]]=0)),"bad","good")</f>
        <v>good</v>
      </c>
      <c r="O1145" s="5"/>
    </row>
    <row r="1146" spans="6:15" x14ac:dyDescent="0.3">
      <c r="F1146">
        <f>MONTH(Table13[[#This Row],[Date  (DMY)]])</f>
        <v>1</v>
      </c>
      <c r="G1146" s="2"/>
      <c r="L1146" s="5"/>
      <c r="M1146" s="4">
        <f>M1145-Table13[[#This Row],[Debits]]+Table13[[#This Row],[Income]]</f>
        <v>2805.21</v>
      </c>
      <c r="N1146" t="str">
        <f>IF(AND(Table13[[#This Row],[Category]]="pay",NOT(Table13[[#This Row],[Debits]]=0)),"bad","good")</f>
        <v>good</v>
      </c>
      <c r="O1146" s="5"/>
    </row>
    <row r="1147" spans="6:15" x14ac:dyDescent="0.3">
      <c r="F1147">
        <f>MONTH(Table13[[#This Row],[Date  (DMY)]])</f>
        <v>1</v>
      </c>
      <c r="G1147" s="2"/>
      <c r="L1147" s="5"/>
      <c r="M1147" s="4">
        <f>M1146-Table13[[#This Row],[Debits]]+Table13[[#This Row],[Income]]</f>
        <v>2805.21</v>
      </c>
      <c r="N1147" t="str">
        <f>IF(AND(Table13[[#This Row],[Category]]="pay",NOT(Table13[[#This Row],[Debits]]=0)),"bad","good")</f>
        <v>good</v>
      </c>
      <c r="O1147" s="5"/>
    </row>
    <row r="1148" spans="6:15" x14ac:dyDescent="0.3">
      <c r="F1148">
        <f>MONTH(Table13[[#This Row],[Date  (DMY)]])</f>
        <v>1</v>
      </c>
      <c r="G1148" s="2"/>
      <c r="L1148" s="5"/>
      <c r="M1148" s="4">
        <f>M1147-Table13[[#This Row],[Debits]]+Table13[[#This Row],[Income]]</f>
        <v>2805.21</v>
      </c>
      <c r="N1148" t="str">
        <f>IF(AND(Table13[[#This Row],[Category]]="pay",NOT(Table13[[#This Row],[Debits]]=0)),"bad","good")</f>
        <v>good</v>
      </c>
      <c r="O1148" s="5"/>
    </row>
    <row r="1149" spans="6:15" x14ac:dyDescent="0.3">
      <c r="F1149">
        <f>MONTH(Table13[[#This Row],[Date  (DMY)]])</f>
        <v>1</v>
      </c>
      <c r="G1149" s="2"/>
      <c r="L1149" s="5"/>
      <c r="M1149" s="4">
        <f>M1148-Table13[[#This Row],[Debits]]+Table13[[#This Row],[Income]]</f>
        <v>2805.21</v>
      </c>
      <c r="N1149" t="str">
        <f>IF(AND(Table13[[#This Row],[Category]]="pay",NOT(Table13[[#This Row],[Debits]]=0)),"bad","good")</f>
        <v>good</v>
      </c>
      <c r="O1149" s="5"/>
    </row>
    <row r="1150" spans="6:15" x14ac:dyDescent="0.3">
      <c r="F1150">
        <f>MONTH(Table13[[#This Row],[Date  (DMY)]])</f>
        <v>1</v>
      </c>
      <c r="G1150" s="2"/>
      <c r="L1150" s="5"/>
      <c r="M1150" s="4">
        <f>M1149-Table13[[#This Row],[Debits]]+Table13[[#This Row],[Income]]</f>
        <v>2805.21</v>
      </c>
      <c r="N1150" t="str">
        <f>IF(AND(Table13[[#This Row],[Category]]="pay",NOT(Table13[[#This Row],[Debits]]=0)),"bad","good")</f>
        <v>good</v>
      </c>
      <c r="O1150" s="5"/>
    </row>
    <row r="1151" spans="6:15" x14ac:dyDescent="0.3">
      <c r="F1151">
        <f>MONTH(Table13[[#This Row],[Date  (DMY)]])</f>
        <v>1</v>
      </c>
      <c r="G1151" s="2"/>
      <c r="L1151" s="5"/>
      <c r="M1151" s="4">
        <f>M1150-Table13[[#This Row],[Debits]]+Table13[[#This Row],[Income]]</f>
        <v>2805.21</v>
      </c>
      <c r="N1151" t="str">
        <f>IF(AND(Table13[[#This Row],[Category]]="pay",NOT(Table13[[#This Row],[Debits]]=0)),"bad","good")</f>
        <v>good</v>
      </c>
      <c r="O1151" s="5"/>
    </row>
    <row r="1152" spans="6:15" x14ac:dyDescent="0.3">
      <c r="F1152">
        <f>MONTH(Table13[[#This Row],[Date  (DMY)]])</f>
        <v>1</v>
      </c>
      <c r="G1152" s="2"/>
      <c r="L1152" s="5"/>
      <c r="M1152" s="4">
        <f>M1151-Table13[[#This Row],[Debits]]+Table13[[#This Row],[Income]]</f>
        <v>2805.21</v>
      </c>
      <c r="N1152" t="str">
        <f>IF(AND(Table13[[#This Row],[Category]]="pay",NOT(Table13[[#This Row],[Debits]]=0)),"bad","good")</f>
        <v>good</v>
      </c>
      <c r="O1152" s="5"/>
    </row>
    <row r="1153" spans="6:15" x14ac:dyDescent="0.3">
      <c r="F1153">
        <f>MONTH(Table13[[#This Row],[Date  (DMY)]])</f>
        <v>1</v>
      </c>
      <c r="G1153" s="2"/>
      <c r="L1153" s="5"/>
      <c r="M1153" s="4">
        <f>M1152-Table13[[#This Row],[Debits]]+Table13[[#This Row],[Income]]</f>
        <v>2805.21</v>
      </c>
      <c r="N1153" t="str">
        <f>IF(AND(Table13[[#This Row],[Category]]="pay",NOT(Table13[[#This Row],[Debits]]=0)),"bad","good")</f>
        <v>good</v>
      </c>
      <c r="O1153" s="5"/>
    </row>
    <row r="1154" spans="6:15" x14ac:dyDescent="0.3">
      <c r="F1154">
        <f>MONTH(Table13[[#This Row],[Date  (DMY)]])</f>
        <v>1</v>
      </c>
      <c r="G1154" s="2"/>
      <c r="L1154" s="5"/>
      <c r="M1154" s="4">
        <f>M1153-Table13[[#This Row],[Debits]]+Table13[[#This Row],[Income]]</f>
        <v>2805.21</v>
      </c>
      <c r="N1154" t="str">
        <f>IF(AND(Table13[[#This Row],[Category]]="pay",NOT(Table13[[#This Row],[Debits]]=0)),"bad","good")</f>
        <v>good</v>
      </c>
      <c r="O1154" s="5"/>
    </row>
    <row r="1155" spans="6:15" x14ac:dyDescent="0.3">
      <c r="F1155">
        <f>MONTH(Table13[[#This Row],[Date  (DMY)]])</f>
        <v>1</v>
      </c>
      <c r="G1155" s="2"/>
      <c r="L1155" s="5"/>
      <c r="M1155" s="4">
        <f>M1154-Table13[[#This Row],[Debits]]+Table13[[#This Row],[Income]]</f>
        <v>2805.21</v>
      </c>
      <c r="N1155" t="str">
        <f>IF(AND(Table13[[#This Row],[Category]]="pay",NOT(Table13[[#This Row],[Debits]]=0)),"bad","good")</f>
        <v>good</v>
      </c>
      <c r="O1155" s="5"/>
    </row>
    <row r="1156" spans="6:15" x14ac:dyDescent="0.3">
      <c r="F1156">
        <f>MONTH(Table13[[#This Row],[Date  (DMY)]])</f>
        <v>1</v>
      </c>
      <c r="G1156" s="2"/>
      <c r="L1156" s="5"/>
      <c r="M1156" s="4">
        <f>M1155-Table13[[#This Row],[Debits]]+Table13[[#This Row],[Income]]</f>
        <v>2805.21</v>
      </c>
      <c r="N1156" t="str">
        <f>IF(AND(Table13[[#This Row],[Category]]="pay",NOT(Table13[[#This Row],[Debits]]=0)),"bad","good")</f>
        <v>good</v>
      </c>
      <c r="O1156" s="5"/>
    </row>
    <row r="1157" spans="6:15" x14ac:dyDescent="0.3">
      <c r="F1157">
        <f>MONTH(Table13[[#This Row],[Date  (DMY)]])</f>
        <v>1</v>
      </c>
      <c r="G1157" s="2"/>
      <c r="L1157" s="5"/>
      <c r="M1157" s="4">
        <f>M1156-Table13[[#This Row],[Debits]]+Table13[[#This Row],[Income]]</f>
        <v>2805.21</v>
      </c>
      <c r="N1157" t="str">
        <f>IF(AND(Table13[[#This Row],[Category]]="pay",NOT(Table13[[#This Row],[Debits]]=0)),"bad","good")</f>
        <v>good</v>
      </c>
      <c r="O1157" s="5"/>
    </row>
    <row r="1158" spans="6:15" x14ac:dyDescent="0.3">
      <c r="F1158">
        <f>MONTH(Table13[[#This Row],[Date  (DMY)]])</f>
        <v>1</v>
      </c>
      <c r="G1158" s="2"/>
      <c r="L1158" s="5"/>
      <c r="M1158" s="4">
        <f>M1157-Table13[[#This Row],[Debits]]+Table13[[#This Row],[Income]]</f>
        <v>2805.21</v>
      </c>
      <c r="N1158" t="str">
        <f>IF(AND(Table13[[#This Row],[Category]]="pay",NOT(Table13[[#This Row],[Debits]]=0)),"bad","good")</f>
        <v>good</v>
      </c>
      <c r="O1158" s="5"/>
    </row>
    <row r="1159" spans="6:15" x14ac:dyDescent="0.3">
      <c r="F1159">
        <f>MONTH(Table13[[#This Row],[Date  (DMY)]])</f>
        <v>1</v>
      </c>
      <c r="G1159" s="2"/>
      <c r="L1159" s="5"/>
      <c r="M1159" s="4">
        <f>M1158-Table13[[#This Row],[Debits]]+Table13[[#This Row],[Income]]</f>
        <v>2805.21</v>
      </c>
      <c r="N1159" t="str">
        <f>IF(AND(Table13[[#This Row],[Category]]="pay",NOT(Table13[[#This Row],[Debits]]=0)),"bad","good")</f>
        <v>good</v>
      </c>
      <c r="O1159" s="5"/>
    </row>
    <row r="1160" spans="6:15" x14ac:dyDescent="0.3">
      <c r="F1160">
        <f>MONTH(Table13[[#This Row],[Date  (DMY)]])</f>
        <v>1</v>
      </c>
      <c r="G1160" s="2"/>
      <c r="L1160" s="5"/>
      <c r="M1160" s="4">
        <f>M1159-Table13[[#This Row],[Debits]]+Table13[[#This Row],[Income]]</f>
        <v>2805.21</v>
      </c>
      <c r="N1160" t="str">
        <f>IF(AND(Table13[[#This Row],[Category]]="pay",NOT(Table13[[#This Row],[Debits]]=0)),"bad","good")</f>
        <v>good</v>
      </c>
      <c r="O1160" s="5"/>
    </row>
    <row r="1161" spans="6:15" x14ac:dyDescent="0.3">
      <c r="F1161">
        <f>MONTH(Table13[[#This Row],[Date  (DMY)]])</f>
        <v>1</v>
      </c>
      <c r="G1161" s="2"/>
      <c r="L1161" s="5"/>
      <c r="M1161" s="4">
        <f>M1160-Table13[[#This Row],[Debits]]+Table13[[#This Row],[Income]]</f>
        <v>2805.21</v>
      </c>
      <c r="N1161" t="str">
        <f>IF(AND(Table13[[#This Row],[Category]]="pay",NOT(Table13[[#This Row],[Debits]]=0)),"bad","good")</f>
        <v>good</v>
      </c>
      <c r="O1161" s="5"/>
    </row>
    <row r="1162" spans="6:15" x14ac:dyDescent="0.3">
      <c r="F1162">
        <f>MONTH(Table13[[#This Row],[Date  (DMY)]])</f>
        <v>1</v>
      </c>
      <c r="G1162" s="2"/>
      <c r="L1162" s="5"/>
      <c r="M1162" s="4">
        <f>M1161-Table13[[#This Row],[Debits]]+Table13[[#This Row],[Income]]</f>
        <v>2805.21</v>
      </c>
      <c r="N1162" t="str">
        <f>IF(AND(Table13[[#This Row],[Category]]="pay",NOT(Table13[[#This Row],[Debits]]=0)),"bad","good")</f>
        <v>good</v>
      </c>
      <c r="O1162" s="5"/>
    </row>
    <row r="1163" spans="6:15" x14ac:dyDescent="0.3">
      <c r="F1163">
        <f>MONTH(Table13[[#This Row],[Date  (DMY)]])</f>
        <v>1</v>
      </c>
      <c r="G1163" s="2"/>
      <c r="L1163" s="5"/>
      <c r="M1163" s="4">
        <f>M1162-Table13[[#This Row],[Debits]]+Table13[[#This Row],[Income]]</f>
        <v>2805.21</v>
      </c>
      <c r="N1163" t="str">
        <f>IF(AND(Table13[[#This Row],[Category]]="pay",NOT(Table13[[#This Row],[Debits]]=0)),"bad","good")</f>
        <v>good</v>
      </c>
      <c r="O1163" s="5"/>
    </row>
    <row r="1164" spans="6:15" x14ac:dyDescent="0.3">
      <c r="F1164">
        <f>MONTH(Table13[[#This Row],[Date  (DMY)]])</f>
        <v>1</v>
      </c>
      <c r="G1164" s="2"/>
      <c r="L1164" s="5"/>
      <c r="M1164" s="4">
        <f>M1163-Table13[[#This Row],[Debits]]+Table13[[#This Row],[Income]]</f>
        <v>2805.21</v>
      </c>
      <c r="N1164" t="str">
        <f>IF(AND(Table13[[#This Row],[Category]]="pay",NOT(Table13[[#This Row],[Debits]]=0)),"bad","good")</f>
        <v>good</v>
      </c>
      <c r="O1164" s="5"/>
    </row>
    <row r="1165" spans="6:15" x14ac:dyDescent="0.3">
      <c r="F1165">
        <f>MONTH(Table13[[#This Row],[Date  (DMY)]])</f>
        <v>1</v>
      </c>
      <c r="G1165" s="2"/>
      <c r="L1165" s="5"/>
      <c r="M1165" s="4">
        <f>M1164-Table13[[#This Row],[Debits]]+Table13[[#This Row],[Income]]</f>
        <v>2805.21</v>
      </c>
      <c r="N1165" t="str">
        <f>IF(AND(Table13[[#This Row],[Category]]="pay",NOT(Table13[[#This Row],[Debits]]=0)),"bad","good")</f>
        <v>good</v>
      </c>
      <c r="O1165" s="5"/>
    </row>
    <row r="1166" spans="6:15" x14ac:dyDescent="0.3">
      <c r="F1166">
        <f>MONTH(Table13[[#This Row],[Date  (DMY)]])</f>
        <v>1</v>
      </c>
      <c r="G1166" s="2"/>
      <c r="L1166" s="5"/>
      <c r="M1166" s="4">
        <f>M1165-Table13[[#This Row],[Debits]]+Table13[[#This Row],[Income]]</f>
        <v>2805.21</v>
      </c>
      <c r="N1166" t="str">
        <f>IF(AND(Table13[[#This Row],[Category]]="pay",NOT(Table13[[#This Row],[Debits]]=0)),"bad","good")</f>
        <v>good</v>
      </c>
      <c r="O1166" s="5"/>
    </row>
    <row r="1167" spans="6:15" x14ac:dyDescent="0.3">
      <c r="F1167">
        <f>MONTH(Table13[[#This Row],[Date  (DMY)]])</f>
        <v>1</v>
      </c>
      <c r="G1167" s="2"/>
      <c r="L1167" s="5"/>
      <c r="M1167" s="4">
        <f>M1166-Table13[[#This Row],[Debits]]+Table13[[#This Row],[Income]]</f>
        <v>2805.21</v>
      </c>
      <c r="N1167" t="str">
        <f>IF(AND(Table13[[#This Row],[Category]]="pay",NOT(Table13[[#This Row],[Debits]]=0)),"bad","good")</f>
        <v>good</v>
      </c>
      <c r="O1167" s="5"/>
    </row>
    <row r="1168" spans="6:15" x14ac:dyDescent="0.3">
      <c r="F1168">
        <f>MONTH(Table13[[#This Row],[Date  (DMY)]])</f>
        <v>1</v>
      </c>
      <c r="G1168" s="2"/>
      <c r="L1168" s="5"/>
      <c r="M1168" s="4">
        <f>M1167-Table13[[#This Row],[Debits]]+Table13[[#This Row],[Income]]</f>
        <v>2805.21</v>
      </c>
      <c r="N1168" t="str">
        <f>IF(AND(Table13[[#This Row],[Category]]="pay",NOT(Table13[[#This Row],[Debits]]=0)),"bad","good")</f>
        <v>good</v>
      </c>
      <c r="O1168" s="5"/>
    </row>
    <row r="1169" spans="6:15" x14ac:dyDescent="0.3">
      <c r="F1169">
        <f>MONTH(Table13[[#This Row],[Date  (DMY)]])</f>
        <v>1</v>
      </c>
      <c r="G1169" s="2"/>
      <c r="L1169" s="5"/>
      <c r="M1169" s="4">
        <f>M1168-Table13[[#This Row],[Debits]]+Table13[[#This Row],[Income]]</f>
        <v>2805.21</v>
      </c>
      <c r="N1169" t="str">
        <f>IF(AND(Table13[[#This Row],[Category]]="pay",NOT(Table13[[#This Row],[Debits]]=0)),"bad","good")</f>
        <v>good</v>
      </c>
      <c r="O1169" s="5"/>
    </row>
    <row r="1170" spans="6:15" x14ac:dyDescent="0.3">
      <c r="F1170">
        <f>MONTH(Table13[[#This Row],[Date  (DMY)]])</f>
        <v>1</v>
      </c>
      <c r="G1170" s="2"/>
      <c r="L1170" s="5"/>
      <c r="M1170" s="4">
        <f>M1169-Table13[[#This Row],[Debits]]+Table13[[#This Row],[Income]]</f>
        <v>2805.21</v>
      </c>
      <c r="N1170" t="str">
        <f>IF(AND(Table13[[#This Row],[Category]]="pay",NOT(Table13[[#This Row],[Debits]]=0)),"bad","good")</f>
        <v>good</v>
      </c>
      <c r="O1170" s="5"/>
    </row>
    <row r="1171" spans="6:15" x14ac:dyDescent="0.3">
      <c r="F1171">
        <f>MONTH(Table13[[#This Row],[Date  (DMY)]])</f>
        <v>1</v>
      </c>
      <c r="G1171" s="2"/>
      <c r="L1171" s="5"/>
      <c r="M1171" s="4">
        <f>M1170-Table13[[#This Row],[Debits]]+Table13[[#This Row],[Income]]</f>
        <v>2805.21</v>
      </c>
      <c r="N1171" t="str">
        <f>IF(AND(Table13[[#This Row],[Category]]="pay",NOT(Table13[[#This Row],[Debits]]=0)),"bad","good")</f>
        <v>good</v>
      </c>
      <c r="O1171" s="5"/>
    </row>
    <row r="1172" spans="6:15" x14ac:dyDescent="0.3">
      <c r="F1172">
        <f>MONTH(Table13[[#This Row],[Date  (DMY)]])</f>
        <v>1</v>
      </c>
      <c r="G1172" s="2"/>
      <c r="L1172" s="5"/>
      <c r="M1172" s="4">
        <f>M1171-Table13[[#This Row],[Debits]]+Table13[[#This Row],[Income]]</f>
        <v>2805.21</v>
      </c>
      <c r="N1172" t="str">
        <f>IF(AND(Table13[[#This Row],[Category]]="pay",NOT(Table13[[#This Row],[Debits]]=0)),"bad","good")</f>
        <v>good</v>
      </c>
      <c r="O1172" s="5"/>
    </row>
    <row r="1173" spans="6:15" x14ac:dyDescent="0.3">
      <c r="F1173">
        <f>MONTH(Table13[[#This Row],[Date  (DMY)]])</f>
        <v>1</v>
      </c>
      <c r="G1173" s="2"/>
      <c r="L1173" s="5"/>
      <c r="M1173" s="4">
        <f>M1172-Table13[[#This Row],[Debits]]+Table13[[#This Row],[Income]]</f>
        <v>2805.21</v>
      </c>
      <c r="N1173" t="str">
        <f>IF(AND(Table13[[#This Row],[Category]]="pay",NOT(Table13[[#This Row],[Debits]]=0)),"bad","good")</f>
        <v>good</v>
      </c>
      <c r="O1173" s="5"/>
    </row>
    <row r="1174" spans="6:15" x14ac:dyDescent="0.3">
      <c r="F1174">
        <f>MONTH(Table13[[#This Row],[Date  (DMY)]])</f>
        <v>1</v>
      </c>
      <c r="G1174" s="2"/>
      <c r="L1174" s="5"/>
      <c r="M1174" s="4">
        <f>M1173-Table13[[#This Row],[Debits]]+Table13[[#This Row],[Income]]</f>
        <v>2805.21</v>
      </c>
      <c r="N1174" t="str">
        <f>IF(AND(Table13[[#This Row],[Category]]="pay",NOT(Table13[[#This Row],[Debits]]=0)),"bad","good")</f>
        <v>good</v>
      </c>
      <c r="O1174" s="5"/>
    </row>
    <row r="1175" spans="6:15" x14ac:dyDescent="0.3">
      <c r="F1175">
        <f>MONTH(Table13[[#This Row],[Date  (DMY)]])</f>
        <v>1</v>
      </c>
      <c r="G1175" s="2"/>
      <c r="L1175" s="5"/>
      <c r="M1175" s="4">
        <f>M1174-Table13[[#This Row],[Debits]]+Table13[[#This Row],[Income]]</f>
        <v>2805.21</v>
      </c>
      <c r="N1175" t="str">
        <f>IF(AND(Table13[[#This Row],[Category]]="pay",NOT(Table13[[#This Row],[Debits]]=0)),"bad","good")</f>
        <v>good</v>
      </c>
      <c r="O1175" s="5"/>
    </row>
    <row r="1176" spans="6:15" x14ac:dyDescent="0.3">
      <c r="F1176">
        <f>MONTH(Table13[[#This Row],[Date  (DMY)]])</f>
        <v>1</v>
      </c>
      <c r="G1176" s="2"/>
      <c r="L1176" s="5"/>
      <c r="M1176" s="4">
        <f>M1175-Table13[[#This Row],[Debits]]+Table13[[#This Row],[Income]]</f>
        <v>2805.21</v>
      </c>
      <c r="N1176" t="str">
        <f>IF(AND(Table13[[#This Row],[Category]]="pay",NOT(Table13[[#This Row],[Debits]]=0)),"bad","good")</f>
        <v>good</v>
      </c>
      <c r="O1176" s="5"/>
    </row>
    <row r="1177" spans="6:15" x14ac:dyDescent="0.3">
      <c r="F1177">
        <f>MONTH(Table13[[#This Row],[Date  (DMY)]])</f>
        <v>1</v>
      </c>
      <c r="G1177" s="2"/>
      <c r="L1177" s="5"/>
      <c r="M1177" s="4">
        <f>M1176-Table13[[#This Row],[Debits]]+Table13[[#This Row],[Income]]</f>
        <v>2805.21</v>
      </c>
      <c r="N1177" t="str">
        <f>IF(AND(Table13[[#This Row],[Category]]="pay",NOT(Table13[[#This Row],[Debits]]=0)),"bad","good")</f>
        <v>good</v>
      </c>
      <c r="O1177" s="5"/>
    </row>
    <row r="1178" spans="6:15" x14ac:dyDescent="0.3">
      <c r="F1178">
        <f>MONTH(Table13[[#This Row],[Date  (DMY)]])</f>
        <v>1</v>
      </c>
      <c r="G1178" s="2"/>
      <c r="L1178" s="5"/>
      <c r="M1178" s="4">
        <f>M1177-Table13[[#This Row],[Debits]]+Table13[[#This Row],[Income]]</f>
        <v>2805.21</v>
      </c>
      <c r="N1178" t="str">
        <f>IF(AND(Table13[[#This Row],[Category]]="pay",NOT(Table13[[#This Row],[Debits]]=0)),"bad","good")</f>
        <v>good</v>
      </c>
      <c r="O1178" s="5"/>
    </row>
    <row r="1179" spans="6:15" x14ac:dyDescent="0.3">
      <c r="F1179">
        <f>MONTH(Table13[[#This Row],[Date  (DMY)]])</f>
        <v>1</v>
      </c>
      <c r="G1179" s="2"/>
      <c r="L1179" s="5"/>
      <c r="M1179" s="4">
        <f>M1178-Table13[[#This Row],[Debits]]+Table13[[#This Row],[Income]]</f>
        <v>2805.21</v>
      </c>
      <c r="N1179" t="str">
        <f>IF(AND(Table13[[#This Row],[Category]]="pay",NOT(Table13[[#This Row],[Debits]]=0)),"bad","good")</f>
        <v>good</v>
      </c>
      <c r="O1179" s="5"/>
    </row>
    <row r="1180" spans="6:15" x14ac:dyDescent="0.3">
      <c r="F1180">
        <f>MONTH(Table13[[#This Row],[Date  (DMY)]])</f>
        <v>1</v>
      </c>
      <c r="G1180" s="2"/>
      <c r="L1180" s="5"/>
      <c r="M1180" s="4">
        <f>M1179-Table13[[#This Row],[Debits]]+Table13[[#This Row],[Income]]</f>
        <v>2805.21</v>
      </c>
      <c r="N1180" t="str">
        <f>IF(AND(Table13[[#This Row],[Category]]="pay",NOT(Table13[[#This Row],[Debits]]=0)),"bad","good")</f>
        <v>good</v>
      </c>
      <c r="O1180" s="5"/>
    </row>
    <row r="1181" spans="6:15" x14ac:dyDescent="0.3">
      <c r="F1181">
        <f>MONTH(Table13[[#This Row],[Date  (DMY)]])</f>
        <v>1</v>
      </c>
      <c r="G1181" s="2"/>
      <c r="L1181" s="5"/>
      <c r="M1181" s="4">
        <f>M1180-Table13[[#This Row],[Debits]]+Table13[[#This Row],[Income]]</f>
        <v>2805.21</v>
      </c>
      <c r="N1181" t="str">
        <f>IF(AND(Table13[[#This Row],[Category]]="pay",NOT(Table13[[#This Row],[Debits]]=0)),"bad","good")</f>
        <v>good</v>
      </c>
      <c r="O1181" s="5"/>
    </row>
    <row r="1182" spans="6:15" x14ac:dyDescent="0.3">
      <c r="F1182">
        <f>MONTH(Table13[[#This Row],[Date  (DMY)]])</f>
        <v>1</v>
      </c>
      <c r="G1182" s="2"/>
      <c r="L1182" s="5"/>
      <c r="M1182" s="4">
        <f>M1181-Table13[[#This Row],[Debits]]+Table13[[#This Row],[Income]]</f>
        <v>2805.21</v>
      </c>
      <c r="N1182" t="str">
        <f>IF(AND(Table13[[#This Row],[Category]]="pay",NOT(Table13[[#This Row],[Debits]]=0)),"bad","good")</f>
        <v>good</v>
      </c>
      <c r="O1182" s="5"/>
    </row>
    <row r="1183" spans="6:15" x14ac:dyDescent="0.3">
      <c r="F1183">
        <f>MONTH(Table13[[#This Row],[Date  (DMY)]])</f>
        <v>1</v>
      </c>
      <c r="G1183" s="2"/>
      <c r="L1183" s="5"/>
      <c r="M1183" s="4">
        <f>M1182-Table13[[#This Row],[Debits]]+Table13[[#This Row],[Income]]</f>
        <v>2805.21</v>
      </c>
      <c r="N1183" t="str">
        <f>IF(AND(Table13[[#This Row],[Category]]="pay",NOT(Table13[[#This Row],[Debits]]=0)),"bad","good")</f>
        <v>good</v>
      </c>
      <c r="O1183" s="5"/>
    </row>
    <row r="1184" spans="6:15" x14ac:dyDescent="0.3">
      <c r="F1184">
        <f>MONTH(Table13[[#This Row],[Date  (DMY)]])</f>
        <v>1</v>
      </c>
      <c r="G1184" s="2"/>
      <c r="L1184" s="5"/>
      <c r="M1184" s="4">
        <f>M1183-Table13[[#This Row],[Debits]]+Table13[[#This Row],[Income]]</f>
        <v>2805.21</v>
      </c>
      <c r="N1184" t="str">
        <f>IF(AND(Table13[[#This Row],[Category]]="pay",NOT(Table13[[#This Row],[Debits]]=0)),"bad","good")</f>
        <v>good</v>
      </c>
      <c r="O1184" s="5"/>
    </row>
    <row r="1185" spans="6:15" x14ac:dyDescent="0.3">
      <c r="F1185">
        <f>MONTH(Table13[[#This Row],[Date  (DMY)]])</f>
        <v>1</v>
      </c>
      <c r="G1185" s="2"/>
      <c r="L1185" s="5"/>
      <c r="M1185" s="4">
        <f>M1184-Table13[[#This Row],[Debits]]+Table13[[#This Row],[Income]]</f>
        <v>2805.21</v>
      </c>
      <c r="N1185" t="str">
        <f>IF(AND(Table13[[#This Row],[Category]]="pay",NOT(Table13[[#This Row],[Debits]]=0)),"bad","good")</f>
        <v>good</v>
      </c>
      <c r="O1185" s="5"/>
    </row>
    <row r="1186" spans="6:15" x14ac:dyDescent="0.3">
      <c r="F1186">
        <f>MONTH(Table13[[#This Row],[Date  (DMY)]])</f>
        <v>1</v>
      </c>
      <c r="G1186" s="2"/>
      <c r="L1186" s="5"/>
      <c r="M1186" s="4">
        <f>M1185-Table13[[#This Row],[Debits]]+Table13[[#This Row],[Income]]</f>
        <v>2805.21</v>
      </c>
      <c r="N1186" t="str">
        <f>IF(AND(Table13[[#This Row],[Category]]="pay",NOT(Table13[[#This Row],[Debits]]=0)),"bad","good")</f>
        <v>good</v>
      </c>
      <c r="O1186" s="5"/>
    </row>
    <row r="1187" spans="6:15" x14ac:dyDescent="0.3">
      <c r="F1187">
        <f>MONTH(Table13[[#This Row],[Date  (DMY)]])</f>
        <v>1</v>
      </c>
      <c r="G1187" s="2"/>
      <c r="L1187" s="5"/>
      <c r="M1187" s="4">
        <f>M1186-Table13[[#This Row],[Debits]]+Table13[[#This Row],[Income]]</f>
        <v>2805.21</v>
      </c>
      <c r="N1187" t="str">
        <f>IF(AND(Table13[[#This Row],[Category]]="pay",NOT(Table13[[#This Row],[Debits]]=0)),"bad","good")</f>
        <v>good</v>
      </c>
      <c r="O1187" s="5"/>
    </row>
    <row r="1188" spans="6:15" x14ac:dyDescent="0.3">
      <c r="F1188">
        <f>MONTH(Table13[[#This Row],[Date  (DMY)]])</f>
        <v>1</v>
      </c>
      <c r="G1188" s="2"/>
      <c r="L1188" s="5"/>
      <c r="M1188" s="4">
        <f>M1187-Table13[[#This Row],[Debits]]+Table13[[#This Row],[Income]]</f>
        <v>2805.21</v>
      </c>
      <c r="N1188" t="str">
        <f>IF(AND(Table13[[#This Row],[Category]]="pay",NOT(Table13[[#This Row],[Debits]]=0)),"bad","good")</f>
        <v>good</v>
      </c>
      <c r="O1188" s="5"/>
    </row>
    <row r="1189" spans="6:15" x14ac:dyDescent="0.3">
      <c r="F1189">
        <f>MONTH(Table13[[#This Row],[Date  (DMY)]])</f>
        <v>1</v>
      </c>
      <c r="G1189" s="2"/>
      <c r="L1189" s="5"/>
      <c r="M1189" s="4">
        <f>M1188-Table13[[#This Row],[Debits]]+Table13[[#This Row],[Income]]</f>
        <v>2805.21</v>
      </c>
      <c r="N1189" t="str">
        <f>IF(AND(Table13[[#This Row],[Category]]="pay",NOT(Table13[[#This Row],[Debits]]=0)),"bad","good")</f>
        <v>good</v>
      </c>
      <c r="O1189" s="5"/>
    </row>
    <row r="1190" spans="6:15" x14ac:dyDescent="0.3">
      <c r="F1190">
        <f>MONTH(Table13[[#This Row],[Date  (DMY)]])</f>
        <v>1</v>
      </c>
      <c r="G1190" s="2"/>
      <c r="L1190" s="5"/>
      <c r="M1190" s="4">
        <f>M1189-Table13[[#This Row],[Debits]]+Table13[[#This Row],[Income]]</f>
        <v>2805.21</v>
      </c>
      <c r="N1190" t="str">
        <f>IF(AND(Table13[[#This Row],[Category]]="pay",NOT(Table13[[#This Row],[Debits]]=0)),"bad","good")</f>
        <v>good</v>
      </c>
      <c r="O1190" s="5"/>
    </row>
    <row r="1191" spans="6:15" x14ac:dyDescent="0.3">
      <c r="F1191">
        <f>MONTH(Table13[[#This Row],[Date  (DMY)]])</f>
        <v>1</v>
      </c>
      <c r="G1191" s="2"/>
      <c r="L1191" s="5"/>
      <c r="M1191" s="4">
        <f>M1190-Table13[[#This Row],[Debits]]+Table13[[#This Row],[Income]]</f>
        <v>2805.21</v>
      </c>
      <c r="N1191" t="str">
        <f>IF(AND(Table13[[#This Row],[Category]]="pay",NOT(Table13[[#This Row],[Debits]]=0)),"bad","good")</f>
        <v>good</v>
      </c>
      <c r="O1191" s="5"/>
    </row>
    <row r="1192" spans="6:15" x14ac:dyDescent="0.3">
      <c r="F1192">
        <f>MONTH(Table13[[#This Row],[Date  (DMY)]])</f>
        <v>1</v>
      </c>
      <c r="G1192" s="2"/>
      <c r="L1192" s="5"/>
      <c r="M1192" s="4">
        <f>M1191-Table13[[#This Row],[Debits]]+Table13[[#This Row],[Income]]</f>
        <v>2805.21</v>
      </c>
      <c r="N1192" t="str">
        <f>IF(AND(Table13[[#This Row],[Category]]="pay",NOT(Table13[[#This Row],[Debits]]=0)),"bad","good")</f>
        <v>good</v>
      </c>
      <c r="O1192" s="5"/>
    </row>
    <row r="1193" spans="6:15" x14ac:dyDescent="0.3">
      <c r="F1193">
        <f>MONTH(Table13[[#This Row],[Date  (DMY)]])</f>
        <v>1</v>
      </c>
      <c r="G1193" s="2"/>
      <c r="L1193" s="5"/>
      <c r="M1193" s="4">
        <f>M1192-Table13[[#This Row],[Debits]]+Table13[[#This Row],[Income]]</f>
        <v>2805.21</v>
      </c>
      <c r="N1193" t="str">
        <f>IF(AND(Table13[[#This Row],[Category]]="pay",NOT(Table13[[#This Row],[Debits]]=0)),"bad","good")</f>
        <v>good</v>
      </c>
      <c r="O1193" s="5"/>
    </row>
    <row r="1194" spans="6:15" x14ac:dyDescent="0.3">
      <c r="F1194">
        <f>MONTH(Table13[[#This Row],[Date  (DMY)]])</f>
        <v>1</v>
      </c>
      <c r="G1194" s="2"/>
      <c r="L1194" s="5"/>
      <c r="M1194" s="4">
        <f>M1193-Table13[[#This Row],[Debits]]+Table13[[#This Row],[Income]]</f>
        <v>2805.21</v>
      </c>
      <c r="N1194" t="str">
        <f>IF(AND(Table13[[#This Row],[Category]]="pay",NOT(Table13[[#This Row],[Debits]]=0)),"bad","good")</f>
        <v>good</v>
      </c>
      <c r="O1194" s="5"/>
    </row>
    <row r="1195" spans="6:15" x14ac:dyDescent="0.3">
      <c r="F1195">
        <f>MONTH(Table13[[#This Row],[Date  (DMY)]])</f>
        <v>1</v>
      </c>
      <c r="G1195" s="2"/>
      <c r="L1195" s="5"/>
      <c r="M1195" s="4">
        <f>M1194-Table13[[#This Row],[Debits]]+Table13[[#This Row],[Income]]</f>
        <v>2805.21</v>
      </c>
      <c r="N1195" t="str">
        <f>IF(AND(Table13[[#This Row],[Category]]="pay",NOT(Table13[[#This Row],[Debits]]=0)),"bad","good")</f>
        <v>good</v>
      </c>
      <c r="O1195" s="5"/>
    </row>
    <row r="1196" spans="6:15" x14ac:dyDescent="0.3">
      <c r="F1196">
        <f>MONTH(Table13[[#This Row],[Date  (DMY)]])</f>
        <v>1</v>
      </c>
      <c r="G1196" s="2"/>
      <c r="L1196" s="5"/>
      <c r="M1196" s="4">
        <f>M1195-Table13[[#This Row],[Debits]]+Table13[[#This Row],[Income]]</f>
        <v>2805.21</v>
      </c>
      <c r="N1196" t="str">
        <f>IF(AND(Table13[[#This Row],[Category]]="pay",NOT(Table13[[#This Row],[Debits]]=0)),"bad","good")</f>
        <v>good</v>
      </c>
      <c r="O1196" s="5"/>
    </row>
    <row r="1197" spans="6:15" x14ac:dyDescent="0.3">
      <c r="F1197">
        <f>MONTH(Table13[[#This Row],[Date  (DMY)]])</f>
        <v>1</v>
      </c>
      <c r="G1197" s="2"/>
      <c r="L1197" s="5"/>
      <c r="M1197" s="4">
        <f>M1196-Table13[[#This Row],[Debits]]+Table13[[#This Row],[Income]]</f>
        <v>2805.21</v>
      </c>
      <c r="N1197" t="str">
        <f>IF(AND(Table13[[#This Row],[Category]]="pay",NOT(Table13[[#This Row],[Debits]]=0)),"bad","good")</f>
        <v>good</v>
      </c>
      <c r="O1197" s="5"/>
    </row>
    <row r="1198" spans="6:15" x14ac:dyDescent="0.3">
      <c r="F1198">
        <f>MONTH(Table13[[#This Row],[Date  (DMY)]])</f>
        <v>1</v>
      </c>
      <c r="G1198" s="2"/>
      <c r="L1198" s="5"/>
      <c r="M1198" s="4">
        <f>M1197-Table13[[#This Row],[Debits]]+Table13[[#This Row],[Income]]</f>
        <v>2805.21</v>
      </c>
      <c r="N1198" t="str">
        <f>IF(AND(Table13[[#This Row],[Category]]="pay",NOT(Table13[[#This Row],[Debits]]=0)),"bad","good")</f>
        <v>good</v>
      </c>
      <c r="O1198" s="5"/>
    </row>
    <row r="1199" spans="6:15" x14ac:dyDescent="0.3">
      <c r="F1199">
        <f>MONTH(Table13[[#This Row],[Date  (DMY)]])</f>
        <v>1</v>
      </c>
      <c r="G1199" s="2"/>
      <c r="L1199" s="5"/>
      <c r="M1199" s="4">
        <f>M1198-Table13[[#This Row],[Debits]]+Table13[[#This Row],[Income]]</f>
        <v>2805.21</v>
      </c>
      <c r="N1199" t="str">
        <f>IF(AND(Table13[[#This Row],[Category]]="pay",NOT(Table13[[#This Row],[Debits]]=0)),"bad","good")</f>
        <v>good</v>
      </c>
      <c r="O1199" s="5"/>
    </row>
    <row r="1200" spans="6:15" x14ac:dyDescent="0.3">
      <c r="F1200">
        <f>MONTH(Table13[[#This Row],[Date  (DMY)]])</f>
        <v>1</v>
      </c>
      <c r="G1200" s="2"/>
      <c r="L1200" s="5"/>
      <c r="M1200" s="4">
        <f>M1199-Table13[[#This Row],[Debits]]+Table13[[#This Row],[Income]]</f>
        <v>2805.21</v>
      </c>
      <c r="N1200" t="str">
        <f>IF(AND(Table13[[#This Row],[Category]]="pay",NOT(Table13[[#This Row],[Debits]]=0)),"bad","good")</f>
        <v>good</v>
      </c>
      <c r="O1200" s="5"/>
    </row>
    <row r="1201" spans="6:15" x14ac:dyDescent="0.3">
      <c r="F1201">
        <f>MONTH(Table13[[#This Row],[Date  (DMY)]])</f>
        <v>1</v>
      </c>
      <c r="G1201" s="2"/>
      <c r="L1201" s="5"/>
      <c r="M1201" s="4">
        <f>M1200-Table13[[#This Row],[Debits]]+Table13[[#This Row],[Income]]</f>
        <v>2805.21</v>
      </c>
      <c r="N1201" t="str">
        <f>IF(AND(Table13[[#This Row],[Category]]="pay",NOT(Table13[[#This Row],[Debits]]=0)),"bad","good")</f>
        <v>good</v>
      </c>
      <c r="O1201" s="5"/>
    </row>
    <row r="1202" spans="6:15" x14ac:dyDescent="0.3">
      <c r="F1202">
        <f>MONTH(Table13[[#This Row],[Date  (DMY)]])</f>
        <v>1</v>
      </c>
      <c r="G1202" s="2"/>
      <c r="L1202" s="5"/>
      <c r="M1202" s="4">
        <f>M1201-Table13[[#This Row],[Debits]]+Table13[[#This Row],[Income]]</f>
        <v>2805.21</v>
      </c>
      <c r="N1202" t="str">
        <f>IF(AND(Table13[[#This Row],[Category]]="pay",NOT(Table13[[#This Row],[Debits]]=0)),"bad","good")</f>
        <v>good</v>
      </c>
      <c r="O1202" s="5"/>
    </row>
    <row r="1203" spans="6:15" x14ac:dyDescent="0.3">
      <c r="F1203">
        <f>MONTH(Table13[[#This Row],[Date  (DMY)]])</f>
        <v>1</v>
      </c>
      <c r="G1203" s="2"/>
      <c r="L1203" s="5"/>
      <c r="M1203" s="4">
        <f>M1202-Table13[[#This Row],[Debits]]+Table13[[#This Row],[Income]]</f>
        <v>2805.21</v>
      </c>
      <c r="N1203" t="str">
        <f>IF(AND(Table13[[#This Row],[Category]]="pay",NOT(Table13[[#This Row],[Debits]]=0)),"bad","good")</f>
        <v>good</v>
      </c>
      <c r="O1203" s="5"/>
    </row>
    <row r="1204" spans="6:15" x14ac:dyDescent="0.3">
      <c r="F1204">
        <f>MONTH(Table13[[#This Row],[Date  (DMY)]])</f>
        <v>1</v>
      </c>
      <c r="G1204" s="2"/>
      <c r="L1204" s="5"/>
      <c r="M1204" s="4">
        <f>M1203-Table13[[#This Row],[Debits]]+Table13[[#This Row],[Income]]</f>
        <v>2805.21</v>
      </c>
      <c r="N1204" t="str">
        <f>IF(AND(Table13[[#This Row],[Category]]="pay",NOT(Table13[[#This Row],[Debits]]=0)),"bad","good")</f>
        <v>good</v>
      </c>
      <c r="O1204" s="5"/>
    </row>
    <row r="1205" spans="6:15" x14ac:dyDescent="0.3">
      <c r="F1205">
        <f>MONTH(Table13[[#This Row],[Date  (DMY)]])</f>
        <v>1</v>
      </c>
      <c r="G1205" s="2"/>
      <c r="L1205" s="5"/>
      <c r="M1205" s="4">
        <f>M1204-Table13[[#This Row],[Debits]]+Table13[[#This Row],[Income]]</f>
        <v>2805.21</v>
      </c>
      <c r="N1205" t="str">
        <f>IF(AND(Table13[[#This Row],[Category]]="pay",NOT(Table13[[#This Row],[Debits]]=0)),"bad","good")</f>
        <v>good</v>
      </c>
      <c r="O1205" s="5"/>
    </row>
    <row r="1206" spans="6:15" x14ac:dyDescent="0.3">
      <c r="F1206">
        <f>MONTH(Table13[[#This Row],[Date  (DMY)]])</f>
        <v>1</v>
      </c>
      <c r="G1206" s="2"/>
      <c r="L1206" s="5"/>
      <c r="M1206" s="4">
        <f>M1205-Table13[[#This Row],[Debits]]+Table13[[#This Row],[Income]]</f>
        <v>2805.21</v>
      </c>
      <c r="N1206" t="str">
        <f>IF(AND(Table13[[#This Row],[Category]]="pay",NOT(Table13[[#This Row],[Debits]]=0)),"bad","good")</f>
        <v>good</v>
      </c>
      <c r="O1206" s="5"/>
    </row>
    <row r="1207" spans="6:15" x14ac:dyDescent="0.3">
      <c r="F1207">
        <f>MONTH(Table13[[#This Row],[Date  (DMY)]])</f>
        <v>1</v>
      </c>
      <c r="G1207" s="2"/>
      <c r="L1207" s="5"/>
      <c r="M1207" s="4">
        <f>M1206-Table13[[#This Row],[Debits]]+Table13[[#This Row],[Income]]</f>
        <v>2805.21</v>
      </c>
      <c r="N1207" t="str">
        <f>IF(AND(Table13[[#This Row],[Category]]="pay",NOT(Table13[[#This Row],[Debits]]=0)),"bad","good")</f>
        <v>good</v>
      </c>
      <c r="O1207" s="5"/>
    </row>
    <row r="1208" spans="6:15" x14ac:dyDescent="0.3">
      <c r="F1208">
        <f>MONTH(Table13[[#This Row],[Date  (DMY)]])</f>
        <v>1</v>
      </c>
      <c r="G1208" s="2"/>
      <c r="L1208" s="5"/>
      <c r="M1208" s="4">
        <f>M1207-Table13[[#This Row],[Debits]]+Table13[[#This Row],[Income]]</f>
        <v>2805.21</v>
      </c>
      <c r="N1208" t="str">
        <f>IF(AND(Table13[[#This Row],[Category]]="pay",NOT(Table13[[#This Row],[Debits]]=0)),"bad","good")</f>
        <v>good</v>
      </c>
      <c r="O1208" s="5"/>
    </row>
    <row r="1209" spans="6:15" x14ac:dyDescent="0.3">
      <c r="F1209">
        <f>MONTH(Table13[[#This Row],[Date  (DMY)]])</f>
        <v>1</v>
      </c>
      <c r="G1209" s="2"/>
      <c r="L1209" s="5"/>
      <c r="M1209" s="4">
        <f>M1208-Table13[[#This Row],[Debits]]+Table13[[#This Row],[Income]]</f>
        <v>2805.21</v>
      </c>
      <c r="N1209" t="str">
        <f>IF(AND(Table13[[#This Row],[Category]]="pay",NOT(Table13[[#This Row],[Debits]]=0)),"bad","good")</f>
        <v>good</v>
      </c>
      <c r="O1209" s="5"/>
    </row>
    <row r="1210" spans="6:15" x14ac:dyDescent="0.3">
      <c r="F1210">
        <f>MONTH(Table13[[#This Row],[Date  (DMY)]])</f>
        <v>1</v>
      </c>
      <c r="G1210" s="2"/>
      <c r="L1210" s="5"/>
      <c r="M1210" s="4">
        <f>M1209-Table13[[#This Row],[Debits]]+Table13[[#This Row],[Income]]</f>
        <v>2805.21</v>
      </c>
      <c r="N1210" t="str">
        <f>IF(AND(Table13[[#This Row],[Category]]="pay",NOT(Table13[[#This Row],[Debits]]=0)),"bad","good")</f>
        <v>good</v>
      </c>
      <c r="O1210" s="5"/>
    </row>
    <row r="1211" spans="6:15" x14ac:dyDescent="0.3">
      <c r="F1211">
        <f>MONTH(Table13[[#This Row],[Date  (DMY)]])</f>
        <v>1</v>
      </c>
      <c r="G1211" s="2"/>
      <c r="L1211" s="5"/>
      <c r="M1211" s="4">
        <f>M1210-Table13[[#This Row],[Debits]]+Table13[[#This Row],[Income]]</f>
        <v>2805.21</v>
      </c>
      <c r="N1211" t="str">
        <f>IF(AND(Table13[[#This Row],[Category]]="pay",NOT(Table13[[#This Row],[Debits]]=0)),"bad","good")</f>
        <v>good</v>
      </c>
      <c r="O1211" s="5"/>
    </row>
    <row r="1212" spans="6:15" x14ac:dyDescent="0.3">
      <c r="F1212">
        <f>MONTH(Table13[[#This Row],[Date  (DMY)]])</f>
        <v>1</v>
      </c>
      <c r="G1212" s="2"/>
      <c r="L1212" s="5"/>
      <c r="M1212" s="4">
        <f>M1211-Table13[[#This Row],[Debits]]+Table13[[#This Row],[Income]]</f>
        <v>2805.21</v>
      </c>
      <c r="N1212" t="str">
        <f>IF(AND(Table13[[#This Row],[Category]]="pay",NOT(Table13[[#This Row],[Debits]]=0)),"bad","good")</f>
        <v>good</v>
      </c>
      <c r="O1212" s="5"/>
    </row>
    <row r="1213" spans="6:15" x14ac:dyDescent="0.3">
      <c r="F1213">
        <f>MONTH(Table13[[#This Row],[Date  (DMY)]])</f>
        <v>1</v>
      </c>
      <c r="G1213" s="2"/>
      <c r="L1213" s="5"/>
      <c r="M1213" s="4">
        <f>M1212-Table13[[#This Row],[Debits]]+Table13[[#This Row],[Income]]</f>
        <v>2805.21</v>
      </c>
      <c r="N1213" t="str">
        <f>IF(AND(Table13[[#This Row],[Category]]="pay",NOT(Table13[[#This Row],[Debits]]=0)),"bad","good")</f>
        <v>good</v>
      </c>
      <c r="O1213" s="5"/>
    </row>
    <row r="1214" spans="6:15" x14ac:dyDescent="0.3">
      <c r="F1214">
        <f>MONTH(Table13[[#This Row],[Date  (DMY)]])</f>
        <v>1</v>
      </c>
      <c r="G1214" s="2"/>
      <c r="L1214" s="5"/>
      <c r="M1214" s="4">
        <f>M1213-Table13[[#This Row],[Debits]]+Table13[[#This Row],[Income]]</f>
        <v>2805.21</v>
      </c>
      <c r="N1214" t="str">
        <f>IF(AND(Table13[[#This Row],[Category]]="pay",NOT(Table13[[#This Row],[Debits]]=0)),"bad","good")</f>
        <v>good</v>
      </c>
      <c r="O1214" s="5"/>
    </row>
    <row r="1215" spans="6:15" x14ac:dyDescent="0.3">
      <c r="F1215">
        <f>MONTH(Table13[[#This Row],[Date  (DMY)]])</f>
        <v>1</v>
      </c>
      <c r="G1215" s="2"/>
      <c r="L1215" s="5"/>
      <c r="M1215" s="4">
        <f>M1214-Table13[[#This Row],[Debits]]+Table13[[#This Row],[Income]]</f>
        <v>2805.21</v>
      </c>
      <c r="N1215" t="str">
        <f>IF(AND(Table13[[#This Row],[Category]]="pay",NOT(Table13[[#This Row],[Debits]]=0)),"bad","good")</f>
        <v>good</v>
      </c>
      <c r="O1215" s="5"/>
    </row>
    <row r="1216" spans="6:15" x14ac:dyDescent="0.3">
      <c r="F1216">
        <f>MONTH(Table13[[#This Row],[Date  (DMY)]])</f>
        <v>1</v>
      </c>
      <c r="G1216" s="2"/>
      <c r="L1216" s="5"/>
      <c r="M1216" s="4">
        <f>M1215-Table13[[#This Row],[Debits]]+Table13[[#This Row],[Income]]</f>
        <v>2805.21</v>
      </c>
      <c r="N1216" t="str">
        <f>IF(AND(Table13[[#This Row],[Category]]="pay",NOT(Table13[[#This Row],[Debits]]=0)),"bad","good")</f>
        <v>good</v>
      </c>
      <c r="O1216" s="5"/>
    </row>
    <row r="1217" spans="6:15" x14ac:dyDescent="0.3">
      <c r="F1217">
        <f>MONTH(Table13[[#This Row],[Date  (DMY)]])</f>
        <v>1</v>
      </c>
      <c r="G1217" s="2"/>
      <c r="L1217" s="5"/>
      <c r="M1217" s="4">
        <f>M1216-Table13[[#This Row],[Debits]]+Table13[[#This Row],[Income]]</f>
        <v>2805.21</v>
      </c>
      <c r="N1217" t="str">
        <f>IF(AND(Table13[[#This Row],[Category]]="pay",NOT(Table13[[#This Row],[Debits]]=0)),"bad","good")</f>
        <v>good</v>
      </c>
      <c r="O1217" s="5"/>
    </row>
    <row r="1218" spans="6:15" x14ac:dyDescent="0.3">
      <c r="F1218">
        <f>MONTH(Table13[[#This Row],[Date  (DMY)]])</f>
        <v>1</v>
      </c>
      <c r="G1218" s="2"/>
      <c r="L1218" s="5"/>
      <c r="M1218" s="4">
        <f>M1217-Table13[[#This Row],[Debits]]+Table13[[#This Row],[Income]]</f>
        <v>2805.21</v>
      </c>
      <c r="N1218" t="str">
        <f>IF(AND(Table13[[#This Row],[Category]]="pay",NOT(Table13[[#This Row],[Debits]]=0)),"bad","good")</f>
        <v>good</v>
      </c>
      <c r="O1218" s="5"/>
    </row>
    <row r="1219" spans="6:15" x14ac:dyDescent="0.3">
      <c r="F1219">
        <f>MONTH(Table13[[#This Row],[Date  (DMY)]])</f>
        <v>1</v>
      </c>
      <c r="G1219" s="2"/>
      <c r="L1219" s="5"/>
      <c r="M1219" s="4">
        <f>M1218-Table13[[#This Row],[Debits]]+Table13[[#This Row],[Income]]</f>
        <v>2805.21</v>
      </c>
      <c r="N1219" t="str">
        <f>IF(AND(Table13[[#This Row],[Category]]="pay",NOT(Table13[[#This Row],[Debits]]=0)),"bad","good")</f>
        <v>good</v>
      </c>
      <c r="O1219" s="5"/>
    </row>
    <row r="1220" spans="6:15" x14ac:dyDescent="0.3">
      <c r="F1220">
        <f>MONTH(Table13[[#This Row],[Date  (DMY)]])</f>
        <v>1</v>
      </c>
      <c r="G1220" s="2"/>
      <c r="L1220" s="5"/>
      <c r="M1220" s="4">
        <f>M1219-Table13[[#This Row],[Debits]]+Table13[[#This Row],[Income]]</f>
        <v>2805.21</v>
      </c>
      <c r="N1220" t="str">
        <f>IF(AND(Table13[[#This Row],[Category]]="pay",NOT(Table13[[#This Row],[Debits]]=0)),"bad","good")</f>
        <v>good</v>
      </c>
      <c r="O1220" s="5"/>
    </row>
    <row r="1221" spans="6:15" x14ac:dyDescent="0.3">
      <c r="F1221">
        <f>MONTH(Table13[[#This Row],[Date  (DMY)]])</f>
        <v>1</v>
      </c>
      <c r="G1221" s="2"/>
      <c r="L1221" s="5"/>
      <c r="M1221" s="4">
        <f>M1220-Table13[[#This Row],[Debits]]+Table13[[#This Row],[Income]]</f>
        <v>2805.21</v>
      </c>
      <c r="N1221" t="str">
        <f>IF(AND(Table13[[#This Row],[Category]]="pay",NOT(Table13[[#This Row],[Debits]]=0)),"bad","good")</f>
        <v>good</v>
      </c>
      <c r="O1221" s="5"/>
    </row>
    <row r="1222" spans="6:15" x14ac:dyDescent="0.3">
      <c r="F1222">
        <f>MONTH(Table13[[#This Row],[Date  (DMY)]])</f>
        <v>1</v>
      </c>
      <c r="G1222" s="2"/>
      <c r="L1222" s="5"/>
      <c r="M1222" s="4">
        <f>M1221-Table13[[#This Row],[Debits]]+Table13[[#This Row],[Income]]</f>
        <v>2805.21</v>
      </c>
      <c r="N1222" t="str">
        <f>IF(AND(Table13[[#This Row],[Category]]="pay",NOT(Table13[[#This Row],[Debits]]=0)),"bad","good")</f>
        <v>good</v>
      </c>
      <c r="O1222" s="5"/>
    </row>
    <row r="1223" spans="6:15" x14ac:dyDescent="0.3">
      <c r="F1223">
        <f>MONTH(Table13[[#This Row],[Date  (DMY)]])</f>
        <v>1</v>
      </c>
      <c r="G1223" s="2"/>
      <c r="L1223" s="5"/>
      <c r="M1223" s="4">
        <f>M1222-Table13[[#This Row],[Debits]]+Table13[[#This Row],[Income]]</f>
        <v>2805.21</v>
      </c>
      <c r="N1223" t="str">
        <f>IF(AND(Table13[[#This Row],[Category]]="pay",NOT(Table13[[#This Row],[Debits]]=0)),"bad","good")</f>
        <v>good</v>
      </c>
      <c r="O1223" s="5"/>
    </row>
    <row r="1224" spans="6:15" x14ac:dyDescent="0.3">
      <c r="F1224">
        <f>MONTH(Table13[[#This Row],[Date  (DMY)]])</f>
        <v>1</v>
      </c>
      <c r="G1224" s="2"/>
      <c r="L1224" s="5"/>
      <c r="M1224" s="4">
        <f>M1223-Table13[[#This Row],[Debits]]+Table13[[#This Row],[Income]]</f>
        <v>2805.21</v>
      </c>
      <c r="N1224" t="str">
        <f>IF(AND(Table13[[#This Row],[Category]]="pay",NOT(Table13[[#This Row],[Debits]]=0)),"bad","good")</f>
        <v>good</v>
      </c>
      <c r="O1224" s="5"/>
    </row>
    <row r="1225" spans="6:15" x14ac:dyDescent="0.3">
      <c r="F1225">
        <f>MONTH(Table13[[#This Row],[Date  (DMY)]])</f>
        <v>1</v>
      </c>
      <c r="G1225" s="2"/>
      <c r="L1225" s="5"/>
      <c r="M1225" s="4">
        <f>M1224-Table13[[#This Row],[Debits]]+Table13[[#This Row],[Income]]</f>
        <v>2805.21</v>
      </c>
      <c r="N1225" t="str">
        <f>IF(AND(Table13[[#This Row],[Category]]="pay",NOT(Table13[[#This Row],[Debits]]=0)),"bad","good")</f>
        <v>good</v>
      </c>
      <c r="O1225" s="5"/>
    </row>
    <row r="1226" spans="6:15" x14ac:dyDescent="0.3">
      <c r="F1226">
        <f>MONTH(Table13[[#This Row],[Date  (DMY)]])</f>
        <v>1</v>
      </c>
      <c r="G1226" s="2"/>
      <c r="L1226" s="5"/>
      <c r="M1226" s="4">
        <f>M1225-Table13[[#This Row],[Debits]]+Table13[[#This Row],[Income]]</f>
        <v>2805.21</v>
      </c>
      <c r="N1226" t="str">
        <f>IF(AND(Table13[[#This Row],[Category]]="pay",NOT(Table13[[#This Row],[Debits]]=0)),"bad","good")</f>
        <v>good</v>
      </c>
      <c r="O1226" s="5"/>
    </row>
    <row r="1227" spans="6:15" x14ac:dyDescent="0.3">
      <c r="F1227">
        <f>MONTH(Table13[[#This Row],[Date  (DMY)]])</f>
        <v>1</v>
      </c>
      <c r="G1227" s="2"/>
      <c r="L1227" s="5"/>
      <c r="M1227" s="4">
        <f>M1226-Table13[[#This Row],[Debits]]+Table13[[#This Row],[Income]]</f>
        <v>2805.21</v>
      </c>
      <c r="N1227" t="str">
        <f>IF(AND(Table13[[#This Row],[Category]]="pay",NOT(Table13[[#This Row],[Debits]]=0)),"bad","good")</f>
        <v>good</v>
      </c>
      <c r="O1227" s="5"/>
    </row>
    <row r="1228" spans="6:15" x14ac:dyDescent="0.3">
      <c r="F1228">
        <f>MONTH(Table13[[#This Row],[Date  (DMY)]])</f>
        <v>1</v>
      </c>
      <c r="G1228" s="2"/>
      <c r="L1228" s="5"/>
      <c r="M1228" s="4">
        <f>M1227-Table13[[#This Row],[Debits]]+Table13[[#This Row],[Income]]</f>
        <v>2805.21</v>
      </c>
      <c r="N1228" t="str">
        <f>IF(AND(Table13[[#This Row],[Category]]="pay",NOT(Table13[[#This Row],[Debits]]=0)),"bad","good")</f>
        <v>good</v>
      </c>
      <c r="O1228" s="5"/>
    </row>
    <row r="1229" spans="6:15" x14ac:dyDescent="0.3">
      <c r="F1229">
        <f>MONTH(Table13[[#This Row],[Date  (DMY)]])</f>
        <v>1</v>
      </c>
      <c r="G1229" s="2"/>
      <c r="L1229" s="5"/>
      <c r="M1229" s="4">
        <f>M1228-Table13[[#This Row],[Debits]]+Table13[[#This Row],[Income]]</f>
        <v>2805.21</v>
      </c>
      <c r="N1229" t="str">
        <f>IF(AND(Table13[[#This Row],[Category]]="pay",NOT(Table13[[#This Row],[Debits]]=0)),"bad","good")</f>
        <v>good</v>
      </c>
      <c r="O1229" s="5"/>
    </row>
    <row r="1230" spans="6:15" x14ac:dyDescent="0.3">
      <c r="F1230">
        <f>MONTH(Table13[[#This Row],[Date  (DMY)]])</f>
        <v>1</v>
      </c>
      <c r="G1230" s="2"/>
      <c r="L1230" s="5"/>
      <c r="M1230" s="4">
        <f>M1229-Table13[[#This Row],[Debits]]+Table13[[#This Row],[Income]]</f>
        <v>2805.21</v>
      </c>
      <c r="N1230" t="str">
        <f>IF(AND(Table13[[#This Row],[Category]]="pay",NOT(Table13[[#This Row],[Debits]]=0)),"bad","good")</f>
        <v>good</v>
      </c>
      <c r="O1230" s="5"/>
    </row>
    <row r="1231" spans="6:15" x14ac:dyDescent="0.3">
      <c r="F1231">
        <f>MONTH(Table13[[#This Row],[Date  (DMY)]])</f>
        <v>1</v>
      </c>
      <c r="G1231" s="2"/>
      <c r="L1231" s="5"/>
      <c r="M1231" s="4">
        <f>M1230-Table13[[#This Row],[Debits]]+Table13[[#This Row],[Income]]</f>
        <v>2805.21</v>
      </c>
      <c r="N1231" t="str">
        <f>IF(AND(Table13[[#This Row],[Category]]="pay",NOT(Table13[[#This Row],[Debits]]=0)),"bad","good")</f>
        <v>good</v>
      </c>
      <c r="O1231" s="5"/>
    </row>
    <row r="1232" spans="6:15" x14ac:dyDescent="0.3">
      <c r="F1232">
        <f>MONTH(Table13[[#This Row],[Date  (DMY)]])</f>
        <v>1</v>
      </c>
      <c r="G1232" s="2"/>
      <c r="L1232" s="5"/>
      <c r="M1232" s="4">
        <f>M1231-Table13[[#This Row],[Debits]]+Table13[[#This Row],[Income]]</f>
        <v>2805.21</v>
      </c>
      <c r="N1232" t="str">
        <f>IF(AND(Table13[[#This Row],[Category]]="pay",NOT(Table13[[#This Row],[Debits]]=0)),"bad","good")</f>
        <v>good</v>
      </c>
      <c r="O1232" s="5"/>
    </row>
    <row r="1233" spans="6:15" x14ac:dyDescent="0.3">
      <c r="F1233">
        <f>MONTH(Table13[[#This Row],[Date  (DMY)]])</f>
        <v>1</v>
      </c>
      <c r="G1233" s="2"/>
      <c r="L1233" s="5"/>
      <c r="M1233" s="4">
        <f>M1232-Table13[[#This Row],[Debits]]+Table13[[#This Row],[Income]]</f>
        <v>2805.21</v>
      </c>
      <c r="N1233" t="str">
        <f>IF(AND(Table13[[#This Row],[Category]]="pay",NOT(Table13[[#This Row],[Debits]]=0)),"bad","good")</f>
        <v>good</v>
      </c>
      <c r="O1233" s="5"/>
    </row>
    <row r="1234" spans="6:15" x14ac:dyDescent="0.3">
      <c r="F1234">
        <f>MONTH(Table13[[#This Row],[Date  (DMY)]])</f>
        <v>1</v>
      </c>
      <c r="G1234" s="2"/>
      <c r="L1234" s="5"/>
      <c r="M1234" s="4">
        <f>M1233-Table13[[#This Row],[Debits]]+Table13[[#This Row],[Income]]</f>
        <v>2805.21</v>
      </c>
      <c r="N1234" t="str">
        <f>IF(AND(Table13[[#This Row],[Category]]="pay",NOT(Table13[[#This Row],[Debits]]=0)),"bad","good")</f>
        <v>good</v>
      </c>
      <c r="O1234" s="5"/>
    </row>
    <row r="1235" spans="6:15" x14ac:dyDescent="0.3">
      <c r="F1235">
        <f>MONTH(Table13[[#This Row],[Date  (DMY)]])</f>
        <v>1</v>
      </c>
      <c r="G1235" s="2"/>
      <c r="L1235" s="5"/>
      <c r="M1235" s="4">
        <f>M1234-Table13[[#This Row],[Debits]]+Table13[[#This Row],[Income]]</f>
        <v>2805.21</v>
      </c>
      <c r="N1235" t="str">
        <f>IF(AND(Table13[[#This Row],[Category]]="pay",NOT(Table13[[#This Row],[Debits]]=0)),"bad","good")</f>
        <v>good</v>
      </c>
      <c r="O1235" s="5"/>
    </row>
    <row r="1236" spans="6:15" x14ac:dyDescent="0.3">
      <c r="F1236">
        <f>MONTH(Table13[[#This Row],[Date  (DMY)]])</f>
        <v>1</v>
      </c>
      <c r="G1236" s="2"/>
      <c r="L1236" s="5"/>
      <c r="M1236" s="4">
        <f>M1235-Table13[[#This Row],[Debits]]+Table13[[#This Row],[Income]]</f>
        <v>2805.21</v>
      </c>
      <c r="N1236" t="str">
        <f>IF(AND(Table13[[#This Row],[Category]]="pay",NOT(Table13[[#This Row],[Debits]]=0)),"bad","good")</f>
        <v>good</v>
      </c>
      <c r="O1236" s="5"/>
    </row>
    <row r="1237" spans="6:15" x14ac:dyDescent="0.3">
      <c r="F1237">
        <f>MONTH(Table13[[#This Row],[Date  (DMY)]])</f>
        <v>1</v>
      </c>
      <c r="G1237" s="2"/>
      <c r="L1237" s="5"/>
      <c r="M1237" s="4">
        <f>M1236-Table13[[#This Row],[Debits]]+Table13[[#This Row],[Income]]</f>
        <v>2805.21</v>
      </c>
      <c r="N1237" t="str">
        <f>IF(AND(Table13[[#This Row],[Category]]="pay",NOT(Table13[[#This Row],[Debits]]=0)),"bad","good")</f>
        <v>good</v>
      </c>
      <c r="O1237" s="5"/>
    </row>
    <row r="1238" spans="6:15" x14ac:dyDescent="0.3">
      <c r="F1238">
        <f>MONTH(Table13[[#This Row],[Date  (DMY)]])</f>
        <v>1</v>
      </c>
      <c r="G1238" s="2"/>
      <c r="L1238" s="5"/>
      <c r="M1238" s="4">
        <f>M1237-Table13[[#This Row],[Debits]]+Table13[[#This Row],[Income]]</f>
        <v>2805.21</v>
      </c>
      <c r="N1238" t="str">
        <f>IF(AND(Table13[[#This Row],[Category]]="pay",NOT(Table13[[#This Row],[Debits]]=0)),"bad","good")</f>
        <v>good</v>
      </c>
      <c r="O1238" s="5"/>
    </row>
    <row r="1239" spans="6:15" x14ac:dyDescent="0.3">
      <c r="F1239">
        <f>MONTH(Table13[[#This Row],[Date  (DMY)]])</f>
        <v>1</v>
      </c>
      <c r="G1239" s="2"/>
      <c r="L1239" s="5"/>
      <c r="M1239" s="4">
        <f>M1238-Table13[[#This Row],[Debits]]+Table13[[#This Row],[Income]]</f>
        <v>2805.21</v>
      </c>
      <c r="N1239" t="str">
        <f>IF(AND(Table13[[#This Row],[Category]]="pay",NOT(Table13[[#This Row],[Debits]]=0)),"bad","good")</f>
        <v>good</v>
      </c>
      <c r="O1239" s="5"/>
    </row>
    <row r="1240" spans="6:15" x14ac:dyDescent="0.3">
      <c r="F1240">
        <f>MONTH(Table13[[#This Row],[Date  (DMY)]])</f>
        <v>1</v>
      </c>
      <c r="G1240" s="2"/>
      <c r="L1240" s="5"/>
      <c r="M1240" s="4">
        <f>M1239-Table13[[#This Row],[Debits]]+Table13[[#This Row],[Income]]</f>
        <v>2805.21</v>
      </c>
      <c r="N1240" t="str">
        <f>IF(AND(Table13[[#This Row],[Category]]="pay",NOT(Table13[[#This Row],[Debits]]=0)),"bad","good")</f>
        <v>good</v>
      </c>
      <c r="O1240" s="5"/>
    </row>
    <row r="1241" spans="6:15" x14ac:dyDescent="0.3">
      <c r="F1241">
        <f>MONTH(Table13[[#This Row],[Date  (DMY)]])</f>
        <v>1</v>
      </c>
      <c r="G1241" s="2"/>
      <c r="L1241" s="5"/>
      <c r="M1241" s="4">
        <f>M1240-Table13[[#This Row],[Debits]]+Table13[[#This Row],[Income]]</f>
        <v>2805.21</v>
      </c>
      <c r="N1241" t="str">
        <f>IF(AND(Table13[[#This Row],[Category]]="pay",NOT(Table13[[#This Row],[Debits]]=0)),"bad","good")</f>
        <v>good</v>
      </c>
      <c r="O1241" s="5"/>
    </row>
    <row r="1242" spans="6:15" x14ac:dyDescent="0.3">
      <c r="F1242">
        <f>MONTH(Table13[[#This Row],[Date  (DMY)]])</f>
        <v>1</v>
      </c>
      <c r="G1242" s="2"/>
      <c r="L1242" s="5"/>
      <c r="M1242" s="4">
        <f>M1241-Table13[[#This Row],[Debits]]+Table13[[#This Row],[Income]]</f>
        <v>2805.21</v>
      </c>
      <c r="N1242" t="str">
        <f>IF(AND(Table13[[#This Row],[Category]]="pay",NOT(Table13[[#This Row],[Debits]]=0)),"bad","good")</f>
        <v>good</v>
      </c>
      <c r="O1242" s="5"/>
    </row>
    <row r="1243" spans="6:15" x14ac:dyDescent="0.3">
      <c r="F1243">
        <f>MONTH(Table13[[#This Row],[Date  (DMY)]])</f>
        <v>1</v>
      </c>
      <c r="G1243" s="2"/>
      <c r="L1243" s="5"/>
      <c r="M1243" s="4">
        <f>M1242-Table13[[#This Row],[Debits]]+Table13[[#This Row],[Income]]</f>
        <v>2805.21</v>
      </c>
      <c r="N1243" t="str">
        <f>IF(AND(Table13[[#This Row],[Category]]="pay",NOT(Table13[[#This Row],[Debits]]=0)),"bad","good")</f>
        <v>good</v>
      </c>
      <c r="O1243" s="5"/>
    </row>
    <row r="1244" spans="6:15" x14ac:dyDescent="0.3">
      <c r="F1244">
        <f>MONTH(Table13[[#This Row],[Date  (DMY)]])</f>
        <v>1</v>
      </c>
      <c r="G1244" s="2"/>
      <c r="L1244" s="5"/>
      <c r="M1244" s="4">
        <f>M1243-Table13[[#This Row],[Debits]]+Table13[[#This Row],[Income]]</f>
        <v>2805.21</v>
      </c>
      <c r="N1244" t="str">
        <f>IF(AND(Table13[[#This Row],[Category]]="pay",NOT(Table13[[#This Row],[Debits]]=0)),"bad","good")</f>
        <v>good</v>
      </c>
      <c r="O1244" s="5"/>
    </row>
    <row r="1245" spans="6:15" x14ac:dyDescent="0.3">
      <c r="F1245">
        <f>MONTH(Table13[[#This Row],[Date  (DMY)]])</f>
        <v>1</v>
      </c>
      <c r="G1245" s="2"/>
      <c r="L1245" s="5"/>
      <c r="M1245" s="4">
        <f>M1244-Table13[[#This Row],[Debits]]+Table13[[#This Row],[Income]]</f>
        <v>2805.21</v>
      </c>
      <c r="N1245" t="str">
        <f>IF(AND(Table13[[#This Row],[Category]]="pay",NOT(Table13[[#This Row],[Debits]]=0)),"bad","good")</f>
        <v>good</v>
      </c>
      <c r="O1245" s="5"/>
    </row>
    <row r="1246" spans="6:15" x14ac:dyDescent="0.3">
      <c r="F1246">
        <f>MONTH(Table13[[#This Row],[Date  (DMY)]])</f>
        <v>1</v>
      </c>
      <c r="G1246" s="2"/>
      <c r="L1246" s="5"/>
      <c r="M1246" s="4">
        <f>M1245-Table13[[#This Row],[Debits]]+Table13[[#This Row],[Income]]</f>
        <v>2805.21</v>
      </c>
      <c r="N1246" t="str">
        <f>IF(AND(Table13[[#This Row],[Category]]="pay",NOT(Table13[[#This Row],[Debits]]=0)),"bad","good")</f>
        <v>good</v>
      </c>
      <c r="O1246" s="5"/>
    </row>
    <row r="1247" spans="6:15" x14ac:dyDescent="0.3">
      <c r="F1247">
        <f>MONTH(Table13[[#This Row],[Date  (DMY)]])</f>
        <v>1</v>
      </c>
      <c r="G1247" s="2"/>
      <c r="L1247" s="5"/>
      <c r="M1247" s="4">
        <f>M1246-Table13[[#This Row],[Debits]]+Table13[[#This Row],[Income]]</f>
        <v>2805.21</v>
      </c>
      <c r="N1247" t="str">
        <f>IF(AND(Table13[[#This Row],[Category]]="pay",NOT(Table13[[#This Row],[Debits]]=0)),"bad","good")</f>
        <v>good</v>
      </c>
      <c r="O1247" s="5"/>
    </row>
    <row r="1248" spans="6:15" x14ac:dyDescent="0.3">
      <c r="F1248">
        <f>MONTH(Table13[[#This Row],[Date  (DMY)]])</f>
        <v>1</v>
      </c>
      <c r="G1248" s="2"/>
      <c r="L1248" s="5"/>
      <c r="M1248" s="4">
        <f>M1247-Table13[[#This Row],[Debits]]+Table13[[#This Row],[Income]]</f>
        <v>2805.21</v>
      </c>
      <c r="N1248" t="str">
        <f>IF(AND(Table13[[#This Row],[Category]]="pay",NOT(Table13[[#This Row],[Debits]]=0)),"bad","good")</f>
        <v>good</v>
      </c>
      <c r="O1248" s="5"/>
    </row>
    <row r="1249" spans="6:15" x14ac:dyDescent="0.3">
      <c r="F1249">
        <f>MONTH(Table13[[#This Row],[Date  (DMY)]])</f>
        <v>1</v>
      </c>
      <c r="G1249" s="2"/>
      <c r="L1249" s="5"/>
      <c r="M1249" s="4">
        <f>M1248-Table13[[#This Row],[Debits]]+Table13[[#This Row],[Income]]</f>
        <v>2805.21</v>
      </c>
      <c r="N1249" t="str">
        <f>IF(AND(Table13[[#This Row],[Category]]="pay",NOT(Table13[[#This Row],[Debits]]=0)),"bad","good")</f>
        <v>good</v>
      </c>
      <c r="O1249" s="5"/>
    </row>
    <row r="1250" spans="6:15" x14ac:dyDescent="0.3">
      <c r="F1250">
        <f>MONTH(Table13[[#This Row],[Date  (DMY)]])</f>
        <v>1</v>
      </c>
      <c r="G1250" s="2"/>
      <c r="L1250" s="5"/>
      <c r="M1250" s="4">
        <f>M1249-Table13[[#This Row],[Debits]]+Table13[[#This Row],[Income]]</f>
        <v>2805.21</v>
      </c>
      <c r="N1250" t="str">
        <f>IF(AND(Table13[[#This Row],[Category]]="pay",NOT(Table13[[#This Row],[Debits]]=0)),"bad","good")</f>
        <v>good</v>
      </c>
      <c r="O1250" s="5"/>
    </row>
    <row r="1251" spans="6:15" x14ac:dyDescent="0.3">
      <c r="F1251">
        <f>MONTH(Table13[[#This Row],[Date  (DMY)]])</f>
        <v>1</v>
      </c>
      <c r="G1251" s="2"/>
      <c r="L1251" s="5"/>
      <c r="M1251" s="4">
        <f>M1250-Table13[[#This Row],[Debits]]+Table13[[#This Row],[Income]]</f>
        <v>2805.21</v>
      </c>
      <c r="N1251" t="str">
        <f>IF(AND(Table13[[#This Row],[Category]]="pay",NOT(Table13[[#This Row],[Debits]]=0)),"bad","good")</f>
        <v>good</v>
      </c>
      <c r="O1251" s="5"/>
    </row>
    <row r="1252" spans="6:15" x14ac:dyDescent="0.3">
      <c r="F1252">
        <f>MONTH(Table13[[#This Row],[Date  (DMY)]])</f>
        <v>1</v>
      </c>
      <c r="G1252" s="2"/>
      <c r="L1252" s="5"/>
      <c r="M1252" s="4">
        <f>M1251-Table13[[#This Row],[Debits]]+Table13[[#This Row],[Income]]</f>
        <v>2805.21</v>
      </c>
      <c r="N1252" t="str">
        <f>IF(AND(Table13[[#This Row],[Category]]="pay",NOT(Table13[[#This Row],[Debits]]=0)),"bad","good")</f>
        <v>good</v>
      </c>
      <c r="O1252" s="5"/>
    </row>
    <row r="1253" spans="6:15" x14ac:dyDescent="0.3">
      <c r="F1253">
        <f>MONTH(Table13[[#This Row],[Date  (DMY)]])</f>
        <v>1</v>
      </c>
      <c r="G1253" s="2"/>
      <c r="L1253" s="5"/>
      <c r="M1253" s="4">
        <f>M1252-Table13[[#This Row],[Debits]]+Table13[[#This Row],[Income]]</f>
        <v>2805.21</v>
      </c>
      <c r="N1253" t="str">
        <f>IF(AND(Table13[[#This Row],[Category]]="pay",NOT(Table13[[#This Row],[Debits]]=0)),"bad","good")</f>
        <v>good</v>
      </c>
      <c r="O1253" s="5"/>
    </row>
    <row r="1254" spans="6:15" x14ac:dyDescent="0.3">
      <c r="F1254">
        <f>MONTH(Table13[[#This Row],[Date  (DMY)]])</f>
        <v>1</v>
      </c>
      <c r="G1254" s="2"/>
      <c r="L1254" s="5"/>
      <c r="M1254" s="4">
        <f>M1253-Table13[[#This Row],[Debits]]+Table13[[#This Row],[Income]]</f>
        <v>2805.21</v>
      </c>
      <c r="N1254" t="str">
        <f>IF(AND(Table13[[#This Row],[Category]]="pay",NOT(Table13[[#This Row],[Debits]]=0)),"bad","good")</f>
        <v>good</v>
      </c>
      <c r="O1254" s="5"/>
    </row>
    <row r="1255" spans="6:15" x14ac:dyDescent="0.3">
      <c r="F1255">
        <f>MONTH(Table13[[#This Row],[Date  (DMY)]])</f>
        <v>1</v>
      </c>
      <c r="G1255" s="2"/>
      <c r="L1255" s="5"/>
      <c r="M1255" s="4">
        <f>M1254-Table13[[#This Row],[Debits]]+Table13[[#This Row],[Income]]</f>
        <v>2805.21</v>
      </c>
      <c r="N1255" t="str">
        <f>IF(AND(Table13[[#This Row],[Category]]="pay",NOT(Table13[[#This Row],[Debits]]=0)),"bad","good")</f>
        <v>good</v>
      </c>
      <c r="O1255" s="5"/>
    </row>
    <row r="1256" spans="6:15" x14ac:dyDescent="0.3">
      <c r="F1256">
        <f>MONTH(Table13[[#This Row],[Date  (DMY)]])</f>
        <v>1</v>
      </c>
      <c r="G1256" s="2"/>
      <c r="L1256" s="5"/>
      <c r="M1256" s="4">
        <f>M1255-Table13[[#This Row],[Debits]]+Table13[[#This Row],[Income]]</f>
        <v>2805.21</v>
      </c>
      <c r="N1256" t="str">
        <f>IF(AND(Table13[[#This Row],[Category]]="pay",NOT(Table13[[#This Row],[Debits]]=0)),"bad","good")</f>
        <v>good</v>
      </c>
      <c r="O1256" s="5"/>
    </row>
    <row r="1257" spans="6:15" x14ac:dyDescent="0.3">
      <c r="F1257">
        <f>MONTH(Table13[[#This Row],[Date  (DMY)]])</f>
        <v>1</v>
      </c>
      <c r="G1257" s="2"/>
      <c r="L1257" s="5"/>
      <c r="M1257" s="4">
        <f>M1256-Table13[[#This Row],[Debits]]+Table13[[#This Row],[Income]]</f>
        <v>2805.21</v>
      </c>
      <c r="N1257" t="str">
        <f>IF(AND(Table13[[#This Row],[Category]]="pay",NOT(Table13[[#This Row],[Debits]]=0)),"bad","good")</f>
        <v>good</v>
      </c>
      <c r="O1257" s="5"/>
    </row>
    <row r="1258" spans="6:15" x14ac:dyDescent="0.3">
      <c r="F1258">
        <f>MONTH(Table13[[#This Row],[Date  (DMY)]])</f>
        <v>1</v>
      </c>
      <c r="G1258" s="2"/>
      <c r="L1258" s="5"/>
      <c r="M1258" s="4">
        <f>M1257-Table13[[#This Row],[Debits]]+Table13[[#This Row],[Income]]</f>
        <v>2805.21</v>
      </c>
      <c r="N1258" t="str">
        <f>IF(AND(Table13[[#This Row],[Category]]="pay",NOT(Table13[[#This Row],[Debits]]=0)),"bad","good")</f>
        <v>good</v>
      </c>
      <c r="O1258" s="5"/>
    </row>
    <row r="1259" spans="6:15" x14ac:dyDescent="0.3">
      <c r="F1259">
        <f>MONTH(Table13[[#This Row],[Date  (DMY)]])</f>
        <v>1</v>
      </c>
      <c r="G1259" s="2"/>
      <c r="L1259" s="5"/>
      <c r="M1259" s="4">
        <f>M1258-Table13[[#This Row],[Debits]]+Table13[[#This Row],[Income]]</f>
        <v>2805.21</v>
      </c>
      <c r="N1259" t="str">
        <f>IF(AND(Table13[[#This Row],[Category]]="pay",NOT(Table13[[#This Row],[Debits]]=0)),"bad","good")</f>
        <v>good</v>
      </c>
      <c r="O1259" s="5"/>
    </row>
    <row r="1260" spans="6:15" x14ac:dyDescent="0.3">
      <c r="F1260">
        <f>MONTH(Table13[[#This Row],[Date  (DMY)]])</f>
        <v>1</v>
      </c>
      <c r="G1260" s="2"/>
      <c r="L1260" s="5"/>
      <c r="M1260" s="4">
        <f>M1259-Table13[[#This Row],[Debits]]+Table13[[#This Row],[Income]]</f>
        <v>2805.21</v>
      </c>
      <c r="N1260" t="str">
        <f>IF(AND(Table13[[#This Row],[Category]]="pay",NOT(Table13[[#This Row],[Debits]]=0)),"bad","good")</f>
        <v>good</v>
      </c>
      <c r="O1260" s="5"/>
    </row>
    <row r="1261" spans="6:15" x14ac:dyDescent="0.3">
      <c r="F1261">
        <f>MONTH(Table13[[#This Row],[Date  (DMY)]])</f>
        <v>1</v>
      </c>
      <c r="G1261" s="2"/>
      <c r="L1261" s="5"/>
      <c r="M1261" s="4">
        <f>M1260-Table13[[#This Row],[Debits]]+Table13[[#This Row],[Income]]</f>
        <v>2805.21</v>
      </c>
      <c r="N1261" t="str">
        <f>IF(AND(Table13[[#This Row],[Category]]="pay",NOT(Table13[[#This Row],[Debits]]=0)),"bad","good")</f>
        <v>good</v>
      </c>
      <c r="O1261" s="5"/>
    </row>
    <row r="1262" spans="6:15" x14ac:dyDescent="0.3">
      <c r="F1262">
        <f>MONTH(Table13[[#This Row],[Date  (DMY)]])</f>
        <v>1</v>
      </c>
      <c r="G1262" s="2"/>
      <c r="L1262" s="5"/>
      <c r="M1262" s="4">
        <f>M1261-Table13[[#This Row],[Debits]]+Table13[[#This Row],[Income]]</f>
        <v>2805.21</v>
      </c>
      <c r="N1262" t="str">
        <f>IF(AND(Table13[[#This Row],[Category]]="pay",NOT(Table13[[#This Row],[Debits]]=0)),"bad","good")</f>
        <v>good</v>
      </c>
      <c r="O1262" s="5"/>
    </row>
    <row r="1263" spans="6:15" x14ac:dyDescent="0.3">
      <c r="F1263">
        <f>MONTH(Table13[[#This Row],[Date  (DMY)]])</f>
        <v>1</v>
      </c>
      <c r="G1263" s="2"/>
      <c r="L1263" s="5"/>
      <c r="M1263" s="4">
        <f>M1262-Table13[[#This Row],[Debits]]+Table13[[#This Row],[Income]]</f>
        <v>2805.21</v>
      </c>
      <c r="N1263" t="str">
        <f>IF(AND(Table13[[#This Row],[Category]]="pay",NOT(Table13[[#This Row],[Debits]]=0)),"bad","good")</f>
        <v>good</v>
      </c>
      <c r="O1263" s="5"/>
    </row>
    <row r="1264" spans="6:15" x14ac:dyDescent="0.3">
      <c r="F1264">
        <f>MONTH(Table13[[#This Row],[Date  (DMY)]])</f>
        <v>1</v>
      </c>
      <c r="G1264" s="2"/>
      <c r="L1264" s="5"/>
      <c r="M1264" s="4">
        <f>M1263-Table13[[#This Row],[Debits]]+Table13[[#This Row],[Income]]</f>
        <v>2805.21</v>
      </c>
      <c r="N1264" t="str">
        <f>IF(AND(Table13[[#This Row],[Category]]="pay",NOT(Table13[[#This Row],[Debits]]=0)),"bad","good")</f>
        <v>good</v>
      </c>
      <c r="O1264" s="5"/>
    </row>
    <row r="1265" spans="6:15" x14ac:dyDescent="0.3">
      <c r="F1265">
        <f>MONTH(Table13[[#This Row],[Date  (DMY)]])</f>
        <v>1</v>
      </c>
      <c r="G1265" s="2"/>
      <c r="L1265" s="5"/>
      <c r="M1265" s="4">
        <f>M1264-Table13[[#This Row],[Debits]]+Table13[[#This Row],[Income]]</f>
        <v>2805.21</v>
      </c>
      <c r="N1265" t="str">
        <f>IF(AND(Table13[[#This Row],[Category]]="pay",NOT(Table13[[#This Row],[Debits]]=0)),"bad","good")</f>
        <v>good</v>
      </c>
      <c r="O1265" s="5"/>
    </row>
    <row r="1266" spans="6:15" x14ac:dyDescent="0.3">
      <c r="F1266">
        <f>MONTH(Table13[[#This Row],[Date  (DMY)]])</f>
        <v>1</v>
      </c>
      <c r="G1266" s="2"/>
      <c r="L1266" s="5"/>
      <c r="M1266" s="4">
        <f>M1265-Table13[[#This Row],[Debits]]+Table13[[#This Row],[Income]]</f>
        <v>2805.21</v>
      </c>
      <c r="N1266" t="str">
        <f>IF(AND(Table13[[#This Row],[Category]]="pay",NOT(Table13[[#This Row],[Debits]]=0)),"bad","good")</f>
        <v>good</v>
      </c>
      <c r="O1266" s="5"/>
    </row>
    <row r="1267" spans="6:15" x14ac:dyDescent="0.3">
      <c r="F1267">
        <f>MONTH(Table13[[#This Row],[Date  (DMY)]])</f>
        <v>1</v>
      </c>
      <c r="G1267" s="2"/>
      <c r="L1267" s="5"/>
      <c r="M1267" s="4">
        <f>M1266-Table13[[#This Row],[Debits]]+Table13[[#This Row],[Income]]</f>
        <v>2805.21</v>
      </c>
      <c r="N1267" t="str">
        <f>IF(AND(Table13[[#This Row],[Category]]="pay",NOT(Table13[[#This Row],[Debits]]=0)),"bad","good")</f>
        <v>good</v>
      </c>
      <c r="O1267" s="5"/>
    </row>
    <row r="1268" spans="6:15" x14ac:dyDescent="0.3">
      <c r="F1268">
        <f>MONTH(Table13[[#This Row],[Date  (DMY)]])</f>
        <v>1</v>
      </c>
      <c r="G1268" s="2"/>
      <c r="L1268" s="5"/>
      <c r="M1268" s="4">
        <f>M1267-Table13[[#This Row],[Debits]]+Table13[[#This Row],[Income]]</f>
        <v>2805.21</v>
      </c>
      <c r="N1268" t="str">
        <f>IF(AND(Table13[[#This Row],[Category]]="pay",NOT(Table13[[#This Row],[Debits]]=0)),"bad","good")</f>
        <v>good</v>
      </c>
      <c r="O1268" s="5"/>
    </row>
    <row r="1269" spans="6:15" x14ac:dyDescent="0.3">
      <c r="F1269">
        <f>MONTH(Table13[[#This Row],[Date  (DMY)]])</f>
        <v>1</v>
      </c>
      <c r="G1269" s="2"/>
      <c r="L1269" s="5"/>
      <c r="M1269" s="4">
        <f>M1268-Table13[[#This Row],[Debits]]+Table13[[#This Row],[Income]]</f>
        <v>2805.21</v>
      </c>
      <c r="N1269" t="str">
        <f>IF(AND(Table13[[#This Row],[Category]]="pay",NOT(Table13[[#This Row],[Debits]]=0)),"bad","good")</f>
        <v>good</v>
      </c>
      <c r="O1269" s="5"/>
    </row>
    <row r="1270" spans="6:15" x14ac:dyDescent="0.3">
      <c r="F1270">
        <f>MONTH(Table13[[#This Row],[Date  (DMY)]])</f>
        <v>1</v>
      </c>
      <c r="G1270" s="2"/>
      <c r="L1270" s="5"/>
      <c r="M1270" s="4">
        <f>M1269-Table13[[#This Row],[Debits]]+Table13[[#This Row],[Income]]</f>
        <v>2805.21</v>
      </c>
      <c r="N1270" t="str">
        <f>IF(AND(Table13[[#This Row],[Category]]="pay",NOT(Table13[[#This Row],[Debits]]=0)),"bad","good")</f>
        <v>good</v>
      </c>
      <c r="O1270" s="5"/>
    </row>
    <row r="1271" spans="6:15" x14ac:dyDescent="0.3">
      <c r="F1271">
        <f>MONTH(Table13[[#This Row],[Date  (DMY)]])</f>
        <v>1</v>
      </c>
      <c r="G1271" s="2"/>
      <c r="L1271" s="5"/>
      <c r="M1271" s="4">
        <f>M1270-Table13[[#This Row],[Debits]]+Table13[[#This Row],[Income]]</f>
        <v>2805.21</v>
      </c>
      <c r="N1271" t="str">
        <f>IF(AND(Table13[[#This Row],[Category]]="pay",NOT(Table13[[#This Row],[Debits]]=0)),"bad","good")</f>
        <v>good</v>
      </c>
      <c r="O1271" s="5"/>
    </row>
    <row r="1272" spans="6:15" x14ac:dyDescent="0.3">
      <c r="F1272">
        <f>MONTH(Table13[[#This Row],[Date  (DMY)]])</f>
        <v>1</v>
      </c>
      <c r="G1272" s="2"/>
      <c r="L1272" s="5"/>
      <c r="M1272" s="4">
        <f>M1271-Table13[[#This Row],[Debits]]+Table13[[#This Row],[Income]]</f>
        <v>2805.21</v>
      </c>
      <c r="N1272" t="str">
        <f>IF(AND(Table13[[#This Row],[Category]]="pay",NOT(Table13[[#This Row],[Debits]]=0)),"bad","good")</f>
        <v>good</v>
      </c>
      <c r="O1272" s="5"/>
    </row>
    <row r="1273" spans="6:15" x14ac:dyDescent="0.3">
      <c r="F1273">
        <f>MONTH(Table13[[#This Row],[Date  (DMY)]])</f>
        <v>1</v>
      </c>
      <c r="G1273" s="2"/>
      <c r="L1273" s="5"/>
      <c r="M1273" s="4">
        <f>M1272-Table13[[#This Row],[Debits]]+Table13[[#This Row],[Income]]</f>
        <v>2805.21</v>
      </c>
      <c r="N1273" t="str">
        <f>IF(AND(Table13[[#This Row],[Category]]="pay",NOT(Table13[[#This Row],[Debits]]=0)),"bad","good")</f>
        <v>good</v>
      </c>
      <c r="O1273" s="5"/>
    </row>
    <row r="1274" spans="6:15" x14ac:dyDescent="0.3">
      <c r="F1274">
        <f>MONTH(Table13[[#This Row],[Date  (DMY)]])</f>
        <v>1</v>
      </c>
      <c r="G1274" s="2"/>
      <c r="L1274" s="5"/>
      <c r="M1274" s="4">
        <f>M1273-Table13[[#This Row],[Debits]]+Table13[[#This Row],[Income]]</f>
        <v>2805.21</v>
      </c>
      <c r="N1274" t="str">
        <f>IF(AND(Table13[[#This Row],[Category]]="pay",NOT(Table13[[#This Row],[Debits]]=0)),"bad","good")</f>
        <v>good</v>
      </c>
      <c r="O1274" s="5"/>
    </row>
    <row r="1275" spans="6:15" x14ac:dyDescent="0.3">
      <c r="F1275">
        <f>MONTH(Table13[[#This Row],[Date  (DMY)]])</f>
        <v>1</v>
      </c>
      <c r="G1275" s="2"/>
      <c r="L1275" s="5"/>
      <c r="M1275" s="4">
        <f>M1274-Table13[[#This Row],[Debits]]+Table13[[#This Row],[Income]]</f>
        <v>2805.21</v>
      </c>
      <c r="N1275" t="str">
        <f>IF(AND(Table13[[#This Row],[Category]]="pay",NOT(Table13[[#This Row],[Debits]]=0)),"bad","good")</f>
        <v>good</v>
      </c>
      <c r="O1275" s="5"/>
    </row>
    <row r="1276" spans="6:15" x14ac:dyDescent="0.3">
      <c r="F1276">
        <f>MONTH(Table13[[#This Row],[Date  (DMY)]])</f>
        <v>1</v>
      </c>
      <c r="G1276" s="2"/>
      <c r="L1276" s="5"/>
      <c r="M1276" s="4">
        <f>M1275-Table13[[#This Row],[Debits]]+Table13[[#This Row],[Income]]</f>
        <v>2805.21</v>
      </c>
      <c r="N1276" t="str">
        <f>IF(AND(Table13[[#This Row],[Category]]="pay",NOT(Table13[[#This Row],[Debits]]=0)),"bad","good")</f>
        <v>good</v>
      </c>
      <c r="O1276" s="5"/>
    </row>
    <row r="1277" spans="6:15" x14ac:dyDescent="0.3">
      <c r="F1277">
        <f>MONTH(Table13[[#This Row],[Date  (DMY)]])</f>
        <v>1</v>
      </c>
      <c r="G1277" s="2"/>
      <c r="L1277" s="5"/>
      <c r="M1277" s="4">
        <f>M1276-Table13[[#This Row],[Debits]]+Table13[[#This Row],[Income]]</f>
        <v>2805.21</v>
      </c>
      <c r="N1277" t="str">
        <f>IF(AND(Table13[[#This Row],[Category]]="pay",NOT(Table13[[#This Row],[Debits]]=0)),"bad","good")</f>
        <v>good</v>
      </c>
      <c r="O1277" s="5"/>
    </row>
    <row r="1278" spans="6:15" x14ac:dyDescent="0.3">
      <c r="F1278">
        <f>MONTH(Table13[[#This Row],[Date  (DMY)]])</f>
        <v>1</v>
      </c>
      <c r="G1278" s="2"/>
      <c r="L1278" s="5"/>
      <c r="M1278" s="4">
        <f>M1277-Table13[[#This Row],[Debits]]+Table13[[#This Row],[Income]]</f>
        <v>2805.21</v>
      </c>
      <c r="N1278" t="str">
        <f>IF(AND(Table13[[#This Row],[Category]]="pay",NOT(Table13[[#This Row],[Debits]]=0)),"bad","good")</f>
        <v>good</v>
      </c>
      <c r="O1278" s="5"/>
    </row>
    <row r="1279" spans="6:15" x14ac:dyDescent="0.3">
      <c r="F1279">
        <f>MONTH(Table13[[#This Row],[Date  (DMY)]])</f>
        <v>1</v>
      </c>
      <c r="G1279" s="2"/>
      <c r="L1279" s="5"/>
      <c r="M1279" s="4">
        <f>M1278-Table13[[#This Row],[Debits]]+Table13[[#This Row],[Income]]</f>
        <v>2805.21</v>
      </c>
      <c r="N1279" t="str">
        <f>IF(AND(Table13[[#This Row],[Category]]="pay",NOT(Table13[[#This Row],[Debits]]=0)),"bad","good")</f>
        <v>good</v>
      </c>
      <c r="O1279" s="5"/>
    </row>
    <row r="1280" spans="6:15" x14ac:dyDescent="0.3">
      <c r="F1280">
        <f>MONTH(Table13[[#This Row],[Date  (DMY)]])</f>
        <v>1</v>
      </c>
      <c r="G1280" s="2"/>
      <c r="L1280" s="5"/>
      <c r="M1280" s="4">
        <f>M1279-Table13[[#This Row],[Debits]]+Table13[[#This Row],[Income]]</f>
        <v>2805.21</v>
      </c>
      <c r="N1280" t="str">
        <f>IF(AND(Table13[[#This Row],[Category]]="pay",NOT(Table13[[#This Row],[Debits]]=0)),"bad","good")</f>
        <v>good</v>
      </c>
      <c r="O1280" s="5"/>
    </row>
    <row r="1281" spans="6:15" x14ac:dyDescent="0.3">
      <c r="F1281">
        <f>MONTH(Table13[[#This Row],[Date  (DMY)]])</f>
        <v>1</v>
      </c>
      <c r="G1281" s="2"/>
      <c r="L1281" s="5"/>
      <c r="M1281" s="4">
        <f>M1280-Table13[[#This Row],[Debits]]+Table13[[#This Row],[Income]]</f>
        <v>2805.21</v>
      </c>
      <c r="N1281" t="str">
        <f>IF(AND(Table13[[#This Row],[Category]]="pay",NOT(Table13[[#This Row],[Debits]]=0)),"bad","good")</f>
        <v>good</v>
      </c>
      <c r="O1281" s="5"/>
    </row>
    <row r="1282" spans="6:15" x14ac:dyDescent="0.3">
      <c r="F1282">
        <f>MONTH(Table13[[#This Row],[Date  (DMY)]])</f>
        <v>1</v>
      </c>
      <c r="G1282" s="2"/>
      <c r="L1282" s="5"/>
      <c r="M1282" s="4">
        <f>M1281-Table13[[#This Row],[Debits]]+Table13[[#This Row],[Income]]</f>
        <v>2805.21</v>
      </c>
      <c r="N1282" t="str">
        <f>IF(AND(Table13[[#This Row],[Category]]="pay",NOT(Table13[[#This Row],[Debits]]=0)),"bad","good")</f>
        <v>good</v>
      </c>
      <c r="O1282" s="5"/>
    </row>
    <row r="1283" spans="6:15" x14ac:dyDescent="0.3">
      <c r="F1283">
        <f>MONTH(Table13[[#This Row],[Date  (DMY)]])</f>
        <v>1</v>
      </c>
      <c r="G1283" s="2"/>
      <c r="L1283" s="5"/>
      <c r="M1283" s="4">
        <f>M1282-Table13[[#This Row],[Debits]]+Table13[[#This Row],[Income]]</f>
        <v>2805.21</v>
      </c>
      <c r="N1283" t="str">
        <f>IF(AND(Table13[[#This Row],[Category]]="pay",NOT(Table13[[#This Row],[Debits]]=0)),"bad","good")</f>
        <v>good</v>
      </c>
      <c r="O1283" s="5"/>
    </row>
    <row r="1284" spans="6:15" x14ac:dyDescent="0.3">
      <c r="F1284">
        <f>MONTH(Table13[[#This Row],[Date  (DMY)]])</f>
        <v>1</v>
      </c>
      <c r="G1284" s="2"/>
      <c r="L1284" s="5"/>
      <c r="M1284" s="4">
        <f>M1283-Table13[[#This Row],[Debits]]+Table13[[#This Row],[Income]]</f>
        <v>2805.21</v>
      </c>
      <c r="N1284" t="str">
        <f>IF(AND(Table13[[#This Row],[Category]]="pay",NOT(Table13[[#This Row],[Debits]]=0)),"bad","good")</f>
        <v>good</v>
      </c>
      <c r="O1284" s="5"/>
    </row>
    <row r="1285" spans="6:15" x14ac:dyDescent="0.3">
      <c r="F1285">
        <f>MONTH(Table13[[#This Row],[Date  (DMY)]])</f>
        <v>1</v>
      </c>
      <c r="G1285" s="2"/>
      <c r="L1285" s="5"/>
      <c r="M1285" s="4">
        <f>M1284-Table13[[#This Row],[Debits]]+Table13[[#This Row],[Income]]</f>
        <v>2805.21</v>
      </c>
      <c r="N1285" t="str">
        <f>IF(AND(Table13[[#This Row],[Category]]="pay",NOT(Table13[[#This Row],[Debits]]=0)),"bad","good")</f>
        <v>good</v>
      </c>
      <c r="O1285" s="5"/>
    </row>
    <row r="1286" spans="6:15" x14ac:dyDescent="0.3">
      <c r="F1286">
        <f>MONTH(Table13[[#This Row],[Date  (DMY)]])</f>
        <v>1</v>
      </c>
      <c r="G1286" s="2"/>
      <c r="L1286" s="5"/>
      <c r="M1286" s="4">
        <f>M1285-Table13[[#This Row],[Debits]]+Table13[[#This Row],[Income]]</f>
        <v>2805.21</v>
      </c>
      <c r="N1286" t="str">
        <f>IF(AND(Table13[[#This Row],[Category]]="pay",NOT(Table13[[#This Row],[Debits]]=0)),"bad","good")</f>
        <v>good</v>
      </c>
      <c r="O1286" s="5"/>
    </row>
    <row r="1287" spans="6:15" x14ac:dyDescent="0.3">
      <c r="F1287">
        <f>MONTH(Table13[[#This Row],[Date  (DMY)]])</f>
        <v>1</v>
      </c>
      <c r="G1287" s="2"/>
      <c r="L1287" s="5"/>
      <c r="M1287" s="4">
        <f>M1286-Table13[[#This Row],[Debits]]+Table13[[#This Row],[Income]]</f>
        <v>2805.21</v>
      </c>
      <c r="N1287" t="str">
        <f>IF(AND(Table13[[#This Row],[Category]]="pay",NOT(Table13[[#This Row],[Debits]]=0)),"bad","good")</f>
        <v>good</v>
      </c>
      <c r="O1287" s="5"/>
    </row>
    <row r="1288" spans="6:15" x14ac:dyDescent="0.3">
      <c r="F1288">
        <f>MONTH(Table13[[#This Row],[Date  (DMY)]])</f>
        <v>1</v>
      </c>
      <c r="G1288" s="2"/>
      <c r="L1288" s="5"/>
      <c r="M1288" s="4">
        <f>M1287-Table13[[#This Row],[Debits]]+Table13[[#This Row],[Income]]</f>
        <v>2805.21</v>
      </c>
      <c r="N1288" t="str">
        <f>IF(AND(Table13[[#This Row],[Category]]="pay",NOT(Table13[[#This Row],[Debits]]=0)),"bad","good")</f>
        <v>good</v>
      </c>
      <c r="O1288" s="5"/>
    </row>
    <row r="1289" spans="6:15" x14ac:dyDescent="0.3">
      <c r="F1289">
        <f>MONTH(Table13[[#This Row],[Date  (DMY)]])</f>
        <v>1</v>
      </c>
      <c r="G1289" s="2"/>
      <c r="L1289" s="5"/>
      <c r="M1289" s="4">
        <f>M1288-Table13[[#This Row],[Debits]]+Table13[[#This Row],[Income]]</f>
        <v>2805.21</v>
      </c>
      <c r="N1289" t="str">
        <f>IF(AND(Table13[[#This Row],[Category]]="pay",NOT(Table13[[#This Row],[Debits]]=0)),"bad","good")</f>
        <v>good</v>
      </c>
      <c r="O1289" s="5"/>
    </row>
    <row r="1290" spans="6:15" x14ac:dyDescent="0.3">
      <c r="F1290">
        <f>MONTH(Table13[[#This Row],[Date  (DMY)]])</f>
        <v>1</v>
      </c>
      <c r="G1290" s="2"/>
      <c r="L1290" s="5"/>
      <c r="M1290" s="4">
        <f>M1289-Table13[[#This Row],[Debits]]+Table13[[#This Row],[Income]]</f>
        <v>2805.21</v>
      </c>
      <c r="N1290" t="str">
        <f>IF(AND(Table13[[#This Row],[Category]]="pay",NOT(Table13[[#This Row],[Debits]]=0)),"bad","good")</f>
        <v>good</v>
      </c>
      <c r="O1290" s="5"/>
    </row>
    <row r="1291" spans="6:15" x14ac:dyDescent="0.3">
      <c r="F1291">
        <f>MONTH(Table13[[#This Row],[Date  (DMY)]])</f>
        <v>1</v>
      </c>
      <c r="G1291" s="2"/>
      <c r="L1291" s="5"/>
      <c r="M1291" s="4">
        <f>M1290-Table13[[#This Row],[Debits]]+Table13[[#This Row],[Income]]</f>
        <v>2805.21</v>
      </c>
      <c r="N1291" t="str">
        <f>IF(AND(Table13[[#This Row],[Category]]="pay",NOT(Table13[[#This Row],[Debits]]=0)),"bad","good")</f>
        <v>good</v>
      </c>
      <c r="O1291" s="5"/>
    </row>
    <row r="1292" spans="6:15" x14ac:dyDescent="0.3">
      <c r="F1292">
        <f>MONTH(Table13[[#This Row],[Date  (DMY)]])</f>
        <v>1</v>
      </c>
      <c r="G1292" s="2"/>
      <c r="L1292" s="5"/>
      <c r="M1292" s="4">
        <f>M1291-Table13[[#This Row],[Debits]]+Table13[[#This Row],[Income]]</f>
        <v>2805.21</v>
      </c>
      <c r="N1292" t="str">
        <f>IF(AND(Table13[[#This Row],[Category]]="pay",NOT(Table13[[#This Row],[Debits]]=0)),"bad","good")</f>
        <v>good</v>
      </c>
      <c r="O1292" s="5"/>
    </row>
    <row r="1293" spans="6:15" x14ac:dyDescent="0.3">
      <c r="F1293">
        <f>MONTH(Table13[[#This Row],[Date  (DMY)]])</f>
        <v>1</v>
      </c>
      <c r="G1293" s="2"/>
      <c r="L1293" s="5"/>
      <c r="M1293" s="4">
        <f>M1292-Table13[[#This Row],[Debits]]+Table13[[#This Row],[Income]]</f>
        <v>2805.21</v>
      </c>
      <c r="N1293" t="str">
        <f>IF(AND(Table13[[#This Row],[Category]]="pay",NOT(Table13[[#This Row],[Debits]]=0)),"bad","good")</f>
        <v>good</v>
      </c>
      <c r="O1293" s="5"/>
    </row>
    <row r="1294" spans="6:15" x14ac:dyDescent="0.3">
      <c r="F1294">
        <f>MONTH(Table13[[#This Row],[Date  (DMY)]])</f>
        <v>1</v>
      </c>
      <c r="G1294" s="2"/>
      <c r="L1294" s="5"/>
      <c r="M1294" s="4">
        <f>M1293-Table13[[#This Row],[Debits]]+Table13[[#This Row],[Income]]</f>
        <v>2805.21</v>
      </c>
      <c r="N1294" t="str">
        <f>IF(AND(Table13[[#This Row],[Category]]="pay",NOT(Table13[[#This Row],[Debits]]=0)),"bad","good")</f>
        <v>good</v>
      </c>
      <c r="O1294" s="5"/>
    </row>
    <row r="1295" spans="6:15" x14ac:dyDescent="0.3">
      <c r="F1295">
        <f>MONTH(Table13[[#This Row],[Date  (DMY)]])</f>
        <v>1</v>
      </c>
      <c r="G1295" s="2"/>
      <c r="L1295" s="5"/>
      <c r="M1295" s="4">
        <f>M1294-Table13[[#This Row],[Debits]]+Table13[[#This Row],[Income]]</f>
        <v>2805.21</v>
      </c>
      <c r="N1295" t="str">
        <f>IF(AND(Table13[[#This Row],[Category]]="pay",NOT(Table13[[#This Row],[Debits]]=0)),"bad","good")</f>
        <v>good</v>
      </c>
      <c r="O1295" s="5"/>
    </row>
    <row r="1296" spans="6:15" x14ac:dyDescent="0.3">
      <c r="F1296">
        <f>MONTH(Table13[[#This Row],[Date  (DMY)]])</f>
        <v>1</v>
      </c>
      <c r="G1296" s="2"/>
      <c r="L1296" s="5"/>
      <c r="M1296" s="4">
        <f>M1295-Table13[[#This Row],[Debits]]+Table13[[#This Row],[Income]]</f>
        <v>2805.21</v>
      </c>
      <c r="N1296" t="str">
        <f>IF(AND(Table13[[#This Row],[Category]]="pay",NOT(Table13[[#This Row],[Debits]]=0)),"bad","good")</f>
        <v>good</v>
      </c>
      <c r="O1296" s="5"/>
    </row>
    <row r="1297" spans="6:15" x14ac:dyDescent="0.3">
      <c r="F1297">
        <f>MONTH(Table13[[#This Row],[Date  (DMY)]])</f>
        <v>1</v>
      </c>
      <c r="G1297" s="2"/>
      <c r="L1297" s="5"/>
      <c r="M1297" s="4">
        <f>M1296-Table13[[#This Row],[Debits]]+Table13[[#This Row],[Income]]</f>
        <v>2805.21</v>
      </c>
      <c r="N1297" t="str">
        <f>IF(AND(Table13[[#This Row],[Category]]="pay",NOT(Table13[[#This Row],[Debits]]=0)),"bad","good")</f>
        <v>good</v>
      </c>
      <c r="O1297" s="5"/>
    </row>
    <row r="1298" spans="6:15" x14ac:dyDescent="0.3">
      <c r="F1298">
        <f>MONTH(Table13[[#This Row],[Date  (DMY)]])</f>
        <v>1</v>
      </c>
      <c r="G1298" s="2"/>
      <c r="L1298" s="5"/>
      <c r="M1298" s="4">
        <f>M1297-Table13[[#This Row],[Debits]]+Table13[[#This Row],[Income]]</f>
        <v>2805.21</v>
      </c>
      <c r="N1298" t="str">
        <f>IF(AND(Table13[[#This Row],[Category]]="pay",NOT(Table13[[#This Row],[Debits]]=0)),"bad","good")</f>
        <v>good</v>
      </c>
      <c r="O1298" s="5"/>
    </row>
    <row r="1299" spans="6:15" x14ac:dyDescent="0.3">
      <c r="F1299">
        <f>MONTH(Table13[[#This Row],[Date  (DMY)]])</f>
        <v>1</v>
      </c>
      <c r="G1299" s="2"/>
      <c r="L1299" s="5"/>
      <c r="M1299" s="4">
        <f>M1298-Table13[[#This Row],[Debits]]+Table13[[#This Row],[Income]]</f>
        <v>2805.21</v>
      </c>
      <c r="N1299" t="str">
        <f>IF(AND(Table13[[#This Row],[Category]]="pay",NOT(Table13[[#This Row],[Debits]]=0)),"bad","good")</f>
        <v>good</v>
      </c>
      <c r="O1299" s="5"/>
    </row>
    <row r="1300" spans="6:15" x14ac:dyDescent="0.3">
      <c r="F1300">
        <f>MONTH(Table13[[#This Row],[Date  (DMY)]])</f>
        <v>1</v>
      </c>
      <c r="G1300" s="2"/>
      <c r="L1300" s="5"/>
      <c r="M1300" s="4">
        <f>M1299-Table13[[#This Row],[Debits]]+Table13[[#This Row],[Income]]</f>
        <v>2805.21</v>
      </c>
      <c r="N1300" t="str">
        <f>IF(AND(Table13[[#This Row],[Category]]="pay",NOT(Table13[[#This Row],[Debits]]=0)),"bad","good")</f>
        <v>good</v>
      </c>
      <c r="O1300" s="5"/>
    </row>
    <row r="1301" spans="6:15" x14ac:dyDescent="0.3">
      <c r="F1301">
        <f>MONTH(Table13[[#This Row],[Date  (DMY)]])</f>
        <v>1</v>
      </c>
      <c r="G1301" s="2"/>
      <c r="L1301" s="5"/>
      <c r="M1301" s="4">
        <f>M1300-Table13[[#This Row],[Debits]]+Table13[[#This Row],[Income]]</f>
        <v>2805.21</v>
      </c>
      <c r="N1301" t="str">
        <f>IF(AND(Table13[[#This Row],[Category]]="pay",NOT(Table13[[#This Row],[Debits]]=0)),"bad","good")</f>
        <v>good</v>
      </c>
      <c r="O1301" s="5"/>
    </row>
    <row r="1302" spans="6:15" x14ac:dyDescent="0.3">
      <c r="F1302">
        <f>MONTH(Table13[[#This Row],[Date  (DMY)]])</f>
        <v>1</v>
      </c>
      <c r="G1302" s="2"/>
      <c r="L1302" s="5"/>
      <c r="M1302" s="4">
        <f>M1301-Table13[[#This Row],[Debits]]+Table13[[#This Row],[Income]]</f>
        <v>2805.21</v>
      </c>
      <c r="N1302" t="str">
        <f>IF(AND(Table13[[#This Row],[Category]]="pay",NOT(Table13[[#This Row],[Debits]]=0)),"bad","good")</f>
        <v>good</v>
      </c>
      <c r="O1302" s="5"/>
    </row>
    <row r="1303" spans="6:15" x14ac:dyDescent="0.3">
      <c r="F1303">
        <f>MONTH(Table13[[#This Row],[Date  (DMY)]])</f>
        <v>1</v>
      </c>
      <c r="G1303" s="2"/>
      <c r="L1303" s="5"/>
      <c r="M1303" s="4">
        <f>M1302-Table13[[#This Row],[Debits]]+Table13[[#This Row],[Income]]</f>
        <v>2805.21</v>
      </c>
      <c r="N1303" t="str">
        <f>IF(AND(Table13[[#This Row],[Category]]="pay",NOT(Table13[[#This Row],[Debits]]=0)),"bad","good")</f>
        <v>good</v>
      </c>
      <c r="O1303" s="5"/>
    </row>
    <row r="1304" spans="6:15" x14ac:dyDescent="0.3">
      <c r="F1304">
        <f>MONTH(Table13[[#This Row],[Date  (DMY)]])</f>
        <v>1</v>
      </c>
      <c r="G1304" s="2"/>
      <c r="L1304" s="5"/>
      <c r="M1304" s="4">
        <f>M1303-Table13[[#This Row],[Debits]]+Table13[[#This Row],[Income]]</f>
        <v>2805.21</v>
      </c>
      <c r="N1304" t="str">
        <f>IF(AND(Table13[[#This Row],[Category]]="pay",NOT(Table13[[#This Row],[Debits]]=0)),"bad","good")</f>
        <v>good</v>
      </c>
      <c r="O1304" s="5"/>
    </row>
    <row r="1305" spans="6:15" x14ac:dyDescent="0.3">
      <c r="F1305">
        <f>MONTH(Table13[[#This Row],[Date  (DMY)]])</f>
        <v>1</v>
      </c>
      <c r="G1305" s="2"/>
      <c r="L1305" s="5"/>
      <c r="M1305" s="4">
        <f>M1304-Table13[[#This Row],[Debits]]+Table13[[#This Row],[Income]]</f>
        <v>2805.21</v>
      </c>
      <c r="N1305" t="str">
        <f>IF(AND(Table13[[#This Row],[Category]]="pay",NOT(Table13[[#This Row],[Debits]]=0)),"bad","good")</f>
        <v>good</v>
      </c>
      <c r="O1305" s="5"/>
    </row>
    <row r="1306" spans="6:15" x14ac:dyDescent="0.3">
      <c r="F1306">
        <f>MONTH(Table13[[#This Row],[Date  (DMY)]])</f>
        <v>1</v>
      </c>
      <c r="G1306" s="2"/>
      <c r="L1306" s="5"/>
      <c r="M1306" s="4">
        <f>M1305-Table13[[#This Row],[Debits]]+Table13[[#This Row],[Income]]</f>
        <v>2805.21</v>
      </c>
      <c r="N1306" t="str">
        <f>IF(AND(Table13[[#This Row],[Category]]="pay",NOT(Table13[[#This Row],[Debits]]=0)),"bad","good")</f>
        <v>good</v>
      </c>
      <c r="O1306" s="5"/>
    </row>
    <row r="1307" spans="6:15" x14ac:dyDescent="0.3">
      <c r="F1307">
        <f>MONTH(Table13[[#This Row],[Date  (DMY)]])</f>
        <v>1</v>
      </c>
      <c r="G1307" s="2"/>
      <c r="L1307" s="5"/>
      <c r="M1307" s="4">
        <f>M1306-Table13[[#This Row],[Debits]]+Table13[[#This Row],[Income]]</f>
        <v>2805.21</v>
      </c>
      <c r="N1307" t="str">
        <f>IF(AND(Table13[[#This Row],[Category]]="pay",NOT(Table13[[#This Row],[Debits]]=0)),"bad","good")</f>
        <v>good</v>
      </c>
      <c r="O1307" s="5"/>
    </row>
    <row r="1308" spans="6:15" x14ac:dyDescent="0.3">
      <c r="F1308">
        <f>MONTH(Table13[[#This Row],[Date  (DMY)]])</f>
        <v>1</v>
      </c>
      <c r="G1308" s="2"/>
      <c r="L1308" s="5"/>
      <c r="M1308" s="4">
        <f>M1307-Table13[[#This Row],[Debits]]+Table13[[#This Row],[Income]]</f>
        <v>2805.21</v>
      </c>
      <c r="N1308" t="str">
        <f>IF(AND(Table13[[#This Row],[Category]]="pay",NOT(Table13[[#This Row],[Debits]]=0)),"bad","good")</f>
        <v>good</v>
      </c>
      <c r="O1308" s="5"/>
    </row>
    <row r="1309" spans="6:15" x14ac:dyDescent="0.3">
      <c r="F1309">
        <f>MONTH(Table13[[#This Row],[Date  (DMY)]])</f>
        <v>1</v>
      </c>
      <c r="G1309" s="2"/>
      <c r="L1309" s="5"/>
      <c r="M1309" s="4">
        <f>M1308-Table13[[#This Row],[Debits]]+Table13[[#This Row],[Income]]</f>
        <v>2805.21</v>
      </c>
      <c r="N1309" t="str">
        <f>IF(AND(Table13[[#This Row],[Category]]="pay",NOT(Table13[[#This Row],[Debits]]=0)),"bad","good")</f>
        <v>good</v>
      </c>
      <c r="O1309" s="5"/>
    </row>
    <row r="1310" spans="6:15" x14ac:dyDescent="0.3">
      <c r="F1310">
        <f>MONTH(Table13[[#This Row],[Date  (DMY)]])</f>
        <v>1</v>
      </c>
      <c r="G1310" s="2"/>
      <c r="L1310" s="5"/>
      <c r="M1310" s="4">
        <f>M1309-Table13[[#This Row],[Debits]]+Table13[[#This Row],[Income]]</f>
        <v>2805.21</v>
      </c>
      <c r="N1310" t="str">
        <f>IF(AND(Table13[[#This Row],[Category]]="pay",NOT(Table13[[#This Row],[Debits]]=0)),"bad","good")</f>
        <v>good</v>
      </c>
      <c r="O1310" s="5"/>
    </row>
    <row r="1311" spans="6:15" x14ac:dyDescent="0.3">
      <c r="F1311">
        <f>MONTH(Table13[[#This Row],[Date  (DMY)]])</f>
        <v>1</v>
      </c>
      <c r="G1311" s="2"/>
      <c r="L1311" s="5"/>
      <c r="M1311" s="4">
        <f>M1310-Table13[[#This Row],[Debits]]+Table13[[#This Row],[Income]]</f>
        <v>2805.21</v>
      </c>
      <c r="N1311" t="str">
        <f>IF(AND(Table13[[#This Row],[Category]]="pay",NOT(Table13[[#This Row],[Debits]]=0)),"bad","good")</f>
        <v>good</v>
      </c>
      <c r="O1311" s="5"/>
    </row>
    <row r="1312" spans="6:15" x14ac:dyDescent="0.3">
      <c r="F1312">
        <f>MONTH(Table13[[#This Row],[Date  (DMY)]])</f>
        <v>1</v>
      </c>
      <c r="G1312" s="2"/>
      <c r="L1312" s="5"/>
      <c r="M1312" s="4">
        <f>M1311-Table13[[#This Row],[Debits]]+Table13[[#This Row],[Income]]</f>
        <v>2805.21</v>
      </c>
      <c r="N1312" t="str">
        <f>IF(AND(Table13[[#This Row],[Category]]="pay",NOT(Table13[[#This Row],[Debits]]=0)),"bad","good")</f>
        <v>good</v>
      </c>
      <c r="O1312" s="5"/>
    </row>
    <row r="1313" spans="6:15" x14ac:dyDescent="0.3">
      <c r="F1313">
        <f>MONTH(Table13[[#This Row],[Date  (DMY)]])</f>
        <v>1</v>
      </c>
      <c r="G1313" s="2"/>
      <c r="L1313" s="5"/>
      <c r="M1313" s="4">
        <f>M1312-Table13[[#This Row],[Debits]]+Table13[[#This Row],[Income]]</f>
        <v>2805.21</v>
      </c>
      <c r="N1313" t="str">
        <f>IF(AND(Table13[[#This Row],[Category]]="pay",NOT(Table13[[#This Row],[Debits]]=0)),"bad","good")</f>
        <v>good</v>
      </c>
      <c r="O1313" s="5"/>
    </row>
    <row r="1314" spans="6:15" x14ac:dyDescent="0.3">
      <c r="F1314">
        <f>MONTH(Table13[[#This Row],[Date  (DMY)]])</f>
        <v>1</v>
      </c>
      <c r="G1314" s="2"/>
      <c r="L1314" s="5"/>
      <c r="M1314" s="4">
        <f>M1313-Table13[[#This Row],[Debits]]+Table13[[#This Row],[Income]]</f>
        <v>2805.21</v>
      </c>
      <c r="N1314" t="str">
        <f>IF(AND(Table13[[#This Row],[Category]]="pay",NOT(Table13[[#This Row],[Debits]]=0)),"bad","good")</f>
        <v>good</v>
      </c>
      <c r="O1314" s="5"/>
    </row>
    <row r="1315" spans="6:15" x14ac:dyDescent="0.3">
      <c r="F1315">
        <f>MONTH(Table13[[#This Row],[Date  (DMY)]])</f>
        <v>1</v>
      </c>
      <c r="G1315" s="2"/>
      <c r="L1315" s="5"/>
      <c r="M1315" s="4">
        <f>M1314-Table13[[#This Row],[Debits]]+Table13[[#This Row],[Income]]</f>
        <v>2805.21</v>
      </c>
      <c r="N1315" t="str">
        <f>IF(AND(Table13[[#This Row],[Category]]="pay",NOT(Table13[[#This Row],[Debits]]=0)),"bad","good")</f>
        <v>good</v>
      </c>
      <c r="O1315" s="5"/>
    </row>
    <row r="1316" spans="6:15" x14ac:dyDescent="0.3">
      <c r="F1316">
        <f>MONTH(Table13[[#This Row],[Date  (DMY)]])</f>
        <v>1</v>
      </c>
      <c r="G1316" s="2"/>
      <c r="L1316" s="5"/>
      <c r="M1316" s="4">
        <f>M1315-Table13[[#This Row],[Debits]]+Table13[[#This Row],[Income]]</f>
        <v>2805.21</v>
      </c>
      <c r="N1316" t="str">
        <f>IF(AND(Table13[[#This Row],[Category]]="pay",NOT(Table13[[#This Row],[Debits]]=0)),"bad","good")</f>
        <v>good</v>
      </c>
      <c r="O1316" s="5"/>
    </row>
    <row r="1317" spans="6:15" x14ac:dyDescent="0.3">
      <c r="F1317">
        <f>MONTH(Table13[[#This Row],[Date  (DMY)]])</f>
        <v>1</v>
      </c>
      <c r="G1317" s="2"/>
      <c r="L1317" s="5"/>
      <c r="M1317" s="4">
        <f>M1316-Table13[[#This Row],[Debits]]+Table13[[#This Row],[Income]]</f>
        <v>2805.21</v>
      </c>
      <c r="N1317" t="str">
        <f>IF(AND(Table13[[#This Row],[Category]]="pay",NOT(Table13[[#This Row],[Debits]]=0)),"bad","good")</f>
        <v>good</v>
      </c>
      <c r="O1317" s="5"/>
    </row>
    <row r="1318" spans="6:15" x14ac:dyDescent="0.3">
      <c r="F1318">
        <f>MONTH(Table13[[#This Row],[Date  (DMY)]])</f>
        <v>1</v>
      </c>
      <c r="G1318" s="2"/>
      <c r="L1318" s="5"/>
      <c r="M1318" s="4">
        <f>M1317-Table13[[#This Row],[Debits]]+Table13[[#This Row],[Income]]</f>
        <v>2805.21</v>
      </c>
      <c r="N1318" t="str">
        <f>IF(AND(Table13[[#This Row],[Category]]="pay",NOT(Table13[[#This Row],[Debits]]=0)),"bad","good")</f>
        <v>good</v>
      </c>
      <c r="O1318" s="5"/>
    </row>
    <row r="1319" spans="6:15" x14ac:dyDescent="0.3">
      <c r="F1319">
        <f>MONTH(Table13[[#This Row],[Date  (DMY)]])</f>
        <v>1</v>
      </c>
      <c r="G1319" s="2"/>
      <c r="L1319" s="5"/>
      <c r="M1319" s="4">
        <f>M1318-Table13[[#This Row],[Debits]]+Table13[[#This Row],[Income]]</f>
        <v>2805.21</v>
      </c>
      <c r="N1319" t="str">
        <f>IF(AND(Table13[[#This Row],[Category]]="pay",NOT(Table13[[#This Row],[Debits]]=0)),"bad","good")</f>
        <v>good</v>
      </c>
      <c r="O1319" s="5"/>
    </row>
    <row r="1320" spans="6:15" x14ac:dyDescent="0.3">
      <c r="F1320">
        <f>MONTH(Table13[[#This Row],[Date  (DMY)]])</f>
        <v>1</v>
      </c>
      <c r="G1320" s="2"/>
      <c r="L1320" s="5"/>
      <c r="M1320" s="4">
        <f>M1319-Table13[[#This Row],[Debits]]+Table13[[#This Row],[Income]]</f>
        <v>2805.21</v>
      </c>
      <c r="N1320" t="str">
        <f>IF(AND(Table13[[#This Row],[Category]]="pay",NOT(Table13[[#This Row],[Debits]]=0)),"bad","good")</f>
        <v>good</v>
      </c>
      <c r="O1320" s="5"/>
    </row>
    <row r="1321" spans="6:15" x14ac:dyDescent="0.3">
      <c r="F1321">
        <f>MONTH(Table13[[#This Row],[Date  (DMY)]])</f>
        <v>1</v>
      </c>
      <c r="G1321" s="2"/>
      <c r="L1321" s="5"/>
      <c r="M1321" s="4">
        <f>M1320-Table13[[#This Row],[Debits]]+Table13[[#This Row],[Income]]</f>
        <v>2805.21</v>
      </c>
      <c r="N1321" t="str">
        <f>IF(AND(Table13[[#This Row],[Category]]="pay",NOT(Table13[[#This Row],[Debits]]=0)),"bad","good")</f>
        <v>good</v>
      </c>
      <c r="O1321" s="5"/>
    </row>
    <row r="1322" spans="6:15" x14ac:dyDescent="0.3">
      <c r="F1322">
        <f>MONTH(Table13[[#This Row],[Date  (DMY)]])</f>
        <v>1</v>
      </c>
      <c r="G1322" s="2"/>
      <c r="L1322" s="5"/>
      <c r="M1322" s="4">
        <f>M1321-Table13[[#This Row],[Debits]]+Table13[[#This Row],[Income]]</f>
        <v>2805.21</v>
      </c>
      <c r="N1322" t="str">
        <f>IF(AND(Table13[[#This Row],[Category]]="pay",NOT(Table13[[#This Row],[Debits]]=0)),"bad","good")</f>
        <v>good</v>
      </c>
      <c r="O1322" s="5"/>
    </row>
    <row r="1323" spans="6:15" x14ac:dyDescent="0.3">
      <c r="F1323">
        <f>MONTH(Table13[[#This Row],[Date  (DMY)]])</f>
        <v>1</v>
      </c>
      <c r="G1323" s="2"/>
      <c r="L1323" s="5"/>
      <c r="M1323" s="4">
        <f>M1322-Table13[[#This Row],[Debits]]+Table13[[#This Row],[Income]]</f>
        <v>2805.21</v>
      </c>
      <c r="N1323" t="str">
        <f>IF(AND(Table13[[#This Row],[Category]]="pay",NOT(Table13[[#This Row],[Debits]]=0)),"bad","good")</f>
        <v>good</v>
      </c>
      <c r="O1323" s="5"/>
    </row>
    <row r="1324" spans="6:15" x14ac:dyDescent="0.3">
      <c r="F1324">
        <f>MONTH(Table13[[#This Row],[Date  (DMY)]])</f>
        <v>1</v>
      </c>
      <c r="G1324" s="2"/>
      <c r="L1324" s="5"/>
      <c r="M1324" s="4">
        <f>M1323-Table13[[#This Row],[Debits]]+Table13[[#This Row],[Income]]</f>
        <v>2805.21</v>
      </c>
      <c r="N1324" t="str">
        <f>IF(AND(Table13[[#This Row],[Category]]="pay",NOT(Table13[[#This Row],[Debits]]=0)),"bad","good")</f>
        <v>good</v>
      </c>
      <c r="O1324" s="5"/>
    </row>
    <row r="1325" spans="6:15" x14ac:dyDescent="0.3">
      <c r="F1325">
        <f>MONTH(Table13[[#This Row],[Date  (DMY)]])</f>
        <v>1</v>
      </c>
      <c r="G1325" s="2"/>
      <c r="L1325" s="5"/>
      <c r="M1325" s="4">
        <f>M1324-Table13[[#This Row],[Debits]]+Table13[[#This Row],[Income]]</f>
        <v>2805.21</v>
      </c>
      <c r="N1325" t="str">
        <f>IF(AND(Table13[[#This Row],[Category]]="pay",NOT(Table13[[#This Row],[Debits]]=0)),"bad","good")</f>
        <v>good</v>
      </c>
      <c r="O1325" s="5"/>
    </row>
    <row r="1326" spans="6:15" x14ac:dyDescent="0.3">
      <c r="F1326">
        <f>MONTH(Table13[[#This Row],[Date  (DMY)]])</f>
        <v>1</v>
      </c>
      <c r="G1326" s="2"/>
      <c r="L1326" s="5"/>
      <c r="M1326" s="4">
        <f>M1325-Table13[[#This Row],[Debits]]+Table13[[#This Row],[Income]]</f>
        <v>2805.21</v>
      </c>
      <c r="N1326" t="str">
        <f>IF(AND(Table13[[#This Row],[Category]]="pay",NOT(Table13[[#This Row],[Debits]]=0)),"bad","good")</f>
        <v>good</v>
      </c>
      <c r="O1326" s="5"/>
    </row>
    <row r="1327" spans="6:15" x14ac:dyDescent="0.3">
      <c r="F1327">
        <f>MONTH(Table13[[#This Row],[Date  (DMY)]])</f>
        <v>1</v>
      </c>
      <c r="G1327" s="2"/>
      <c r="L1327" s="5"/>
      <c r="M1327" s="4">
        <f>M1326-Table13[[#This Row],[Debits]]+Table13[[#This Row],[Income]]</f>
        <v>2805.21</v>
      </c>
      <c r="N1327" t="str">
        <f>IF(AND(Table13[[#This Row],[Category]]="pay",NOT(Table13[[#This Row],[Debits]]=0)),"bad","good")</f>
        <v>good</v>
      </c>
      <c r="O1327" s="5"/>
    </row>
    <row r="1328" spans="6:15" x14ac:dyDescent="0.3">
      <c r="F1328">
        <f>MONTH(Table13[[#This Row],[Date  (DMY)]])</f>
        <v>1</v>
      </c>
      <c r="G1328" s="2"/>
      <c r="L1328" s="5"/>
      <c r="M1328" s="4">
        <f>M1327-Table13[[#This Row],[Debits]]+Table13[[#This Row],[Income]]</f>
        <v>2805.21</v>
      </c>
      <c r="N1328" t="str">
        <f>IF(AND(Table13[[#This Row],[Category]]="pay",NOT(Table13[[#This Row],[Debits]]=0)),"bad","good")</f>
        <v>good</v>
      </c>
      <c r="O1328" s="5"/>
    </row>
    <row r="1329" spans="6:15" x14ac:dyDescent="0.3">
      <c r="F1329">
        <f>MONTH(Table13[[#This Row],[Date  (DMY)]])</f>
        <v>1</v>
      </c>
      <c r="G1329" s="2"/>
      <c r="L1329" s="5"/>
      <c r="M1329" s="4">
        <f>M1328-Table13[[#This Row],[Debits]]+Table13[[#This Row],[Income]]</f>
        <v>2805.21</v>
      </c>
      <c r="N1329" t="str">
        <f>IF(AND(Table13[[#This Row],[Category]]="pay",NOT(Table13[[#This Row],[Debits]]=0)),"bad","good")</f>
        <v>good</v>
      </c>
      <c r="O1329" s="5"/>
    </row>
    <row r="1330" spans="6:15" x14ac:dyDescent="0.3">
      <c r="F1330">
        <f>MONTH(Table13[[#This Row],[Date  (DMY)]])</f>
        <v>1</v>
      </c>
      <c r="G1330" s="2"/>
      <c r="L1330" s="5"/>
      <c r="M1330" s="4">
        <f>M1329-Table13[[#This Row],[Debits]]+Table13[[#This Row],[Income]]</f>
        <v>2805.21</v>
      </c>
      <c r="N1330" t="str">
        <f>IF(AND(Table13[[#This Row],[Category]]="pay",NOT(Table13[[#This Row],[Debits]]=0)),"bad","good")</f>
        <v>good</v>
      </c>
      <c r="O1330" s="5"/>
    </row>
    <row r="1331" spans="6:15" x14ac:dyDescent="0.3">
      <c r="F1331">
        <f>MONTH(Table13[[#This Row],[Date  (DMY)]])</f>
        <v>1</v>
      </c>
      <c r="G1331" s="2"/>
      <c r="L1331" s="5"/>
      <c r="M1331" s="4">
        <f>M1330-Table13[[#This Row],[Debits]]+Table13[[#This Row],[Income]]</f>
        <v>2805.21</v>
      </c>
      <c r="N1331" t="str">
        <f>IF(AND(Table13[[#This Row],[Category]]="pay",NOT(Table13[[#This Row],[Debits]]=0)),"bad","good")</f>
        <v>good</v>
      </c>
      <c r="O1331" s="5"/>
    </row>
    <row r="1332" spans="6:15" x14ac:dyDescent="0.3">
      <c r="F1332">
        <f>MONTH(Table13[[#This Row],[Date  (DMY)]])</f>
        <v>1</v>
      </c>
      <c r="G1332" s="2"/>
      <c r="L1332" s="5"/>
      <c r="M1332" s="4">
        <f>M1331-Table13[[#This Row],[Debits]]+Table13[[#This Row],[Income]]</f>
        <v>2805.21</v>
      </c>
      <c r="N1332" t="str">
        <f>IF(AND(Table13[[#This Row],[Category]]="pay",NOT(Table13[[#This Row],[Debits]]=0)),"bad","good")</f>
        <v>good</v>
      </c>
      <c r="O1332" s="5"/>
    </row>
    <row r="1333" spans="6:15" x14ac:dyDescent="0.3">
      <c r="F1333">
        <f>MONTH(Table13[[#This Row],[Date  (DMY)]])</f>
        <v>1</v>
      </c>
      <c r="G1333" s="2"/>
      <c r="L1333" s="5"/>
      <c r="M1333" s="4">
        <f>M1332-Table13[[#This Row],[Debits]]+Table13[[#This Row],[Income]]</f>
        <v>2805.21</v>
      </c>
      <c r="N1333" t="str">
        <f>IF(AND(Table13[[#This Row],[Category]]="pay",NOT(Table13[[#This Row],[Debits]]=0)),"bad","good")</f>
        <v>good</v>
      </c>
      <c r="O1333" s="5"/>
    </row>
    <row r="1334" spans="6:15" x14ac:dyDescent="0.3">
      <c r="F1334">
        <f>MONTH(Table13[[#This Row],[Date  (DMY)]])</f>
        <v>1</v>
      </c>
      <c r="G1334" s="2"/>
      <c r="L1334" s="5"/>
      <c r="M1334" s="4">
        <f>M1333-Table13[[#This Row],[Debits]]+Table13[[#This Row],[Income]]</f>
        <v>2805.21</v>
      </c>
      <c r="N1334" t="str">
        <f>IF(AND(Table13[[#This Row],[Category]]="pay",NOT(Table13[[#This Row],[Debits]]=0)),"bad","good")</f>
        <v>good</v>
      </c>
      <c r="O1334" s="5"/>
    </row>
    <row r="1335" spans="6:15" x14ac:dyDescent="0.3">
      <c r="F1335">
        <f>MONTH(Table13[[#This Row],[Date  (DMY)]])</f>
        <v>1</v>
      </c>
      <c r="G1335" s="2"/>
      <c r="L1335" s="5"/>
      <c r="M1335" s="4">
        <f>M1334-Table13[[#This Row],[Debits]]+Table13[[#This Row],[Income]]</f>
        <v>2805.21</v>
      </c>
      <c r="N1335" t="str">
        <f>IF(AND(Table13[[#This Row],[Category]]="pay",NOT(Table13[[#This Row],[Debits]]=0)),"bad","good")</f>
        <v>good</v>
      </c>
      <c r="O1335" s="5"/>
    </row>
    <row r="1336" spans="6:15" x14ac:dyDescent="0.3">
      <c r="F1336">
        <f>MONTH(Table13[[#This Row],[Date  (DMY)]])</f>
        <v>1</v>
      </c>
      <c r="G1336" s="2"/>
      <c r="L1336" s="5"/>
      <c r="M1336" s="4">
        <f>M1335-Table13[[#This Row],[Debits]]+Table13[[#This Row],[Income]]</f>
        <v>2805.21</v>
      </c>
      <c r="N1336" t="str">
        <f>IF(AND(Table13[[#This Row],[Category]]="pay",NOT(Table13[[#This Row],[Debits]]=0)),"bad","good")</f>
        <v>good</v>
      </c>
      <c r="O1336" s="5"/>
    </row>
    <row r="1337" spans="6:15" x14ac:dyDescent="0.3">
      <c r="F1337">
        <f>MONTH(Table13[[#This Row],[Date  (DMY)]])</f>
        <v>1</v>
      </c>
      <c r="G1337" s="2"/>
      <c r="L1337" s="5"/>
      <c r="M1337" s="4">
        <f>M1336-Table13[[#This Row],[Debits]]+Table13[[#This Row],[Income]]</f>
        <v>2805.21</v>
      </c>
      <c r="N1337" t="str">
        <f>IF(AND(Table13[[#This Row],[Category]]="pay",NOT(Table13[[#This Row],[Debits]]=0)),"bad","good")</f>
        <v>good</v>
      </c>
      <c r="O1337" s="5"/>
    </row>
    <row r="1338" spans="6:15" x14ac:dyDescent="0.3">
      <c r="F1338">
        <f>MONTH(Table13[[#This Row],[Date  (DMY)]])</f>
        <v>1</v>
      </c>
      <c r="G1338" s="2"/>
      <c r="L1338" s="5"/>
      <c r="M1338" s="4">
        <f>M1337-Table13[[#This Row],[Debits]]+Table13[[#This Row],[Income]]</f>
        <v>2805.21</v>
      </c>
      <c r="N1338" t="str">
        <f>IF(AND(Table13[[#This Row],[Category]]="pay",NOT(Table13[[#This Row],[Debits]]=0)),"bad","good")</f>
        <v>good</v>
      </c>
      <c r="O1338" s="5"/>
    </row>
    <row r="1339" spans="6:15" x14ac:dyDescent="0.3">
      <c r="F1339">
        <f>MONTH(Table13[[#This Row],[Date  (DMY)]])</f>
        <v>1</v>
      </c>
      <c r="G1339" s="2"/>
      <c r="L1339" s="5"/>
      <c r="M1339" s="4">
        <f>M1338-Table13[[#This Row],[Debits]]+Table13[[#This Row],[Income]]</f>
        <v>2805.21</v>
      </c>
      <c r="N1339" t="str">
        <f>IF(AND(Table13[[#This Row],[Category]]="pay",NOT(Table13[[#This Row],[Debits]]=0)),"bad","good")</f>
        <v>good</v>
      </c>
      <c r="O1339" s="5"/>
    </row>
    <row r="1340" spans="6:15" x14ac:dyDescent="0.3">
      <c r="F1340">
        <f>MONTH(Table13[[#This Row],[Date  (DMY)]])</f>
        <v>1</v>
      </c>
      <c r="G1340" s="2"/>
      <c r="L1340" s="5"/>
      <c r="M1340" s="4">
        <f>M1339-Table13[[#This Row],[Debits]]+Table13[[#This Row],[Income]]</f>
        <v>2805.21</v>
      </c>
      <c r="N1340" t="str">
        <f>IF(AND(Table13[[#This Row],[Category]]="pay",NOT(Table13[[#This Row],[Debits]]=0)),"bad","good")</f>
        <v>good</v>
      </c>
      <c r="O1340" s="5"/>
    </row>
    <row r="1341" spans="6:15" x14ac:dyDescent="0.3">
      <c r="F1341">
        <f>MONTH(Table13[[#This Row],[Date  (DMY)]])</f>
        <v>1</v>
      </c>
      <c r="G1341" s="2"/>
      <c r="L1341" s="5"/>
      <c r="M1341" s="4">
        <f>M1340-Table13[[#This Row],[Debits]]+Table13[[#This Row],[Income]]</f>
        <v>2805.21</v>
      </c>
      <c r="N1341" t="str">
        <f>IF(AND(Table13[[#This Row],[Category]]="pay",NOT(Table13[[#This Row],[Debits]]=0)),"bad","good")</f>
        <v>good</v>
      </c>
      <c r="O1341" s="5"/>
    </row>
    <row r="1342" spans="6:15" x14ac:dyDescent="0.3">
      <c r="F1342">
        <f>MONTH(Table13[[#This Row],[Date  (DMY)]])</f>
        <v>1</v>
      </c>
      <c r="G1342" s="2"/>
      <c r="L1342" s="5"/>
      <c r="M1342" s="4">
        <f>M1341-Table13[[#This Row],[Debits]]+Table13[[#This Row],[Income]]</f>
        <v>2805.21</v>
      </c>
      <c r="N1342" t="str">
        <f>IF(AND(Table13[[#This Row],[Category]]="pay",NOT(Table13[[#This Row],[Debits]]=0)),"bad","good")</f>
        <v>good</v>
      </c>
      <c r="O1342" s="5"/>
    </row>
    <row r="1343" spans="6:15" x14ac:dyDescent="0.3">
      <c r="F1343">
        <f>MONTH(Table13[[#This Row],[Date  (DMY)]])</f>
        <v>1</v>
      </c>
      <c r="G1343" s="2"/>
      <c r="L1343" s="5"/>
      <c r="M1343" s="4">
        <f>M1342-Table13[[#This Row],[Debits]]+Table13[[#This Row],[Income]]</f>
        <v>2805.21</v>
      </c>
      <c r="N1343" t="str">
        <f>IF(AND(Table13[[#This Row],[Category]]="pay",NOT(Table13[[#This Row],[Debits]]=0)),"bad","good")</f>
        <v>good</v>
      </c>
      <c r="O1343" s="5"/>
    </row>
    <row r="1344" spans="6:15" x14ac:dyDescent="0.3">
      <c r="F1344">
        <f>MONTH(Table13[[#This Row],[Date  (DMY)]])</f>
        <v>1</v>
      </c>
      <c r="G1344" s="2"/>
      <c r="L1344" s="5"/>
      <c r="M1344" s="4">
        <f>M1343-Table13[[#This Row],[Debits]]+Table13[[#This Row],[Income]]</f>
        <v>2805.21</v>
      </c>
      <c r="N1344" t="str">
        <f>IF(AND(Table13[[#This Row],[Category]]="pay",NOT(Table13[[#This Row],[Debits]]=0)),"bad","good")</f>
        <v>good</v>
      </c>
      <c r="O1344" s="5"/>
    </row>
    <row r="1345" spans="6:15" x14ac:dyDescent="0.3">
      <c r="F1345">
        <f>MONTH(Table13[[#This Row],[Date  (DMY)]])</f>
        <v>1</v>
      </c>
      <c r="G1345" s="2"/>
      <c r="L1345" s="5"/>
      <c r="M1345" s="4">
        <f>M1344-Table13[[#This Row],[Debits]]+Table13[[#This Row],[Income]]</f>
        <v>2805.21</v>
      </c>
      <c r="N1345" t="str">
        <f>IF(AND(Table13[[#This Row],[Category]]="pay",NOT(Table13[[#This Row],[Debits]]=0)),"bad","good")</f>
        <v>good</v>
      </c>
      <c r="O1345" s="5"/>
    </row>
    <row r="1346" spans="6:15" x14ac:dyDescent="0.3">
      <c r="F1346">
        <f>MONTH(Table13[[#This Row],[Date  (DMY)]])</f>
        <v>1</v>
      </c>
      <c r="G1346" s="2"/>
      <c r="L1346" s="5"/>
      <c r="M1346" s="4">
        <f>M1345-Table13[[#This Row],[Debits]]+Table13[[#This Row],[Income]]</f>
        <v>2805.21</v>
      </c>
      <c r="N1346" t="str">
        <f>IF(AND(Table13[[#This Row],[Category]]="pay",NOT(Table13[[#This Row],[Debits]]=0)),"bad","good")</f>
        <v>good</v>
      </c>
      <c r="O1346" s="5"/>
    </row>
    <row r="1347" spans="6:15" x14ac:dyDescent="0.3">
      <c r="F1347">
        <f>MONTH(Table13[[#This Row],[Date  (DMY)]])</f>
        <v>1</v>
      </c>
      <c r="G1347" s="2"/>
      <c r="L1347" s="5"/>
      <c r="M1347" s="4">
        <f>M1346-Table13[[#This Row],[Debits]]+Table13[[#This Row],[Income]]</f>
        <v>2805.21</v>
      </c>
      <c r="N1347" t="str">
        <f>IF(AND(Table13[[#This Row],[Category]]="pay",NOT(Table13[[#This Row],[Debits]]=0)),"bad","good")</f>
        <v>good</v>
      </c>
      <c r="O1347" s="5"/>
    </row>
    <row r="1348" spans="6:15" x14ac:dyDescent="0.3">
      <c r="F1348">
        <f>MONTH(Table13[[#This Row],[Date  (DMY)]])</f>
        <v>1</v>
      </c>
      <c r="G1348" s="2"/>
      <c r="L1348" s="5"/>
      <c r="M1348" s="4">
        <f>M1347-Table13[[#This Row],[Debits]]+Table13[[#This Row],[Income]]</f>
        <v>2805.21</v>
      </c>
      <c r="N1348" t="str">
        <f>IF(AND(Table13[[#This Row],[Category]]="pay",NOT(Table13[[#This Row],[Debits]]=0)),"bad","good")</f>
        <v>good</v>
      </c>
      <c r="O1348" s="5"/>
    </row>
    <row r="1349" spans="6:15" x14ac:dyDescent="0.3">
      <c r="F1349">
        <f>MONTH(Table13[[#This Row],[Date  (DMY)]])</f>
        <v>1</v>
      </c>
      <c r="G1349" s="2"/>
      <c r="L1349" s="5"/>
      <c r="M1349" s="4">
        <f>M1348-Table13[[#This Row],[Debits]]+Table13[[#This Row],[Income]]</f>
        <v>2805.21</v>
      </c>
      <c r="N1349" t="str">
        <f>IF(AND(Table13[[#This Row],[Category]]="pay",NOT(Table13[[#This Row],[Debits]]=0)),"bad","good")</f>
        <v>good</v>
      </c>
      <c r="O1349" s="5"/>
    </row>
    <row r="1350" spans="6:15" x14ac:dyDescent="0.3">
      <c r="F1350">
        <f>MONTH(Table13[[#This Row],[Date  (DMY)]])</f>
        <v>1</v>
      </c>
      <c r="G1350" s="2"/>
      <c r="L1350" s="5"/>
      <c r="M1350" s="4">
        <f>M1349-Table13[[#This Row],[Debits]]+Table13[[#This Row],[Income]]</f>
        <v>2805.21</v>
      </c>
      <c r="N1350" t="str">
        <f>IF(AND(Table13[[#This Row],[Category]]="pay",NOT(Table13[[#This Row],[Debits]]=0)),"bad","good")</f>
        <v>good</v>
      </c>
      <c r="O1350" s="5"/>
    </row>
    <row r="1351" spans="6:15" x14ac:dyDescent="0.3">
      <c r="F1351">
        <f>MONTH(Table13[[#This Row],[Date  (DMY)]])</f>
        <v>1</v>
      </c>
      <c r="G1351" s="2"/>
      <c r="L1351" s="5"/>
      <c r="M1351" s="4">
        <f>M1350-Table13[[#This Row],[Debits]]+Table13[[#This Row],[Income]]</f>
        <v>2805.21</v>
      </c>
      <c r="N1351" t="str">
        <f>IF(AND(Table13[[#This Row],[Category]]="pay",NOT(Table13[[#This Row],[Debits]]=0)),"bad","good")</f>
        <v>good</v>
      </c>
      <c r="O1351" s="5"/>
    </row>
    <row r="1352" spans="6:15" x14ac:dyDescent="0.3">
      <c r="F1352">
        <f>MONTH(Table13[[#This Row],[Date  (DMY)]])</f>
        <v>1</v>
      </c>
      <c r="G1352" s="2"/>
      <c r="L1352" s="5"/>
      <c r="M1352" s="4">
        <f>M1351-Table13[[#This Row],[Debits]]+Table13[[#This Row],[Income]]</f>
        <v>2805.21</v>
      </c>
      <c r="N1352" t="str">
        <f>IF(AND(Table13[[#This Row],[Category]]="pay",NOT(Table13[[#This Row],[Debits]]=0)),"bad","good")</f>
        <v>good</v>
      </c>
      <c r="O1352" s="5"/>
    </row>
    <row r="1353" spans="6:15" x14ac:dyDescent="0.3">
      <c r="F1353">
        <f>MONTH(Table13[[#This Row],[Date  (DMY)]])</f>
        <v>1</v>
      </c>
      <c r="G1353" s="2"/>
      <c r="L1353" s="5"/>
      <c r="M1353" s="4">
        <f>M1352-Table13[[#This Row],[Debits]]+Table13[[#This Row],[Income]]</f>
        <v>2805.21</v>
      </c>
      <c r="N1353" t="str">
        <f>IF(AND(Table13[[#This Row],[Category]]="pay",NOT(Table13[[#This Row],[Debits]]=0)),"bad","good")</f>
        <v>good</v>
      </c>
      <c r="O1353" s="5"/>
    </row>
    <row r="1354" spans="6:15" x14ac:dyDescent="0.3">
      <c r="F1354">
        <f>MONTH(Table13[[#This Row],[Date  (DMY)]])</f>
        <v>1</v>
      </c>
      <c r="G1354" s="2"/>
      <c r="L1354" s="5"/>
      <c r="M1354" s="4">
        <f>M1353-Table13[[#This Row],[Debits]]+Table13[[#This Row],[Income]]</f>
        <v>2805.21</v>
      </c>
      <c r="N1354" t="str">
        <f>IF(AND(Table13[[#This Row],[Category]]="pay",NOT(Table13[[#This Row],[Debits]]=0)),"bad","good")</f>
        <v>good</v>
      </c>
      <c r="O1354" s="5"/>
    </row>
    <row r="1355" spans="6:15" x14ac:dyDescent="0.3">
      <c r="F1355">
        <f>MONTH(Table13[[#This Row],[Date  (DMY)]])</f>
        <v>1</v>
      </c>
      <c r="G1355" s="2"/>
      <c r="L1355" s="5"/>
      <c r="M1355" s="4">
        <f>M1354-Table13[[#This Row],[Debits]]+Table13[[#This Row],[Income]]</f>
        <v>2805.21</v>
      </c>
      <c r="N1355" t="str">
        <f>IF(AND(Table13[[#This Row],[Category]]="pay",NOT(Table13[[#This Row],[Debits]]=0)),"bad","good")</f>
        <v>good</v>
      </c>
      <c r="O1355" s="5"/>
    </row>
    <row r="1356" spans="6:15" x14ac:dyDescent="0.3">
      <c r="F1356">
        <f>MONTH(Table13[[#This Row],[Date  (DMY)]])</f>
        <v>1</v>
      </c>
      <c r="G1356" s="2"/>
      <c r="L1356" s="5"/>
      <c r="M1356" s="4">
        <f>M1355-Table13[[#This Row],[Debits]]+Table13[[#This Row],[Income]]</f>
        <v>2805.21</v>
      </c>
      <c r="N1356" t="str">
        <f>IF(AND(Table13[[#This Row],[Category]]="pay",NOT(Table13[[#This Row],[Debits]]=0)),"bad","good")</f>
        <v>good</v>
      </c>
      <c r="O1356" s="5"/>
    </row>
    <row r="1357" spans="6:15" x14ac:dyDescent="0.3">
      <c r="F1357">
        <f>MONTH(Table13[[#This Row],[Date  (DMY)]])</f>
        <v>1</v>
      </c>
      <c r="G1357" s="2"/>
      <c r="L1357" s="5"/>
      <c r="M1357" s="4">
        <f>M1356-Table13[[#This Row],[Debits]]+Table13[[#This Row],[Income]]</f>
        <v>2805.21</v>
      </c>
      <c r="N1357" t="str">
        <f>IF(AND(Table13[[#This Row],[Category]]="pay",NOT(Table13[[#This Row],[Debits]]=0)),"bad","good")</f>
        <v>good</v>
      </c>
      <c r="O1357" s="5"/>
    </row>
    <row r="1358" spans="6:15" x14ac:dyDescent="0.3">
      <c r="F1358">
        <f>MONTH(Table13[[#This Row],[Date  (DMY)]])</f>
        <v>1</v>
      </c>
      <c r="G1358" s="2"/>
      <c r="L1358" s="5"/>
      <c r="M1358" s="4">
        <f>M1357-Table13[[#This Row],[Debits]]+Table13[[#This Row],[Income]]</f>
        <v>2805.21</v>
      </c>
      <c r="N1358" t="str">
        <f>IF(AND(Table13[[#This Row],[Category]]="pay",NOT(Table13[[#This Row],[Debits]]=0)),"bad","good")</f>
        <v>good</v>
      </c>
      <c r="O1358" s="5"/>
    </row>
    <row r="1359" spans="6:15" x14ac:dyDescent="0.3">
      <c r="F1359">
        <f>MONTH(Table13[[#This Row],[Date  (DMY)]])</f>
        <v>1</v>
      </c>
      <c r="G1359" s="2"/>
      <c r="L1359" s="5"/>
      <c r="M1359" s="4">
        <f>M1358-Table13[[#This Row],[Debits]]+Table13[[#This Row],[Income]]</f>
        <v>2805.21</v>
      </c>
      <c r="N1359" t="str">
        <f>IF(AND(Table13[[#This Row],[Category]]="pay",NOT(Table13[[#This Row],[Debits]]=0)),"bad","good")</f>
        <v>good</v>
      </c>
      <c r="O1359" s="5"/>
    </row>
    <row r="1360" spans="6:15" x14ac:dyDescent="0.3">
      <c r="F1360">
        <f>MONTH(Table13[[#This Row],[Date  (DMY)]])</f>
        <v>1</v>
      </c>
      <c r="G1360" s="2"/>
      <c r="L1360" s="5"/>
      <c r="M1360" s="4">
        <f>M1359-Table13[[#This Row],[Debits]]+Table13[[#This Row],[Income]]</f>
        <v>2805.21</v>
      </c>
      <c r="N1360" t="str">
        <f>IF(AND(Table13[[#This Row],[Category]]="pay",NOT(Table13[[#This Row],[Debits]]=0)),"bad","good")</f>
        <v>good</v>
      </c>
      <c r="O1360" s="5"/>
    </row>
    <row r="1361" spans="6:15" x14ac:dyDescent="0.3">
      <c r="F1361">
        <f>MONTH(Table13[[#This Row],[Date  (DMY)]])</f>
        <v>1</v>
      </c>
      <c r="G1361" s="2"/>
      <c r="L1361" s="5"/>
      <c r="M1361" s="4">
        <f>M1360-Table13[[#This Row],[Debits]]+Table13[[#This Row],[Income]]</f>
        <v>2805.21</v>
      </c>
      <c r="N1361" t="str">
        <f>IF(AND(Table13[[#This Row],[Category]]="pay",NOT(Table13[[#This Row],[Debits]]=0)),"bad","good")</f>
        <v>good</v>
      </c>
      <c r="O1361" s="5"/>
    </row>
    <row r="1362" spans="6:15" x14ac:dyDescent="0.3">
      <c r="F1362">
        <f>MONTH(Table13[[#This Row],[Date  (DMY)]])</f>
        <v>1</v>
      </c>
      <c r="G1362" s="2"/>
      <c r="L1362" s="5"/>
      <c r="M1362" s="4">
        <f>M1361-Table13[[#This Row],[Debits]]+Table13[[#This Row],[Income]]</f>
        <v>2805.21</v>
      </c>
      <c r="N1362" t="str">
        <f>IF(AND(Table13[[#This Row],[Category]]="pay",NOT(Table13[[#This Row],[Debits]]=0)),"bad","good")</f>
        <v>good</v>
      </c>
      <c r="O1362" s="5"/>
    </row>
    <row r="1363" spans="6:15" x14ac:dyDescent="0.3">
      <c r="F1363">
        <f>MONTH(Table13[[#This Row],[Date  (DMY)]])</f>
        <v>1</v>
      </c>
      <c r="G1363" s="2"/>
      <c r="L1363" s="5"/>
      <c r="M1363" s="4">
        <f>M1362-Table13[[#This Row],[Debits]]+Table13[[#This Row],[Income]]</f>
        <v>2805.21</v>
      </c>
      <c r="N1363" t="str">
        <f>IF(AND(Table13[[#This Row],[Category]]="pay",NOT(Table13[[#This Row],[Debits]]=0)),"bad","good")</f>
        <v>good</v>
      </c>
      <c r="O1363" s="5"/>
    </row>
    <row r="1364" spans="6:15" x14ac:dyDescent="0.3">
      <c r="F1364">
        <f>MONTH(Table13[[#This Row],[Date  (DMY)]])</f>
        <v>1</v>
      </c>
      <c r="G1364" s="2"/>
      <c r="L1364" s="5"/>
      <c r="M1364" s="4">
        <f>M1363-Table13[[#This Row],[Debits]]+Table13[[#This Row],[Income]]</f>
        <v>2805.21</v>
      </c>
      <c r="N1364" t="str">
        <f>IF(AND(Table13[[#This Row],[Category]]="pay",NOT(Table13[[#This Row],[Debits]]=0)),"bad","good")</f>
        <v>good</v>
      </c>
      <c r="O1364" s="5"/>
    </row>
    <row r="1365" spans="6:15" x14ac:dyDescent="0.3">
      <c r="F1365">
        <f>MONTH(Table13[[#This Row],[Date  (DMY)]])</f>
        <v>1</v>
      </c>
      <c r="G1365" s="2"/>
      <c r="L1365" s="5"/>
      <c r="M1365" s="4">
        <f>M1364-Table13[[#This Row],[Debits]]+Table13[[#This Row],[Income]]</f>
        <v>2805.21</v>
      </c>
      <c r="N1365" t="str">
        <f>IF(AND(Table13[[#This Row],[Category]]="pay",NOT(Table13[[#This Row],[Debits]]=0)),"bad","good")</f>
        <v>good</v>
      </c>
      <c r="O1365" s="5"/>
    </row>
    <row r="1366" spans="6:15" x14ac:dyDescent="0.3">
      <c r="F1366">
        <f>MONTH(Table13[[#This Row],[Date  (DMY)]])</f>
        <v>1</v>
      </c>
      <c r="G1366" s="2"/>
      <c r="L1366" s="5"/>
      <c r="M1366" s="4">
        <f>M1365-Table13[[#This Row],[Debits]]+Table13[[#This Row],[Income]]</f>
        <v>2805.21</v>
      </c>
      <c r="N1366" t="str">
        <f>IF(AND(Table13[[#This Row],[Category]]="pay",NOT(Table13[[#This Row],[Debits]]=0)),"bad","good")</f>
        <v>good</v>
      </c>
      <c r="O1366" s="5"/>
    </row>
    <row r="1367" spans="6:15" x14ac:dyDescent="0.3">
      <c r="F1367">
        <f>MONTH(Table13[[#This Row],[Date  (DMY)]])</f>
        <v>1</v>
      </c>
      <c r="G1367" s="2"/>
      <c r="L1367" s="5"/>
      <c r="M1367" s="4">
        <f>M1366-Table13[[#This Row],[Debits]]+Table13[[#This Row],[Income]]</f>
        <v>2805.21</v>
      </c>
      <c r="N1367" t="str">
        <f>IF(AND(Table13[[#This Row],[Category]]="pay",NOT(Table13[[#This Row],[Debits]]=0)),"bad","good")</f>
        <v>good</v>
      </c>
      <c r="O1367" s="5"/>
    </row>
    <row r="1368" spans="6:15" x14ac:dyDescent="0.3">
      <c r="F1368">
        <f>MONTH(Table13[[#This Row],[Date  (DMY)]])</f>
        <v>1</v>
      </c>
      <c r="G1368" s="2"/>
      <c r="L1368" s="5"/>
      <c r="M1368" s="4">
        <f>M1367-Table13[[#This Row],[Debits]]+Table13[[#This Row],[Income]]</f>
        <v>2805.21</v>
      </c>
      <c r="N1368" t="str">
        <f>IF(AND(Table13[[#This Row],[Category]]="pay",NOT(Table13[[#This Row],[Debits]]=0)),"bad","good")</f>
        <v>good</v>
      </c>
      <c r="O1368" s="5"/>
    </row>
    <row r="1369" spans="6:15" x14ac:dyDescent="0.3">
      <c r="F1369">
        <f>MONTH(Table13[[#This Row],[Date  (DMY)]])</f>
        <v>1</v>
      </c>
      <c r="G1369" s="2"/>
      <c r="L1369" s="5"/>
      <c r="M1369" s="4">
        <f>M1368-Table13[[#This Row],[Debits]]+Table13[[#This Row],[Income]]</f>
        <v>2805.21</v>
      </c>
      <c r="N1369" t="str">
        <f>IF(AND(Table13[[#This Row],[Category]]="pay",NOT(Table13[[#This Row],[Debits]]=0)),"bad","good")</f>
        <v>good</v>
      </c>
      <c r="O1369" s="5"/>
    </row>
    <row r="1370" spans="6:15" x14ac:dyDescent="0.3">
      <c r="F1370">
        <f>MONTH(Table13[[#This Row],[Date  (DMY)]])</f>
        <v>1</v>
      </c>
      <c r="G1370" s="2"/>
      <c r="L1370" s="5"/>
      <c r="M1370" s="4">
        <f>M1369-Table13[[#This Row],[Debits]]+Table13[[#This Row],[Income]]</f>
        <v>2805.21</v>
      </c>
      <c r="N1370" t="str">
        <f>IF(AND(Table13[[#This Row],[Category]]="pay",NOT(Table13[[#This Row],[Debits]]=0)),"bad","good")</f>
        <v>good</v>
      </c>
      <c r="O1370" s="5"/>
    </row>
    <row r="1371" spans="6:15" x14ac:dyDescent="0.3">
      <c r="F1371">
        <f>MONTH(Table13[[#This Row],[Date  (DMY)]])</f>
        <v>1</v>
      </c>
      <c r="G1371" s="2"/>
      <c r="L1371" s="5"/>
      <c r="M1371" s="4">
        <f>M1370-Table13[[#This Row],[Debits]]+Table13[[#This Row],[Income]]</f>
        <v>2805.21</v>
      </c>
      <c r="N1371" t="str">
        <f>IF(AND(Table13[[#This Row],[Category]]="pay",NOT(Table13[[#This Row],[Debits]]=0)),"bad","good")</f>
        <v>good</v>
      </c>
      <c r="O1371" s="5"/>
    </row>
    <row r="1372" spans="6:15" x14ac:dyDescent="0.3">
      <c r="F1372">
        <f>MONTH(Table13[[#This Row],[Date  (DMY)]])</f>
        <v>1</v>
      </c>
      <c r="G1372" s="2"/>
      <c r="L1372" s="5"/>
      <c r="M1372" s="4">
        <f>M1371-Table13[[#This Row],[Debits]]+Table13[[#This Row],[Income]]</f>
        <v>2805.21</v>
      </c>
      <c r="N1372" t="str">
        <f>IF(AND(Table13[[#This Row],[Category]]="pay",NOT(Table13[[#This Row],[Debits]]=0)),"bad","good")</f>
        <v>good</v>
      </c>
      <c r="O1372" s="5"/>
    </row>
    <row r="1373" spans="6:15" x14ac:dyDescent="0.3">
      <c r="F1373">
        <f>MONTH(Table13[[#This Row],[Date  (DMY)]])</f>
        <v>1</v>
      </c>
      <c r="G1373" s="2"/>
      <c r="L1373" s="5"/>
      <c r="M1373" s="4">
        <f>M1372-Table13[[#This Row],[Debits]]+Table13[[#This Row],[Income]]</f>
        <v>2805.21</v>
      </c>
      <c r="N1373" t="str">
        <f>IF(AND(Table13[[#This Row],[Category]]="pay",NOT(Table13[[#This Row],[Debits]]=0)),"bad","good")</f>
        <v>good</v>
      </c>
      <c r="O1373" s="5"/>
    </row>
    <row r="1374" spans="6:15" x14ac:dyDescent="0.3">
      <c r="F1374">
        <f>MONTH(Table13[[#This Row],[Date  (DMY)]])</f>
        <v>1</v>
      </c>
      <c r="G1374" s="2"/>
      <c r="L1374" s="5"/>
      <c r="M1374" s="4">
        <f>M1373-Table13[[#This Row],[Debits]]+Table13[[#This Row],[Income]]</f>
        <v>2805.21</v>
      </c>
      <c r="N1374" t="str">
        <f>IF(AND(Table13[[#This Row],[Category]]="pay",NOT(Table13[[#This Row],[Debits]]=0)),"bad","good")</f>
        <v>good</v>
      </c>
      <c r="O1374" s="5"/>
    </row>
    <row r="1375" spans="6:15" x14ac:dyDescent="0.3">
      <c r="F1375">
        <f>MONTH(Table13[[#This Row],[Date  (DMY)]])</f>
        <v>1</v>
      </c>
      <c r="G1375" s="2"/>
      <c r="L1375" s="5"/>
      <c r="M1375" s="4">
        <f>M1374-Table13[[#This Row],[Debits]]+Table13[[#This Row],[Income]]</f>
        <v>2805.21</v>
      </c>
      <c r="N1375" t="str">
        <f>IF(AND(Table13[[#This Row],[Category]]="pay",NOT(Table13[[#This Row],[Debits]]=0)),"bad","good")</f>
        <v>good</v>
      </c>
      <c r="O1375" s="5"/>
    </row>
    <row r="1376" spans="6:15" x14ac:dyDescent="0.3">
      <c r="F1376">
        <f>MONTH(Table13[[#This Row],[Date  (DMY)]])</f>
        <v>1</v>
      </c>
      <c r="G1376" s="2"/>
      <c r="L1376" s="5"/>
      <c r="M1376" s="4">
        <f>M1375-Table13[[#This Row],[Debits]]+Table13[[#This Row],[Income]]</f>
        <v>2805.21</v>
      </c>
      <c r="N1376" t="str">
        <f>IF(AND(Table13[[#This Row],[Category]]="pay",NOT(Table13[[#This Row],[Debits]]=0)),"bad","good")</f>
        <v>good</v>
      </c>
      <c r="O1376" s="5"/>
    </row>
    <row r="1377" spans="6:15" x14ac:dyDescent="0.3">
      <c r="F1377">
        <f>MONTH(Table13[[#This Row],[Date  (DMY)]])</f>
        <v>1</v>
      </c>
      <c r="G1377" s="2"/>
      <c r="L1377" s="5"/>
      <c r="M1377" s="4">
        <f>M1376-Table13[[#This Row],[Debits]]+Table13[[#This Row],[Income]]</f>
        <v>2805.21</v>
      </c>
      <c r="N1377" t="str">
        <f>IF(AND(Table13[[#This Row],[Category]]="pay",NOT(Table13[[#This Row],[Debits]]=0)),"bad","good")</f>
        <v>good</v>
      </c>
      <c r="O1377" s="5"/>
    </row>
    <row r="1378" spans="6:15" x14ac:dyDescent="0.3">
      <c r="F1378">
        <f>MONTH(Table13[[#This Row],[Date  (DMY)]])</f>
        <v>1</v>
      </c>
      <c r="G1378" s="2"/>
      <c r="L1378" s="5"/>
      <c r="M1378" s="4">
        <f>M1377-Table13[[#This Row],[Debits]]+Table13[[#This Row],[Income]]</f>
        <v>2805.21</v>
      </c>
      <c r="N1378" t="str">
        <f>IF(AND(Table13[[#This Row],[Category]]="pay",NOT(Table13[[#This Row],[Debits]]=0)),"bad","good")</f>
        <v>good</v>
      </c>
      <c r="O1378" s="5"/>
    </row>
    <row r="1379" spans="6:15" x14ac:dyDescent="0.3">
      <c r="F1379">
        <f>MONTH(Table13[[#This Row],[Date  (DMY)]])</f>
        <v>1</v>
      </c>
      <c r="G1379" s="2"/>
      <c r="L1379" s="5"/>
      <c r="M1379" s="4">
        <f>M1378-Table13[[#This Row],[Debits]]+Table13[[#This Row],[Income]]</f>
        <v>2805.21</v>
      </c>
      <c r="N1379" t="str">
        <f>IF(AND(Table13[[#This Row],[Category]]="pay",NOT(Table13[[#This Row],[Debits]]=0)),"bad","good")</f>
        <v>good</v>
      </c>
      <c r="O1379" s="5"/>
    </row>
    <row r="1380" spans="6:15" x14ac:dyDescent="0.3">
      <c r="F1380">
        <f>MONTH(Table13[[#This Row],[Date  (DMY)]])</f>
        <v>1</v>
      </c>
      <c r="G1380" s="2"/>
      <c r="L1380" s="5"/>
      <c r="M1380" s="4">
        <f>M1379-Table13[[#This Row],[Debits]]+Table13[[#This Row],[Income]]</f>
        <v>2805.21</v>
      </c>
      <c r="N1380" t="str">
        <f>IF(AND(Table13[[#This Row],[Category]]="pay",NOT(Table13[[#This Row],[Debits]]=0)),"bad","good")</f>
        <v>good</v>
      </c>
      <c r="O1380" s="5"/>
    </row>
    <row r="1381" spans="6:15" x14ac:dyDescent="0.3">
      <c r="F1381">
        <f>MONTH(Table13[[#This Row],[Date  (DMY)]])</f>
        <v>1</v>
      </c>
      <c r="G1381" s="2"/>
      <c r="L1381" s="5"/>
      <c r="M1381" s="4">
        <f>M1380-Table13[[#This Row],[Debits]]+Table13[[#This Row],[Income]]</f>
        <v>2805.21</v>
      </c>
      <c r="N1381" t="str">
        <f>IF(AND(Table13[[#This Row],[Category]]="pay",NOT(Table13[[#This Row],[Debits]]=0)),"bad","good")</f>
        <v>good</v>
      </c>
      <c r="O1381" s="5"/>
    </row>
    <row r="1382" spans="6:15" x14ac:dyDescent="0.3">
      <c r="F1382">
        <f>MONTH(Table13[[#This Row],[Date  (DMY)]])</f>
        <v>1</v>
      </c>
      <c r="G1382" s="2"/>
      <c r="L1382" s="5"/>
      <c r="M1382" s="4">
        <f>M1381-Table13[[#This Row],[Debits]]+Table13[[#This Row],[Income]]</f>
        <v>2805.21</v>
      </c>
      <c r="N1382" t="str">
        <f>IF(AND(Table13[[#This Row],[Category]]="pay",NOT(Table13[[#This Row],[Debits]]=0)),"bad","good")</f>
        <v>good</v>
      </c>
      <c r="O1382" s="5"/>
    </row>
    <row r="1383" spans="6:15" x14ac:dyDescent="0.3">
      <c r="F1383">
        <f>MONTH(Table13[[#This Row],[Date  (DMY)]])</f>
        <v>1</v>
      </c>
      <c r="G1383" s="2"/>
      <c r="L1383" s="5"/>
      <c r="M1383" s="4">
        <f>M1382-Table13[[#This Row],[Debits]]+Table13[[#This Row],[Income]]</f>
        <v>2805.21</v>
      </c>
      <c r="N1383" t="str">
        <f>IF(AND(Table13[[#This Row],[Category]]="pay",NOT(Table13[[#This Row],[Debits]]=0)),"bad","good")</f>
        <v>good</v>
      </c>
      <c r="O1383" s="5"/>
    </row>
    <row r="1384" spans="6:15" x14ac:dyDescent="0.3">
      <c r="F1384">
        <f>MONTH(Table13[[#This Row],[Date  (DMY)]])</f>
        <v>1</v>
      </c>
      <c r="G1384" s="2"/>
      <c r="L1384" s="5"/>
      <c r="M1384" s="4">
        <f>M1383-Table13[[#This Row],[Debits]]+Table13[[#This Row],[Income]]</f>
        <v>2805.21</v>
      </c>
      <c r="N1384" t="str">
        <f>IF(AND(Table13[[#This Row],[Category]]="pay",NOT(Table13[[#This Row],[Debits]]=0)),"bad","good")</f>
        <v>good</v>
      </c>
      <c r="O1384" s="5"/>
    </row>
    <row r="1385" spans="6:15" x14ac:dyDescent="0.3">
      <c r="F1385">
        <f>MONTH(Table13[[#This Row],[Date  (DMY)]])</f>
        <v>1</v>
      </c>
      <c r="G1385" s="2"/>
      <c r="L1385" s="5"/>
      <c r="M1385" s="4">
        <f>M1384-Table13[[#This Row],[Debits]]+Table13[[#This Row],[Income]]</f>
        <v>2805.21</v>
      </c>
      <c r="N1385" t="str">
        <f>IF(AND(Table13[[#This Row],[Category]]="pay",NOT(Table13[[#This Row],[Debits]]=0)),"bad","good")</f>
        <v>good</v>
      </c>
      <c r="O1385" s="5"/>
    </row>
    <row r="1386" spans="6:15" x14ac:dyDescent="0.3">
      <c r="F1386">
        <f>MONTH(Table13[[#This Row],[Date  (DMY)]])</f>
        <v>1</v>
      </c>
      <c r="G1386" s="2"/>
      <c r="L1386" s="5"/>
      <c r="M1386" s="4">
        <f>M1385-Table13[[#This Row],[Debits]]+Table13[[#This Row],[Income]]</f>
        <v>2805.21</v>
      </c>
      <c r="N1386" t="str">
        <f>IF(AND(Table13[[#This Row],[Category]]="pay",NOT(Table13[[#This Row],[Debits]]=0)),"bad","good")</f>
        <v>good</v>
      </c>
      <c r="O1386" s="5"/>
    </row>
    <row r="1387" spans="6:15" x14ac:dyDescent="0.3">
      <c r="F1387">
        <f>MONTH(Table13[[#This Row],[Date  (DMY)]])</f>
        <v>1</v>
      </c>
      <c r="G1387" s="2"/>
      <c r="L1387" s="5"/>
      <c r="M1387" s="4">
        <f>M1386-Table13[[#This Row],[Debits]]+Table13[[#This Row],[Income]]</f>
        <v>2805.21</v>
      </c>
      <c r="N1387" t="str">
        <f>IF(AND(Table13[[#This Row],[Category]]="pay",NOT(Table13[[#This Row],[Debits]]=0)),"bad","good")</f>
        <v>good</v>
      </c>
      <c r="O1387" s="5"/>
    </row>
    <row r="1388" spans="6:15" x14ac:dyDescent="0.3">
      <c r="F1388">
        <f>MONTH(Table13[[#This Row],[Date  (DMY)]])</f>
        <v>1</v>
      </c>
      <c r="G1388" s="2"/>
      <c r="L1388" s="5"/>
      <c r="M1388" s="4">
        <f>M1387-Table13[[#This Row],[Debits]]+Table13[[#This Row],[Income]]</f>
        <v>2805.21</v>
      </c>
      <c r="N1388" t="str">
        <f>IF(AND(Table13[[#This Row],[Category]]="pay",NOT(Table13[[#This Row],[Debits]]=0)),"bad","good")</f>
        <v>good</v>
      </c>
      <c r="O1388" s="5"/>
    </row>
    <row r="1389" spans="6:15" x14ac:dyDescent="0.3">
      <c r="F1389">
        <f>MONTH(Table13[[#This Row],[Date  (DMY)]])</f>
        <v>1</v>
      </c>
      <c r="G1389" s="2"/>
      <c r="L1389" s="5"/>
      <c r="M1389" s="4">
        <f>M1388-Table13[[#This Row],[Debits]]+Table13[[#This Row],[Income]]</f>
        <v>2805.21</v>
      </c>
      <c r="N1389" t="str">
        <f>IF(AND(Table13[[#This Row],[Category]]="pay",NOT(Table13[[#This Row],[Debits]]=0)),"bad","good")</f>
        <v>good</v>
      </c>
      <c r="O1389" s="5"/>
    </row>
    <row r="1390" spans="6:15" x14ac:dyDescent="0.3">
      <c r="F1390">
        <f>MONTH(Table13[[#This Row],[Date  (DMY)]])</f>
        <v>1</v>
      </c>
      <c r="G1390" s="2"/>
      <c r="L1390" s="5"/>
      <c r="M1390" s="4">
        <f>M1389-Table13[[#This Row],[Debits]]+Table13[[#This Row],[Income]]</f>
        <v>2805.21</v>
      </c>
      <c r="N1390" t="str">
        <f>IF(AND(Table13[[#This Row],[Category]]="pay",NOT(Table13[[#This Row],[Debits]]=0)),"bad","good")</f>
        <v>good</v>
      </c>
      <c r="O1390" s="5"/>
    </row>
    <row r="1391" spans="6:15" x14ac:dyDescent="0.3">
      <c r="F1391">
        <f>MONTH(Table13[[#This Row],[Date  (DMY)]])</f>
        <v>1</v>
      </c>
      <c r="G1391" s="2"/>
      <c r="L1391" s="5"/>
      <c r="M1391" s="4">
        <f>M1390-Table13[[#This Row],[Debits]]+Table13[[#This Row],[Income]]</f>
        <v>2805.21</v>
      </c>
      <c r="N1391" t="str">
        <f>IF(AND(Table13[[#This Row],[Category]]="pay",NOT(Table13[[#This Row],[Debits]]=0)),"bad","good")</f>
        <v>good</v>
      </c>
      <c r="O1391" s="5"/>
    </row>
    <row r="1392" spans="6:15" x14ac:dyDescent="0.3">
      <c r="F1392">
        <f>MONTH(Table13[[#This Row],[Date  (DMY)]])</f>
        <v>1</v>
      </c>
      <c r="G1392" s="2"/>
      <c r="L1392" s="5"/>
      <c r="M1392" s="4">
        <f>M1391-Table13[[#This Row],[Debits]]+Table13[[#This Row],[Income]]</f>
        <v>2805.21</v>
      </c>
      <c r="N1392" t="str">
        <f>IF(AND(Table13[[#This Row],[Category]]="pay",NOT(Table13[[#This Row],[Debits]]=0)),"bad","good")</f>
        <v>good</v>
      </c>
      <c r="O1392" s="5"/>
    </row>
    <row r="1393" spans="6:15" x14ac:dyDescent="0.3">
      <c r="F1393">
        <f>MONTH(Table13[[#This Row],[Date  (DMY)]])</f>
        <v>1</v>
      </c>
      <c r="G1393" s="2"/>
      <c r="L1393" s="5"/>
      <c r="M1393" s="4">
        <f>M1392-Table13[[#This Row],[Debits]]+Table13[[#This Row],[Income]]</f>
        <v>2805.21</v>
      </c>
      <c r="N1393" t="str">
        <f>IF(AND(Table13[[#This Row],[Category]]="pay",NOT(Table13[[#This Row],[Debits]]=0)),"bad","good")</f>
        <v>good</v>
      </c>
      <c r="O1393" s="5"/>
    </row>
    <row r="1394" spans="6:15" x14ac:dyDescent="0.3">
      <c r="F1394">
        <f>MONTH(Table13[[#This Row],[Date  (DMY)]])</f>
        <v>1</v>
      </c>
      <c r="G1394" s="2"/>
      <c r="L1394" s="5"/>
      <c r="M1394" s="4">
        <f>M1393-Table13[[#This Row],[Debits]]+Table13[[#This Row],[Income]]</f>
        <v>2805.21</v>
      </c>
      <c r="N1394" t="str">
        <f>IF(AND(Table13[[#This Row],[Category]]="pay",NOT(Table13[[#This Row],[Debits]]=0)),"bad","good")</f>
        <v>good</v>
      </c>
      <c r="O1394" s="5"/>
    </row>
    <row r="1395" spans="6:15" x14ac:dyDescent="0.3">
      <c r="F1395">
        <f>MONTH(Table13[[#This Row],[Date  (DMY)]])</f>
        <v>1</v>
      </c>
      <c r="G1395" s="2"/>
      <c r="L1395" s="5"/>
      <c r="M1395" s="4">
        <f>M1394-Table13[[#This Row],[Debits]]+Table13[[#This Row],[Income]]</f>
        <v>2805.21</v>
      </c>
      <c r="N1395" t="str">
        <f>IF(AND(Table13[[#This Row],[Category]]="pay",NOT(Table13[[#This Row],[Debits]]=0)),"bad","good")</f>
        <v>good</v>
      </c>
      <c r="O1395" s="5"/>
    </row>
    <row r="1396" spans="6:15" x14ac:dyDescent="0.3">
      <c r="F1396">
        <f>MONTH(Table13[[#This Row],[Date  (DMY)]])</f>
        <v>1</v>
      </c>
      <c r="G1396" s="2"/>
      <c r="L1396" s="5"/>
      <c r="M1396" s="4">
        <f>M1395-Table13[[#This Row],[Debits]]+Table13[[#This Row],[Income]]</f>
        <v>2805.21</v>
      </c>
      <c r="N1396" t="str">
        <f>IF(AND(Table13[[#This Row],[Category]]="pay",NOT(Table13[[#This Row],[Debits]]=0)),"bad","good")</f>
        <v>good</v>
      </c>
      <c r="O1396" s="5"/>
    </row>
    <row r="1397" spans="6:15" x14ac:dyDescent="0.3">
      <c r="F1397">
        <f>MONTH(Table13[[#This Row],[Date  (DMY)]])</f>
        <v>1</v>
      </c>
      <c r="G1397" s="2"/>
      <c r="L1397" s="5"/>
      <c r="M1397" s="4">
        <f>M1396-Table13[[#This Row],[Debits]]+Table13[[#This Row],[Income]]</f>
        <v>2805.21</v>
      </c>
      <c r="N1397" t="str">
        <f>IF(AND(Table13[[#This Row],[Category]]="pay",NOT(Table13[[#This Row],[Debits]]=0)),"bad","good")</f>
        <v>good</v>
      </c>
      <c r="O1397" s="5"/>
    </row>
    <row r="1398" spans="6:15" x14ac:dyDescent="0.3">
      <c r="F1398">
        <f>MONTH(Table13[[#This Row],[Date  (DMY)]])</f>
        <v>1</v>
      </c>
      <c r="G1398" s="2"/>
      <c r="L1398" s="5"/>
      <c r="M1398" s="4">
        <f>M1397-Table13[[#This Row],[Debits]]+Table13[[#This Row],[Income]]</f>
        <v>2805.21</v>
      </c>
      <c r="N1398" t="str">
        <f>IF(AND(Table13[[#This Row],[Category]]="pay",NOT(Table13[[#This Row],[Debits]]=0)),"bad","good")</f>
        <v>good</v>
      </c>
      <c r="O1398" s="5"/>
    </row>
    <row r="1399" spans="6:15" x14ac:dyDescent="0.3">
      <c r="F1399">
        <f>MONTH(Table13[[#This Row],[Date  (DMY)]])</f>
        <v>1</v>
      </c>
      <c r="G1399" s="2"/>
      <c r="L1399" s="5"/>
      <c r="M1399" s="4">
        <f>M1398-Table13[[#This Row],[Debits]]+Table13[[#This Row],[Income]]</f>
        <v>2805.21</v>
      </c>
      <c r="N1399" t="str">
        <f>IF(AND(Table13[[#This Row],[Category]]="pay",NOT(Table13[[#This Row],[Debits]]=0)),"bad","good")</f>
        <v>good</v>
      </c>
      <c r="O1399" s="5"/>
    </row>
    <row r="1400" spans="6:15" x14ac:dyDescent="0.3">
      <c r="F1400">
        <f>MONTH(Table13[[#This Row],[Date  (DMY)]])</f>
        <v>1</v>
      </c>
      <c r="G1400" s="2"/>
      <c r="L1400" s="5"/>
      <c r="M1400" s="4">
        <f>M1399-Table13[[#This Row],[Debits]]+Table13[[#This Row],[Income]]</f>
        <v>2805.21</v>
      </c>
      <c r="N1400" t="str">
        <f>IF(AND(Table13[[#This Row],[Category]]="pay",NOT(Table13[[#This Row],[Debits]]=0)),"bad","good")</f>
        <v>good</v>
      </c>
      <c r="O1400" s="5"/>
    </row>
    <row r="1401" spans="6:15" x14ac:dyDescent="0.3">
      <c r="F1401">
        <f>MONTH(Table13[[#This Row],[Date  (DMY)]])</f>
        <v>1</v>
      </c>
      <c r="G1401" s="2"/>
      <c r="L1401" s="5"/>
      <c r="M1401" s="4">
        <f>M1400-Table13[[#This Row],[Debits]]+Table13[[#This Row],[Income]]</f>
        <v>2805.21</v>
      </c>
      <c r="N1401" t="str">
        <f>IF(AND(Table13[[#This Row],[Category]]="pay",NOT(Table13[[#This Row],[Debits]]=0)),"bad","good")</f>
        <v>good</v>
      </c>
      <c r="O1401" s="5"/>
    </row>
    <row r="1402" spans="6:15" x14ac:dyDescent="0.3">
      <c r="F1402">
        <f>MONTH(Table13[[#This Row],[Date  (DMY)]])</f>
        <v>1</v>
      </c>
      <c r="G1402" s="2"/>
      <c r="L1402" s="5"/>
      <c r="M1402" s="4">
        <f>M1401-Table13[[#This Row],[Debits]]+Table13[[#This Row],[Income]]</f>
        <v>2805.21</v>
      </c>
      <c r="N1402" t="str">
        <f>IF(AND(Table13[[#This Row],[Category]]="pay",NOT(Table13[[#This Row],[Debits]]=0)),"bad","good")</f>
        <v>good</v>
      </c>
      <c r="O1402" s="5"/>
    </row>
    <row r="1403" spans="6:15" x14ac:dyDescent="0.3">
      <c r="F1403">
        <f>MONTH(Table13[[#This Row],[Date  (DMY)]])</f>
        <v>1</v>
      </c>
      <c r="G1403" s="2"/>
      <c r="L1403" s="5"/>
      <c r="M1403" s="4">
        <f>M1402-Table13[[#This Row],[Debits]]+Table13[[#This Row],[Income]]</f>
        <v>2805.21</v>
      </c>
      <c r="N1403" t="str">
        <f>IF(AND(Table13[[#This Row],[Category]]="pay",NOT(Table13[[#This Row],[Debits]]=0)),"bad","good")</f>
        <v>good</v>
      </c>
      <c r="O1403" s="5"/>
    </row>
    <row r="1404" spans="6:15" x14ac:dyDescent="0.3">
      <c r="F1404">
        <f>MONTH(Table13[[#This Row],[Date  (DMY)]])</f>
        <v>1</v>
      </c>
      <c r="G1404" s="2"/>
      <c r="L1404" s="5"/>
      <c r="M1404" s="4">
        <f>M1403-Table13[[#This Row],[Debits]]+Table13[[#This Row],[Income]]</f>
        <v>2805.21</v>
      </c>
      <c r="N1404" t="str">
        <f>IF(AND(Table13[[#This Row],[Category]]="pay",NOT(Table13[[#This Row],[Debits]]=0)),"bad","good")</f>
        <v>good</v>
      </c>
      <c r="O1404" s="5"/>
    </row>
    <row r="1405" spans="6:15" x14ac:dyDescent="0.3">
      <c r="F1405">
        <f>MONTH(Table13[[#This Row],[Date  (DMY)]])</f>
        <v>1</v>
      </c>
      <c r="G1405" s="2"/>
      <c r="L1405" s="5"/>
      <c r="M1405" s="4">
        <f>M1404-Table13[[#This Row],[Debits]]+Table13[[#This Row],[Income]]</f>
        <v>2805.21</v>
      </c>
      <c r="N1405" t="str">
        <f>IF(AND(Table13[[#This Row],[Category]]="pay",NOT(Table13[[#This Row],[Debits]]=0)),"bad","good")</f>
        <v>good</v>
      </c>
      <c r="O1405" s="5"/>
    </row>
    <row r="1406" spans="6:15" x14ac:dyDescent="0.3">
      <c r="F1406">
        <f>MONTH(Table13[[#This Row],[Date  (DMY)]])</f>
        <v>1</v>
      </c>
      <c r="G1406" s="2"/>
      <c r="L1406" s="5"/>
      <c r="M1406" s="4">
        <f>M1405-Table13[[#This Row],[Debits]]+Table13[[#This Row],[Income]]</f>
        <v>2805.21</v>
      </c>
      <c r="N1406" t="str">
        <f>IF(AND(Table13[[#This Row],[Category]]="pay",NOT(Table13[[#This Row],[Debits]]=0)),"bad","good")</f>
        <v>good</v>
      </c>
      <c r="O1406" s="5"/>
    </row>
    <row r="1407" spans="6:15" x14ac:dyDescent="0.3">
      <c r="F1407">
        <f>MONTH(Table13[[#This Row],[Date  (DMY)]])</f>
        <v>1</v>
      </c>
      <c r="G1407" s="2"/>
      <c r="L1407" s="5"/>
      <c r="M1407" s="4">
        <f>M1406-Table13[[#This Row],[Debits]]+Table13[[#This Row],[Income]]</f>
        <v>2805.21</v>
      </c>
      <c r="N1407" t="str">
        <f>IF(AND(Table13[[#This Row],[Category]]="pay",NOT(Table13[[#This Row],[Debits]]=0)),"bad","good")</f>
        <v>good</v>
      </c>
      <c r="O1407" s="5"/>
    </row>
    <row r="1408" spans="6:15" x14ac:dyDescent="0.3">
      <c r="F1408">
        <f>MONTH(Table13[[#This Row],[Date  (DMY)]])</f>
        <v>1</v>
      </c>
      <c r="G1408" s="2"/>
      <c r="L1408" s="5"/>
      <c r="M1408" s="4">
        <f>M1407-Table13[[#This Row],[Debits]]+Table13[[#This Row],[Income]]</f>
        <v>2805.21</v>
      </c>
      <c r="N1408" t="str">
        <f>IF(AND(Table13[[#This Row],[Category]]="pay",NOT(Table13[[#This Row],[Debits]]=0)),"bad","good")</f>
        <v>good</v>
      </c>
      <c r="O1408" s="5"/>
    </row>
    <row r="1409" spans="6:15" x14ac:dyDescent="0.3">
      <c r="F1409">
        <f>MONTH(Table13[[#This Row],[Date  (DMY)]])</f>
        <v>1</v>
      </c>
      <c r="G1409" s="2"/>
      <c r="L1409" s="5"/>
      <c r="M1409" s="4">
        <f>M1408-Table13[[#This Row],[Debits]]+Table13[[#This Row],[Income]]</f>
        <v>2805.21</v>
      </c>
      <c r="N1409" t="str">
        <f>IF(AND(Table13[[#This Row],[Category]]="pay",NOT(Table13[[#This Row],[Debits]]=0)),"bad","good")</f>
        <v>good</v>
      </c>
      <c r="O1409" s="5"/>
    </row>
    <row r="1410" spans="6:15" x14ac:dyDescent="0.3">
      <c r="F1410">
        <f>MONTH(Table13[[#This Row],[Date  (DMY)]])</f>
        <v>1</v>
      </c>
      <c r="G1410" s="2"/>
      <c r="L1410" s="5"/>
      <c r="M1410" s="4">
        <f>M1409-Table13[[#This Row],[Debits]]+Table13[[#This Row],[Income]]</f>
        <v>2805.21</v>
      </c>
      <c r="N1410" t="str">
        <f>IF(AND(Table13[[#This Row],[Category]]="pay",NOT(Table13[[#This Row],[Debits]]=0)),"bad","good")</f>
        <v>good</v>
      </c>
      <c r="O1410" s="5"/>
    </row>
    <row r="1411" spans="6:15" x14ac:dyDescent="0.3">
      <c r="F1411">
        <f>MONTH(Table13[[#This Row],[Date  (DMY)]])</f>
        <v>1</v>
      </c>
      <c r="G1411" s="2"/>
      <c r="L1411" s="5"/>
      <c r="M1411" s="4">
        <f>M1410-Table13[[#This Row],[Debits]]+Table13[[#This Row],[Income]]</f>
        <v>2805.21</v>
      </c>
      <c r="N1411" t="str">
        <f>IF(AND(Table13[[#This Row],[Category]]="pay",NOT(Table13[[#This Row],[Debits]]=0)),"bad","good")</f>
        <v>good</v>
      </c>
      <c r="O1411" s="5"/>
    </row>
    <row r="1412" spans="6:15" x14ac:dyDescent="0.3">
      <c r="F1412">
        <f>MONTH(Table13[[#This Row],[Date  (DMY)]])</f>
        <v>1</v>
      </c>
      <c r="G1412" s="2"/>
      <c r="L1412" s="5"/>
      <c r="M1412" s="4">
        <f>M1411-Table13[[#This Row],[Debits]]+Table13[[#This Row],[Income]]</f>
        <v>2805.21</v>
      </c>
      <c r="N1412" t="str">
        <f>IF(AND(Table13[[#This Row],[Category]]="pay",NOT(Table13[[#This Row],[Debits]]=0)),"bad","good")</f>
        <v>good</v>
      </c>
      <c r="O1412" s="5"/>
    </row>
    <row r="1413" spans="6:15" x14ac:dyDescent="0.3">
      <c r="F1413">
        <f>MONTH(Table13[[#This Row],[Date  (DMY)]])</f>
        <v>1</v>
      </c>
      <c r="G1413" s="2"/>
      <c r="L1413" s="5"/>
      <c r="M1413" s="4">
        <f>M1412-Table13[[#This Row],[Debits]]+Table13[[#This Row],[Income]]</f>
        <v>2805.21</v>
      </c>
      <c r="N1413" t="str">
        <f>IF(AND(Table13[[#This Row],[Category]]="pay",NOT(Table13[[#This Row],[Debits]]=0)),"bad","good")</f>
        <v>good</v>
      </c>
      <c r="O1413" s="5"/>
    </row>
    <row r="1414" spans="6:15" x14ac:dyDescent="0.3">
      <c r="F1414">
        <f>MONTH(Table13[[#This Row],[Date  (DMY)]])</f>
        <v>1</v>
      </c>
      <c r="G1414" s="2"/>
      <c r="L1414" s="5"/>
      <c r="M1414" s="4">
        <f>M1413-Table13[[#This Row],[Debits]]+Table13[[#This Row],[Income]]</f>
        <v>2805.21</v>
      </c>
      <c r="N1414" t="str">
        <f>IF(AND(Table13[[#This Row],[Category]]="pay",NOT(Table13[[#This Row],[Debits]]=0)),"bad","good")</f>
        <v>good</v>
      </c>
      <c r="O1414" s="5"/>
    </row>
    <row r="1415" spans="6:15" x14ac:dyDescent="0.3">
      <c r="F1415">
        <f>MONTH(Table13[[#This Row],[Date  (DMY)]])</f>
        <v>1</v>
      </c>
      <c r="G1415" s="2"/>
      <c r="L1415" s="5"/>
      <c r="M1415" s="4">
        <f>M1414-Table13[[#This Row],[Debits]]+Table13[[#This Row],[Income]]</f>
        <v>2805.21</v>
      </c>
      <c r="N1415" t="str">
        <f>IF(AND(Table13[[#This Row],[Category]]="pay",NOT(Table13[[#This Row],[Debits]]=0)),"bad","good")</f>
        <v>good</v>
      </c>
      <c r="O1415" s="5"/>
    </row>
    <row r="1416" spans="6:15" x14ac:dyDescent="0.3">
      <c r="F1416">
        <f>MONTH(Table13[[#This Row],[Date  (DMY)]])</f>
        <v>1</v>
      </c>
      <c r="G1416" s="2"/>
      <c r="L1416" s="5"/>
      <c r="M1416" s="4">
        <f>M1415-Table13[[#This Row],[Debits]]+Table13[[#This Row],[Income]]</f>
        <v>2805.21</v>
      </c>
      <c r="N1416" t="str">
        <f>IF(AND(Table13[[#This Row],[Category]]="pay",NOT(Table13[[#This Row],[Debits]]=0)),"bad","good")</f>
        <v>good</v>
      </c>
      <c r="O1416" s="5"/>
    </row>
    <row r="1417" spans="6:15" x14ac:dyDescent="0.3">
      <c r="F1417">
        <f>MONTH(Table13[[#This Row],[Date  (DMY)]])</f>
        <v>1</v>
      </c>
      <c r="G1417" s="2"/>
      <c r="L1417" s="5"/>
      <c r="M1417" s="4">
        <f>M1416-Table13[[#This Row],[Debits]]+Table13[[#This Row],[Income]]</f>
        <v>2805.21</v>
      </c>
      <c r="N1417" t="str">
        <f>IF(AND(Table13[[#This Row],[Category]]="pay",NOT(Table13[[#This Row],[Debits]]=0)),"bad","good")</f>
        <v>good</v>
      </c>
      <c r="O1417" s="5"/>
    </row>
    <row r="1418" spans="6:15" x14ac:dyDescent="0.3">
      <c r="F1418">
        <f>MONTH(Table13[[#This Row],[Date  (DMY)]])</f>
        <v>1</v>
      </c>
      <c r="G1418" s="2"/>
      <c r="L1418" s="5"/>
      <c r="M1418" s="4">
        <f>M1417-Table13[[#This Row],[Debits]]+Table13[[#This Row],[Income]]</f>
        <v>2805.21</v>
      </c>
      <c r="N1418" t="str">
        <f>IF(AND(Table13[[#This Row],[Category]]="pay",NOT(Table13[[#This Row],[Debits]]=0)),"bad","good")</f>
        <v>good</v>
      </c>
      <c r="O1418" s="5"/>
    </row>
    <row r="1419" spans="6:15" x14ac:dyDescent="0.3">
      <c r="F1419">
        <f>MONTH(Table13[[#This Row],[Date  (DMY)]])</f>
        <v>1</v>
      </c>
      <c r="G1419" s="2"/>
      <c r="L1419" s="5"/>
      <c r="M1419" s="4">
        <f>M1418-Table13[[#This Row],[Debits]]+Table13[[#This Row],[Income]]</f>
        <v>2805.21</v>
      </c>
      <c r="N1419" t="str">
        <f>IF(AND(Table13[[#This Row],[Category]]="pay",NOT(Table13[[#This Row],[Debits]]=0)),"bad","good")</f>
        <v>good</v>
      </c>
      <c r="O1419" s="5"/>
    </row>
    <row r="1420" spans="6:15" x14ac:dyDescent="0.3">
      <c r="F1420">
        <f>MONTH(Table13[[#This Row],[Date  (DMY)]])</f>
        <v>1</v>
      </c>
      <c r="G1420" s="2"/>
      <c r="L1420" s="5"/>
      <c r="M1420" s="4">
        <f>M1419-Table13[[#This Row],[Debits]]+Table13[[#This Row],[Income]]</f>
        <v>2805.21</v>
      </c>
      <c r="N1420" t="str">
        <f>IF(AND(Table13[[#This Row],[Category]]="pay",NOT(Table13[[#This Row],[Debits]]=0)),"bad","good")</f>
        <v>good</v>
      </c>
      <c r="O1420" s="5"/>
    </row>
    <row r="1421" spans="6:15" x14ac:dyDescent="0.3">
      <c r="F1421">
        <f>MONTH(Table13[[#This Row],[Date  (DMY)]])</f>
        <v>1</v>
      </c>
      <c r="G1421" s="2"/>
      <c r="L1421" s="5"/>
      <c r="M1421" s="4">
        <f>M1420-Table13[[#This Row],[Debits]]+Table13[[#This Row],[Income]]</f>
        <v>2805.21</v>
      </c>
      <c r="N1421" t="str">
        <f>IF(AND(Table13[[#This Row],[Category]]="pay",NOT(Table13[[#This Row],[Debits]]=0)),"bad","good")</f>
        <v>good</v>
      </c>
      <c r="O1421" s="5"/>
    </row>
    <row r="1422" spans="6:15" x14ac:dyDescent="0.3">
      <c r="F1422">
        <f>MONTH(Table13[[#This Row],[Date  (DMY)]])</f>
        <v>1</v>
      </c>
      <c r="G1422" s="2"/>
      <c r="L1422" s="5"/>
      <c r="M1422" s="4">
        <f>M1421-Table13[[#This Row],[Debits]]+Table13[[#This Row],[Income]]</f>
        <v>2805.21</v>
      </c>
      <c r="N1422" t="str">
        <f>IF(AND(Table13[[#This Row],[Category]]="pay",NOT(Table13[[#This Row],[Debits]]=0)),"bad","good")</f>
        <v>good</v>
      </c>
      <c r="O1422" s="5"/>
    </row>
    <row r="1423" spans="6:15" x14ac:dyDescent="0.3">
      <c r="F1423">
        <f>MONTH(Table13[[#This Row],[Date  (DMY)]])</f>
        <v>1</v>
      </c>
      <c r="G1423" s="2"/>
      <c r="L1423" s="5"/>
      <c r="M1423" s="4">
        <f>M1422-Table13[[#This Row],[Debits]]+Table13[[#This Row],[Income]]</f>
        <v>2805.21</v>
      </c>
      <c r="N1423" t="str">
        <f>IF(AND(Table13[[#This Row],[Category]]="pay",NOT(Table13[[#This Row],[Debits]]=0)),"bad","good")</f>
        <v>good</v>
      </c>
      <c r="O1423" s="5"/>
    </row>
    <row r="1424" spans="6:15" x14ac:dyDescent="0.3">
      <c r="F1424">
        <f>MONTH(Table13[[#This Row],[Date  (DMY)]])</f>
        <v>1</v>
      </c>
      <c r="G1424" s="2"/>
      <c r="L1424" s="5"/>
      <c r="M1424" s="4">
        <f>M1423-Table13[[#This Row],[Debits]]+Table13[[#This Row],[Income]]</f>
        <v>2805.21</v>
      </c>
      <c r="N1424" t="str">
        <f>IF(AND(Table13[[#This Row],[Category]]="pay",NOT(Table13[[#This Row],[Debits]]=0)),"bad","good")</f>
        <v>good</v>
      </c>
      <c r="O1424" s="5"/>
    </row>
    <row r="1425" spans="6:15" x14ac:dyDescent="0.3">
      <c r="F1425">
        <f>MONTH(Table13[[#This Row],[Date  (DMY)]])</f>
        <v>1</v>
      </c>
      <c r="G1425" s="2"/>
      <c r="L1425" s="5"/>
      <c r="M1425" s="4">
        <f>M1424-Table13[[#This Row],[Debits]]+Table13[[#This Row],[Income]]</f>
        <v>2805.21</v>
      </c>
      <c r="N1425" t="str">
        <f>IF(AND(Table13[[#This Row],[Category]]="pay",NOT(Table13[[#This Row],[Debits]]=0)),"bad","good")</f>
        <v>good</v>
      </c>
      <c r="O1425" s="5"/>
    </row>
    <row r="1426" spans="6:15" x14ac:dyDescent="0.3">
      <c r="F1426">
        <f>MONTH(Table13[[#This Row],[Date  (DMY)]])</f>
        <v>1</v>
      </c>
      <c r="G1426" s="2"/>
      <c r="L1426" s="5"/>
      <c r="M1426" s="4">
        <f>M1425-Table13[[#This Row],[Debits]]+Table13[[#This Row],[Income]]</f>
        <v>2805.21</v>
      </c>
      <c r="N1426" t="str">
        <f>IF(AND(Table13[[#This Row],[Category]]="pay",NOT(Table13[[#This Row],[Debits]]=0)),"bad","good")</f>
        <v>good</v>
      </c>
      <c r="O1426" s="5"/>
    </row>
    <row r="1427" spans="6:15" x14ac:dyDescent="0.3">
      <c r="F1427">
        <f>MONTH(Table13[[#This Row],[Date  (DMY)]])</f>
        <v>1</v>
      </c>
      <c r="G1427" s="2"/>
      <c r="L1427" s="5"/>
      <c r="M1427" s="4">
        <f>M1426-Table13[[#This Row],[Debits]]+Table13[[#This Row],[Income]]</f>
        <v>2805.21</v>
      </c>
      <c r="N1427" t="str">
        <f>IF(AND(Table13[[#This Row],[Category]]="pay",NOT(Table13[[#This Row],[Debits]]=0)),"bad","good")</f>
        <v>good</v>
      </c>
      <c r="O1427" s="5"/>
    </row>
    <row r="1428" spans="6:15" x14ac:dyDescent="0.3">
      <c r="F1428">
        <f>MONTH(Table13[[#This Row],[Date  (DMY)]])</f>
        <v>1</v>
      </c>
      <c r="G1428" s="2"/>
      <c r="L1428" s="5"/>
      <c r="M1428" s="4">
        <f>M1427-Table13[[#This Row],[Debits]]+Table13[[#This Row],[Income]]</f>
        <v>2805.21</v>
      </c>
      <c r="N1428" t="str">
        <f>IF(AND(Table13[[#This Row],[Category]]="pay",NOT(Table13[[#This Row],[Debits]]=0)),"bad","good")</f>
        <v>good</v>
      </c>
      <c r="O1428" s="5"/>
    </row>
    <row r="1429" spans="6:15" x14ac:dyDescent="0.3">
      <c r="F1429">
        <f>MONTH(Table13[[#This Row],[Date  (DMY)]])</f>
        <v>1</v>
      </c>
      <c r="G1429" s="2"/>
      <c r="L1429" s="5"/>
      <c r="M1429" s="4">
        <f>M1428-Table13[[#This Row],[Debits]]+Table13[[#This Row],[Income]]</f>
        <v>2805.21</v>
      </c>
      <c r="N1429" t="str">
        <f>IF(AND(Table13[[#This Row],[Category]]="pay",NOT(Table13[[#This Row],[Debits]]=0)),"bad","good")</f>
        <v>good</v>
      </c>
      <c r="O1429" s="5"/>
    </row>
    <row r="1430" spans="6:15" x14ac:dyDescent="0.3">
      <c r="F1430">
        <f>MONTH(Table13[[#This Row],[Date  (DMY)]])</f>
        <v>1</v>
      </c>
      <c r="G1430" s="2"/>
      <c r="L1430" s="5"/>
      <c r="M1430" s="4">
        <f>M1429-Table13[[#This Row],[Debits]]+Table13[[#This Row],[Income]]</f>
        <v>2805.21</v>
      </c>
      <c r="N1430" t="str">
        <f>IF(AND(Table13[[#This Row],[Category]]="pay",NOT(Table13[[#This Row],[Debits]]=0)),"bad","good")</f>
        <v>good</v>
      </c>
      <c r="O1430" s="5"/>
    </row>
    <row r="1431" spans="6:15" x14ac:dyDescent="0.3">
      <c r="F1431">
        <f>MONTH(Table13[[#This Row],[Date  (DMY)]])</f>
        <v>1</v>
      </c>
      <c r="G1431" s="2"/>
      <c r="L1431" s="5"/>
      <c r="M1431" s="4">
        <f>M1430-Table13[[#This Row],[Debits]]+Table13[[#This Row],[Income]]</f>
        <v>2805.21</v>
      </c>
      <c r="N1431" t="str">
        <f>IF(AND(Table13[[#This Row],[Category]]="pay",NOT(Table13[[#This Row],[Debits]]=0)),"bad","good")</f>
        <v>good</v>
      </c>
      <c r="O1431" s="5"/>
    </row>
    <row r="1432" spans="6:15" x14ac:dyDescent="0.3">
      <c r="F1432">
        <f>MONTH(Table13[[#This Row],[Date  (DMY)]])</f>
        <v>1</v>
      </c>
      <c r="G1432" s="2"/>
      <c r="L1432" s="5"/>
      <c r="M1432" s="4">
        <f>M1431-Table13[[#This Row],[Debits]]+Table13[[#This Row],[Income]]</f>
        <v>2805.21</v>
      </c>
      <c r="N1432" t="str">
        <f>IF(AND(Table13[[#This Row],[Category]]="pay",NOT(Table13[[#This Row],[Debits]]=0)),"bad","good")</f>
        <v>good</v>
      </c>
      <c r="O1432" s="5"/>
    </row>
    <row r="1433" spans="6:15" x14ac:dyDescent="0.3">
      <c r="F1433">
        <f>MONTH(Table13[[#This Row],[Date  (DMY)]])</f>
        <v>1</v>
      </c>
      <c r="G1433" s="2"/>
      <c r="L1433" s="5"/>
      <c r="M1433" s="4">
        <f>M1432-Table13[[#This Row],[Debits]]+Table13[[#This Row],[Income]]</f>
        <v>2805.21</v>
      </c>
      <c r="N1433" t="str">
        <f>IF(AND(Table13[[#This Row],[Category]]="pay",NOT(Table13[[#This Row],[Debits]]=0)),"bad","good")</f>
        <v>good</v>
      </c>
      <c r="O1433" s="5"/>
    </row>
    <row r="1434" spans="6:15" x14ac:dyDescent="0.3">
      <c r="F1434">
        <f>MONTH(Table13[[#This Row],[Date  (DMY)]])</f>
        <v>1</v>
      </c>
      <c r="G1434" s="2"/>
      <c r="L1434" s="5"/>
      <c r="M1434" s="4">
        <f>M1433-Table13[[#This Row],[Debits]]+Table13[[#This Row],[Income]]</f>
        <v>2805.21</v>
      </c>
      <c r="N1434" t="str">
        <f>IF(AND(Table13[[#This Row],[Category]]="pay",NOT(Table13[[#This Row],[Debits]]=0)),"bad","good")</f>
        <v>good</v>
      </c>
      <c r="O1434" s="5"/>
    </row>
    <row r="1435" spans="6:15" x14ac:dyDescent="0.3">
      <c r="F1435">
        <f>MONTH(Table13[[#This Row],[Date  (DMY)]])</f>
        <v>1</v>
      </c>
      <c r="G1435" s="2"/>
      <c r="L1435" s="5"/>
      <c r="M1435" s="4">
        <f>M1434-Table13[[#This Row],[Debits]]+Table13[[#This Row],[Income]]</f>
        <v>2805.21</v>
      </c>
      <c r="N1435" t="str">
        <f>IF(AND(Table13[[#This Row],[Category]]="pay",NOT(Table13[[#This Row],[Debits]]=0)),"bad","good")</f>
        <v>good</v>
      </c>
      <c r="O1435" s="5"/>
    </row>
    <row r="1436" spans="6:15" x14ac:dyDescent="0.3">
      <c r="F1436">
        <f>MONTH(Table13[[#This Row],[Date  (DMY)]])</f>
        <v>1</v>
      </c>
      <c r="G1436" s="2"/>
      <c r="L1436" s="5"/>
      <c r="M1436" s="4">
        <f>M1435-Table13[[#This Row],[Debits]]+Table13[[#This Row],[Income]]</f>
        <v>2805.21</v>
      </c>
      <c r="N1436" t="str">
        <f>IF(AND(Table13[[#This Row],[Category]]="pay",NOT(Table13[[#This Row],[Debits]]=0)),"bad","good")</f>
        <v>good</v>
      </c>
      <c r="O1436" s="5"/>
    </row>
    <row r="1437" spans="6:15" x14ac:dyDescent="0.3">
      <c r="F1437">
        <f>MONTH(Table13[[#This Row],[Date  (DMY)]])</f>
        <v>1</v>
      </c>
      <c r="G1437" s="2"/>
      <c r="L1437" s="5"/>
      <c r="M1437" s="4">
        <f>M1436-Table13[[#This Row],[Debits]]+Table13[[#This Row],[Income]]</f>
        <v>2805.21</v>
      </c>
      <c r="N1437" t="str">
        <f>IF(AND(Table13[[#This Row],[Category]]="pay",NOT(Table13[[#This Row],[Debits]]=0)),"bad","good")</f>
        <v>good</v>
      </c>
      <c r="O1437" s="5"/>
    </row>
    <row r="1438" spans="6:15" x14ac:dyDescent="0.3">
      <c r="F1438">
        <f>MONTH(Table13[[#This Row],[Date  (DMY)]])</f>
        <v>1</v>
      </c>
      <c r="G1438" s="2"/>
      <c r="L1438" s="5"/>
      <c r="M1438" s="4">
        <f>M1437-Table13[[#This Row],[Debits]]+Table13[[#This Row],[Income]]</f>
        <v>2805.21</v>
      </c>
      <c r="N1438" t="str">
        <f>IF(AND(Table13[[#This Row],[Category]]="pay",NOT(Table13[[#This Row],[Debits]]=0)),"bad","good")</f>
        <v>good</v>
      </c>
      <c r="O1438" s="5"/>
    </row>
    <row r="1439" spans="6:15" x14ac:dyDescent="0.3">
      <c r="F1439">
        <f>MONTH(Table13[[#This Row],[Date  (DMY)]])</f>
        <v>1</v>
      </c>
      <c r="G1439" s="2"/>
      <c r="L1439" s="5"/>
      <c r="M1439" s="4">
        <f>M1438-Table13[[#This Row],[Debits]]+Table13[[#This Row],[Income]]</f>
        <v>2805.21</v>
      </c>
      <c r="N1439" t="str">
        <f>IF(AND(Table13[[#This Row],[Category]]="pay",NOT(Table13[[#This Row],[Debits]]=0)),"bad","good")</f>
        <v>good</v>
      </c>
      <c r="O1439" s="5"/>
    </row>
    <row r="1440" spans="6:15" x14ac:dyDescent="0.3">
      <c r="F1440">
        <f>MONTH(Table13[[#This Row],[Date  (DMY)]])</f>
        <v>1</v>
      </c>
      <c r="G1440" s="2"/>
      <c r="L1440" s="5"/>
      <c r="M1440" s="4">
        <f>M1439-Table13[[#This Row],[Debits]]+Table13[[#This Row],[Income]]</f>
        <v>2805.21</v>
      </c>
      <c r="N1440" t="str">
        <f>IF(AND(Table13[[#This Row],[Category]]="pay",NOT(Table13[[#This Row],[Debits]]=0)),"bad","good")</f>
        <v>good</v>
      </c>
      <c r="O1440" s="5"/>
    </row>
    <row r="1441" spans="6:15" x14ac:dyDescent="0.3">
      <c r="F1441">
        <f>MONTH(Table13[[#This Row],[Date  (DMY)]])</f>
        <v>1</v>
      </c>
      <c r="G1441" s="2"/>
      <c r="L1441" s="5"/>
      <c r="M1441" s="4">
        <f>M1440-Table13[[#This Row],[Debits]]+Table13[[#This Row],[Income]]</f>
        <v>2805.21</v>
      </c>
      <c r="N1441" t="str">
        <f>IF(AND(Table13[[#This Row],[Category]]="pay",NOT(Table13[[#This Row],[Debits]]=0)),"bad","good")</f>
        <v>good</v>
      </c>
      <c r="O1441" s="5"/>
    </row>
    <row r="1442" spans="6:15" x14ac:dyDescent="0.3">
      <c r="F1442">
        <f>MONTH(Table13[[#This Row],[Date  (DMY)]])</f>
        <v>1</v>
      </c>
      <c r="G1442" s="2"/>
      <c r="L1442" s="5"/>
      <c r="M1442" s="4">
        <f>M1441-Table13[[#This Row],[Debits]]+Table13[[#This Row],[Income]]</f>
        <v>2805.21</v>
      </c>
      <c r="N1442" t="str">
        <f>IF(AND(Table13[[#This Row],[Category]]="pay",NOT(Table13[[#This Row],[Debits]]=0)),"bad","good")</f>
        <v>good</v>
      </c>
      <c r="O1442" s="5"/>
    </row>
    <row r="1443" spans="6:15" x14ac:dyDescent="0.3">
      <c r="F1443">
        <f>MONTH(Table13[[#This Row],[Date  (DMY)]])</f>
        <v>1</v>
      </c>
      <c r="G1443" s="2"/>
      <c r="L1443" s="5"/>
      <c r="M1443" s="4">
        <f>M1442-Table13[[#This Row],[Debits]]+Table13[[#This Row],[Income]]</f>
        <v>2805.21</v>
      </c>
      <c r="N1443" t="str">
        <f>IF(AND(Table13[[#This Row],[Category]]="pay",NOT(Table13[[#This Row],[Debits]]=0)),"bad","good")</f>
        <v>good</v>
      </c>
      <c r="O1443" s="5"/>
    </row>
    <row r="1444" spans="6:15" x14ac:dyDescent="0.3">
      <c r="F1444">
        <f>MONTH(Table13[[#This Row],[Date  (DMY)]])</f>
        <v>1</v>
      </c>
      <c r="G1444" s="2"/>
      <c r="L1444" s="5"/>
      <c r="M1444" s="4">
        <f>M1443-Table13[[#This Row],[Debits]]+Table13[[#This Row],[Income]]</f>
        <v>2805.21</v>
      </c>
      <c r="N1444" t="str">
        <f>IF(AND(Table13[[#This Row],[Category]]="pay",NOT(Table13[[#This Row],[Debits]]=0)),"bad","good")</f>
        <v>good</v>
      </c>
      <c r="O1444" s="5"/>
    </row>
    <row r="1445" spans="6:15" x14ac:dyDescent="0.3">
      <c r="F1445">
        <f>MONTH(Table13[[#This Row],[Date  (DMY)]])</f>
        <v>1</v>
      </c>
      <c r="G1445" s="2"/>
      <c r="L1445" s="5"/>
      <c r="M1445" s="4">
        <f>M1444-Table13[[#This Row],[Debits]]+Table13[[#This Row],[Income]]</f>
        <v>2805.21</v>
      </c>
      <c r="N1445" t="str">
        <f>IF(AND(Table13[[#This Row],[Category]]="pay",NOT(Table13[[#This Row],[Debits]]=0)),"bad","good")</f>
        <v>good</v>
      </c>
      <c r="O1445" s="5"/>
    </row>
    <row r="1446" spans="6:15" x14ac:dyDescent="0.3">
      <c r="F1446">
        <f>MONTH(Table13[[#This Row],[Date  (DMY)]])</f>
        <v>1</v>
      </c>
      <c r="G1446" s="2"/>
      <c r="L1446" s="5"/>
      <c r="M1446" s="4">
        <f>M1445-Table13[[#This Row],[Debits]]+Table13[[#This Row],[Income]]</f>
        <v>2805.21</v>
      </c>
      <c r="N1446" t="str">
        <f>IF(AND(Table13[[#This Row],[Category]]="pay",NOT(Table13[[#This Row],[Debits]]=0)),"bad","good")</f>
        <v>good</v>
      </c>
      <c r="O1446" s="5"/>
    </row>
    <row r="1447" spans="6:15" x14ac:dyDescent="0.3">
      <c r="F1447">
        <f>MONTH(Table13[[#This Row],[Date  (DMY)]])</f>
        <v>1</v>
      </c>
      <c r="G1447" s="2"/>
      <c r="L1447" s="5"/>
      <c r="M1447" s="4">
        <f>M1446-Table13[[#This Row],[Debits]]+Table13[[#This Row],[Income]]</f>
        <v>2805.21</v>
      </c>
      <c r="N1447" t="str">
        <f>IF(AND(Table13[[#This Row],[Category]]="pay",NOT(Table13[[#This Row],[Debits]]=0)),"bad","good")</f>
        <v>good</v>
      </c>
      <c r="O1447" s="5"/>
    </row>
    <row r="1448" spans="6:15" x14ac:dyDescent="0.3">
      <c r="F1448">
        <f>MONTH(Table13[[#This Row],[Date  (DMY)]])</f>
        <v>1</v>
      </c>
      <c r="G1448" s="2"/>
      <c r="L1448" s="5"/>
      <c r="M1448" s="4">
        <f>M1447-Table13[[#This Row],[Debits]]+Table13[[#This Row],[Income]]</f>
        <v>2805.21</v>
      </c>
      <c r="N1448" t="str">
        <f>IF(AND(Table13[[#This Row],[Category]]="pay",NOT(Table13[[#This Row],[Debits]]=0)),"bad","good")</f>
        <v>good</v>
      </c>
      <c r="O1448" s="5"/>
    </row>
    <row r="1449" spans="6:15" x14ac:dyDescent="0.3">
      <c r="F1449">
        <f>MONTH(Table13[[#This Row],[Date  (DMY)]])</f>
        <v>1</v>
      </c>
      <c r="G1449" s="2"/>
      <c r="L1449" s="5"/>
      <c r="M1449" s="4">
        <f>M1448-Table13[[#This Row],[Debits]]+Table13[[#This Row],[Income]]</f>
        <v>2805.21</v>
      </c>
      <c r="N1449" t="str">
        <f>IF(AND(Table13[[#This Row],[Category]]="pay",NOT(Table13[[#This Row],[Debits]]=0)),"bad","good")</f>
        <v>good</v>
      </c>
      <c r="O1449" s="5"/>
    </row>
    <row r="1450" spans="6:15" x14ac:dyDescent="0.3">
      <c r="F1450">
        <f>MONTH(Table13[[#This Row],[Date  (DMY)]])</f>
        <v>1</v>
      </c>
      <c r="G1450" s="2"/>
      <c r="L1450" s="5"/>
      <c r="M1450" s="4">
        <f>M1449-Table13[[#This Row],[Debits]]+Table13[[#This Row],[Income]]</f>
        <v>2805.21</v>
      </c>
      <c r="N1450" t="str">
        <f>IF(AND(Table13[[#This Row],[Category]]="pay",NOT(Table13[[#This Row],[Debits]]=0)),"bad","good")</f>
        <v>good</v>
      </c>
      <c r="O1450" s="5"/>
    </row>
    <row r="1451" spans="6:15" x14ac:dyDescent="0.3">
      <c r="F1451">
        <f>MONTH(Table13[[#This Row],[Date  (DMY)]])</f>
        <v>1</v>
      </c>
      <c r="G1451" s="2"/>
      <c r="L1451" s="5"/>
      <c r="M1451" s="4">
        <f>M1450-Table13[[#This Row],[Debits]]+Table13[[#This Row],[Income]]</f>
        <v>2805.21</v>
      </c>
      <c r="N1451" t="str">
        <f>IF(AND(Table13[[#This Row],[Category]]="pay",NOT(Table13[[#This Row],[Debits]]=0)),"bad","good")</f>
        <v>good</v>
      </c>
      <c r="O1451" s="5"/>
    </row>
    <row r="1452" spans="6:15" x14ac:dyDescent="0.3">
      <c r="F1452">
        <f>MONTH(Table13[[#This Row],[Date  (DMY)]])</f>
        <v>1</v>
      </c>
      <c r="G1452" s="2"/>
      <c r="L1452" s="5"/>
      <c r="M1452" s="4">
        <f>M1451-Table13[[#This Row],[Debits]]+Table13[[#This Row],[Income]]</f>
        <v>2805.21</v>
      </c>
      <c r="N1452" t="str">
        <f>IF(AND(Table13[[#This Row],[Category]]="pay",NOT(Table13[[#This Row],[Debits]]=0)),"bad","good")</f>
        <v>good</v>
      </c>
      <c r="O1452" s="5"/>
    </row>
    <row r="1453" spans="6:15" x14ac:dyDescent="0.3">
      <c r="F1453">
        <f>MONTH(Table13[[#This Row],[Date  (DMY)]])</f>
        <v>1</v>
      </c>
      <c r="G1453" s="2"/>
      <c r="L1453" s="5"/>
      <c r="M1453" s="4">
        <f>M1452-Table13[[#This Row],[Debits]]+Table13[[#This Row],[Income]]</f>
        <v>2805.21</v>
      </c>
      <c r="N1453" t="str">
        <f>IF(AND(Table13[[#This Row],[Category]]="pay",NOT(Table13[[#This Row],[Debits]]=0)),"bad","good")</f>
        <v>good</v>
      </c>
      <c r="O1453" s="5"/>
    </row>
    <row r="1454" spans="6:15" x14ac:dyDescent="0.3">
      <c r="F1454">
        <f>MONTH(Table13[[#This Row],[Date  (DMY)]])</f>
        <v>1</v>
      </c>
      <c r="G1454" s="2"/>
      <c r="L1454" s="5"/>
      <c r="M1454" s="4">
        <f>M1453-Table13[[#This Row],[Debits]]+Table13[[#This Row],[Income]]</f>
        <v>2805.21</v>
      </c>
      <c r="N1454" t="str">
        <f>IF(AND(Table13[[#This Row],[Category]]="pay",NOT(Table13[[#This Row],[Debits]]=0)),"bad","good")</f>
        <v>good</v>
      </c>
      <c r="O1454" s="5"/>
    </row>
    <row r="1455" spans="6:15" x14ac:dyDescent="0.3">
      <c r="F1455">
        <f>MONTH(Table13[[#This Row],[Date  (DMY)]])</f>
        <v>1</v>
      </c>
      <c r="G1455" s="2"/>
      <c r="L1455" s="5"/>
      <c r="M1455" s="4">
        <f>M1454-Table13[[#This Row],[Debits]]+Table13[[#This Row],[Income]]</f>
        <v>2805.21</v>
      </c>
      <c r="N1455" t="str">
        <f>IF(AND(Table13[[#This Row],[Category]]="pay",NOT(Table13[[#This Row],[Debits]]=0)),"bad","good")</f>
        <v>good</v>
      </c>
      <c r="O1455" s="5"/>
    </row>
    <row r="1456" spans="6:15" x14ac:dyDescent="0.3">
      <c r="F1456">
        <f>MONTH(Table13[[#This Row],[Date  (DMY)]])</f>
        <v>1</v>
      </c>
      <c r="G1456" s="2"/>
      <c r="L1456" s="5"/>
      <c r="M1456" s="4">
        <f>M1455-Table13[[#This Row],[Debits]]+Table13[[#This Row],[Income]]</f>
        <v>2805.21</v>
      </c>
      <c r="N1456" t="str">
        <f>IF(AND(Table13[[#This Row],[Category]]="pay",NOT(Table13[[#This Row],[Debits]]=0)),"bad","good")</f>
        <v>good</v>
      </c>
      <c r="O1456" s="5"/>
    </row>
    <row r="1457" spans="6:15" x14ac:dyDescent="0.3">
      <c r="F1457">
        <f>MONTH(Table13[[#This Row],[Date  (DMY)]])</f>
        <v>1</v>
      </c>
      <c r="G1457" s="2"/>
      <c r="L1457" s="5"/>
      <c r="M1457" s="4">
        <f>M1456-Table13[[#This Row],[Debits]]+Table13[[#This Row],[Income]]</f>
        <v>2805.21</v>
      </c>
      <c r="N1457" t="str">
        <f>IF(AND(Table13[[#This Row],[Category]]="pay",NOT(Table13[[#This Row],[Debits]]=0)),"bad","good")</f>
        <v>good</v>
      </c>
      <c r="O1457" s="5"/>
    </row>
    <row r="1458" spans="6:15" x14ac:dyDescent="0.3">
      <c r="F1458">
        <f>MONTH(Table13[[#This Row],[Date  (DMY)]])</f>
        <v>1</v>
      </c>
      <c r="G1458" s="2"/>
      <c r="L1458" s="5"/>
      <c r="M1458" s="4">
        <f>M1457-Table13[[#This Row],[Debits]]+Table13[[#This Row],[Income]]</f>
        <v>2805.21</v>
      </c>
      <c r="N1458" t="str">
        <f>IF(AND(Table13[[#This Row],[Category]]="pay",NOT(Table13[[#This Row],[Debits]]=0)),"bad","good")</f>
        <v>good</v>
      </c>
      <c r="O1458" s="5"/>
    </row>
    <row r="1459" spans="6:15" x14ac:dyDescent="0.3">
      <c r="F1459">
        <f>MONTH(Table13[[#This Row],[Date  (DMY)]])</f>
        <v>1</v>
      </c>
      <c r="G1459" s="2"/>
      <c r="L1459" s="5"/>
      <c r="M1459" s="4">
        <f>M1458-Table13[[#This Row],[Debits]]+Table13[[#This Row],[Income]]</f>
        <v>2805.21</v>
      </c>
      <c r="N1459" t="str">
        <f>IF(AND(Table13[[#This Row],[Category]]="pay",NOT(Table13[[#This Row],[Debits]]=0)),"bad","good")</f>
        <v>good</v>
      </c>
      <c r="O1459" s="5"/>
    </row>
    <row r="1460" spans="6:15" x14ac:dyDescent="0.3">
      <c r="F1460">
        <f>MONTH(Table13[[#This Row],[Date  (DMY)]])</f>
        <v>1</v>
      </c>
      <c r="G1460" s="2"/>
      <c r="L1460" s="5"/>
      <c r="M1460" s="4">
        <f>M1459-Table13[[#This Row],[Debits]]+Table13[[#This Row],[Income]]</f>
        <v>2805.21</v>
      </c>
      <c r="N1460" t="str">
        <f>IF(AND(Table13[[#This Row],[Category]]="pay",NOT(Table13[[#This Row],[Debits]]=0)),"bad","good")</f>
        <v>good</v>
      </c>
      <c r="O1460" s="5"/>
    </row>
    <row r="1461" spans="6:15" x14ac:dyDescent="0.3">
      <c r="F1461">
        <f>MONTH(Table13[[#This Row],[Date  (DMY)]])</f>
        <v>1</v>
      </c>
      <c r="G1461" s="2"/>
      <c r="L1461" s="5"/>
      <c r="M1461" s="4">
        <f>M1460-Table13[[#This Row],[Debits]]+Table13[[#This Row],[Income]]</f>
        <v>2805.21</v>
      </c>
      <c r="N1461" t="str">
        <f>IF(AND(Table13[[#This Row],[Category]]="pay",NOT(Table13[[#This Row],[Debits]]=0)),"bad","good")</f>
        <v>good</v>
      </c>
      <c r="O1461" s="5"/>
    </row>
    <row r="1462" spans="6:15" x14ac:dyDescent="0.3">
      <c r="F1462">
        <f>MONTH(Table13[[#This Row],[Date  (DMY)]])</f>
        <v>1</v>
      </c>
      <c r="G1462" s="2"/>
      <c r="L1462" s="5"/>
      <c r="M1462" s="4">
        <f>M1461-Table13[[#This Row],[Debits]]+Table13[[#This Row],[Income]]</f>
        <v>2805.21</v>
      </c>
      <c r="N1462" t="str">
        <f>IF(AND(Table13[[#This Row],[Category]]="pay",NOT(Table13[[#This Row],[Debits]]=0)),"bad","good")</f>
        <v>good</v>
      </c>
      <c r="O1462" s="5"/>
    </row>
    <row r="1463" spans="6:15" x14ac:dyDescent="0.3">
      <c r="F1463">
        <f>MONTH(Table13[[#This Row],[Date  (DMY)]])</f>
        <v>1</v>
      </c>
      <c r="G1463" s="2"/>
      <c r="L1463" s="5"/>
      <c r="M1463" s="4">
        <f>M1462-Table13[[#This Row],[Debits]]+Table13[[#This Row],[Income]]</f>
        <v>2805.21</v>
      </c>
      <c r="N1463" t="str">
        <f>IF(AND(Table13[[#This Row],[Category]]="pay",NOT(Table13[[#This Row],[Debits]]=0)),"bad","good")</f>
        <v>good</v>
      </c>
      <c r="O1463" s="5"/>
    </row>
    <row r="1464" spans="6:15" x14ac:dyDescent="0.3">
      <c r="F1464">
        <f>MONTH(Table13[[#This Row],[Date  (DMY)]])</f>
        <v>1</v>
      </c>
      <c r="G1464" s="2"/>
      <c r="L1464" s="5"/>
      <c r="M1464" s="4">
        <f>M1463-Table13[[#This Row],[Debits]]+Table13[[#This Row],[Income]]</f>
        <v>2805.21</v>
      </c>
      <c r="N1464" t="str">
        <f>IF(AND(Table13[[#This Row],[Category]]="pay",NOT(Table13[[#This Row],[Debits]]=0)),"bad","good")</f>
        <v>good</v>
      </c>
      <c r="O1464" s="5"/>
    </row>
    <row r="1465" spans="6:15" x14ac:dyDescent="0.3">
      <c r="F1465">
        <f>MONTH(Table13[[#This Row],[Date  (DMY)]])</f>
        <v>1</v>
      </c>
      <c r="G1465" s="2"/>
      <c r="L1465" s="5"/>
      <c r="M1465" s="4">
        <f>M1464-Table13[[#This Row],[Debits]]+Table13[[#This Row],[Income]]</f>
        <v>2805.21</v>
      </c>
      <c r="N1465" t="str">
        <f>IF(AND(Table13[[#This Row],[Category]]="pay",NOT(Table13[[#This Row],[Debits]]=0)),"bad","good")</f>
        <v>good</v>
      </c>
      <c r="O1465" s="5"/>
    </row>
    <row r="1466" spans="6:15" x14ac:dyDescent="0.3">
      <c r="F1466">
        <f>MONTH(Table13[[#This Row],[Date  (DMY)]])</f>
        <v>1</v>
      </c>
      <c r="G1466" s="2"/>
      <c r="L1466" s="5"/>
      <c r="M1466" s="4">
        <f>M1465-Table13[[#This Row],[Debits]]+Table13[[#This Row],[Income]]</f>
        <v>2805.21</v>
      </c>
      <c r="N1466" t="str">
        <f>IF(AND(Table13[[#This Row],[Category]]="pay",NOT(Table13[[#This Row],[Debits]]=0)),"bad","good")</f>
        <v>good</v>
      </c>
      <c r="O1466" s="5"/>
    </row>
    <row r="1467" spans="6:15" x14ac:dyDescent="0.3">
      <c r="F1467">
        <f>MONTH(Table13[[#This Row],[Date  (DMY)]])</f>
        <v>1</v>
      </c>
      <c r="G1467" s="2"/>
      <c r="L1467" s="5"/>
      <c r="M1467" s="4">
        <f>M1466-Table13[[#This Row],[Debits]]+Table13[[#This Row],[Income]]</f>
        <v>2805.21</v>
      </c>
      <c r="N1467" t="str">
        <f>IF(AND(Table13[[#This Row],[Category]]="pay",NOT(Table13[[#This Row],[Debits]]=0)),"bad","good")</f>
        <v>good</v>
      </c>
      <c r="O1467" s="5"/>
    </row>
    <row r="1468" spans="6:15" x14ac:dyDescent="0.3">
      <c r="F1468">
        <f>MONTH(Table13[[#This Row],[Date  (DMY)]])</f>
        <v>1</v>
      </c>
      <c r="G1468" s="2"/>
      <c r="L1468" s="5"/>
      <c r="M1468" s="4">
        <f>M1467-Table13[[#This Row],[Debits]]+Table13[[#This Row],[Income]]</f>
        <v>2805.21</v>
      </c>
      <c r="N1468" t="str">
        <f>IF(AND(Table13[[#This Row],[Category]]="pay",NOT(Table13[[#This Row],[Debits]]=0)),"bad","good")</f>
        <v>good</v>
      </c>
      <c r="O1468" s="5"/>
    </row>
    <row r="1469" spans="6:15" x14ac:dyDescent="0.3">
      <c r="F1469">
        <f>MONTH(Table13[[#This Row],[Date  (DMY)]])</f>
        <v>1</v>
      </c>
      <c r="G1469" s="2"/>
      <c r="L1469" s="5"/>
      <c r="M1469" s="4">
        <f>M1468-Table13[[#This Row],[Debits]]+Table13[[#This Row],[Income]]</f>
        <v>2805.21</v>
      </c>
      <c r="N1469" t="str">
        <f>IF(AND(Table13[[#This Row],[Category]]="pay",NOT(Table13[[#This Row],[Debits]]=0)),"bad","good")</f>
        <v>good</v>
      </c>
      <c r="O1469" s="5"/>
    </row>
    <row r="1470" spans="6:15" x14ac:dyDescent="0.3">
      <c r="F1470">
        <f>MONTH(Table13[[#This Row],[Date  (DMY)]])</f>
        <v>1</v>
      </c>
      <c r="G1470" s="2"/>
      <c r="L1470" s="5"/>
      <c r="M1470" s="4">
        <f>M1469-Table13[[#This Row],[Debits]]+Table13[[#This Row],[Income]]</f>
        <v>2805.21</v>
      </c>
      <c r="N1470" t="str">
        <f>IF(AND(Table13[[#This Row],[Category]]="pay",NOT(Table13[[#This Row],[Debits]]=0)),"bad","good")</f>
        <v>good</v>
      </c>
      <c r="O1470" s="5"/>
    </row>
    <row r="1471" spans="6:15" x14ac:dyDescent="0.3">
      <c r="F1471">
        <f>MONTH(Table13[[#This Row],[Date  (DMY)]])</f>
        <v>1</v>
      </c>
      <c r="G1471" s="2"/>
      <c r="L1471" s="5"/>
      <c r="M1471" s="4">
        <f>M1470-Table13[[#This Row],[Debits]]+Table13[[#This Row],[Income]]</f>
        <v>2805.21</v>
      </c>
      <c r="N1471" t="str">
        <f>IF(AND(Table13[[#This Row],[Category]]="pay",NOT(Table13[[#This Row],[Debits]]=0)),"bad","good")</f>
        <v>good</v>
      </c>
      <c r="O1471" s="5"/>
    </row>
    <row r="1472" spans="6:15" x14ac:dyDescent="0.3">
      <c r="F1472">
        <f>MONTH(Table13[[#This Row],[Date  (DMY)]])</f>
        <v>1</v>
      </c>
      <c r="G1472" s="2"/>
      <c r="L1472" s="5"/>
      <c r="M1472" s="4">
        <f>M1471-Table13[[#This Row],[Debits]]+Table13[[#This Row],[Income]]</f>
        <v>2805.21</v>
      </c>
      <c r="N1472" t="str">
        <f>IF(AND(Table13[[#This Row],[Category]]="pay",NOT(Table13[[#This Row],[Debits]]=0)),"bad","good")</f>
        <v>good</v>
      </c>
      <c r="O1472" s="5"/>
    </row>
    <row r="1473" spans="6:15" x14ac:dyDescent="0.3">
      <c r="F1473">
        <f>MONTH(Table13[[#This Row],[Date  (DMY)]])</f>
        <v>1</v>
      </c>
      <c r="G1473" s="2"/>
      <c r="L1473" s="5"/>
      <c r="M1473" s="4">
        <f>M1472-Table13[[#This Row],[Debits]]+Table13[[#This Row],[Income]]</f>
        <v>2805.21</v>
      </c>
      <c r="N1473" t="str">
        <f>IF(AND(Table13[[#This Row],[Category]]="pay",NOT(Table13[[#This Row],[Debits]]=0)),"bad","good")</f>
        <v>good</v>
      </c>
      <c r="O1473" s="5"/>
    </row>
    <row r="1474" spans="6:15" x14ac:dyDescent="0.3">
      <c r="F1474">
        <f>MONTH(Table13[[#This Row],[Date  (DMY)]])</f>
        <v>1</v>
      </c>
      <c r="G1474" s="2"/>
      <c r="L1474" s="5"/>
      <c r="M1474" s="4">
        <f>M1473-Table13[[#This Row],[Debits]]+Table13[[#This Row],[Income]]</f>
        <v>2805.21</v>
      </c>
      <c r="N1474" t="str">
        <f>IF(AND(Table13[[#This Row],[Category]]="pay",NOT(Table13[[#This Row],[Debits]]=0)),"bad","good")</f>
        <v>good</v>
      </c>
      <c r="O1474" s="5"/>
    </row>
    <row r="1475" spans="6:15" x14ac:dyDescent="0.3">
      <c r="F1475">
        <f>MONTH(Table13[[#This Row],[Date  (DMY)]])</f>
        <v>1</v>
      </c>
      <c r="G1475" s="2"/>
      <c r="L1475" s="5"/>
      <c r="M1475" s="4">
        <f>M1474-Table13[[#This Row],[Debits]]+Table13[[#This Row],[Income]]</f>
        <v>2805.21</v>
      </c>
      <c r="N1475" t="str">
        <f>IF(AND(Table13[[#This Row],[Category]]="pay",NOT(Table13[[#This Row],[Debits]]=0)),"bad","good")</f>
        <v>good</v>
      </c>
      <c r="O1475" s="5"/>
    </row>
    <row r="1476" spans="6:15" x14ac:dyDescent="0.3">
      <c r="F1476">
        <f>MONTH(Table13[[#This Row],[Date  (DMY)]])</f>
        <v>1</v>
      </c>
      <c r="G1476" s="2"/>
      <c r="L1476" s="5"/>
      <c r="M1476" s="4">
        <f>M1475-Table13[[#This Row],[Debits]]+Table13[[#This Row],[Income]]</f>
        <v>2805.21</v>
      </c>
      <c r="N1476" t="str">
        <f>IF(AND(Table13[[#This Row],[Category]]="pay",NOT(Table13[[#This Row],[Debits]]=0)),"bad","good")</f>
        <v>good</v>
      </c>
      <c r="O1476" s="5"/>
    </row>
    <row r="1477" spans="6:15" x14ac:dyDescent="0.3">
      <c r="F1477">
        <f>MONTH(Table13[[#This Row],[Date  (DMY)]])</f>
        <v>1</v>
      </c>
      <c r="G1477" s="2"/>
      <c r="L1477" s="5"/>
      <c r="M1477" s="4">
        <f>M1476-Table13[[#This Row],[Debits]]+Table13[[#This Row],[Income]]</f>
        <v>2805.21</v>
      </c>
      <c r="N1477" t="str">
        <f>IF(AND(Table13[[#This Row],[Category]]="pay",NOT(Table13[[#This Row],[Debits]]=0)),"bad","good")</f>
        <v>good</v>
      </c>
      <c r="O1477" s="5"/>
    </row>
    <row r="1478" spans="6:15" x14ac:dyDescent="0.3">
      <c r="F1478">
        <f>MONTH(Table13[[#This Row],[Date  (DMY)]])</f>
        <v>1</v>
      </c>
      <c r="G1478" s="2"/>
      <c r="L1478" s="5"/>
      <c r="M1478" s="4">
        <f>M1477-Table13[[#This Row],[Debits]]+Table13[[#This Row],[Income]]</f>
        <v>2805.21</v>
      </c>
      <c r="N1478" t="str">
        <f>IF(AND(Table13[[#This Row],[Category]]="pay",NOT(Table13[[#This Row],[Debits]]=0)),"bad","good")</f>
        <v>good</v>
      </c>
      <c r="O1478" s="5"/>
    </row>
    <row r="1479" spans="6:15" x14ac:dyDescent="0.3">
      <c r="F1479">
        <f>MONTH(Table13[[#This Row],[Date  (DMY)]])</f>
        <v>1</v>
      </c>
      <c r="G1479" s="2"/>
      <c r="L1479" s="5"/>
      <c r="M1479" s="4">
        <f>M1478-Table13[[#This Row],[Debits]]+Table13[[#This Row],[Income]]</f>
        <v>2805.21</v>
      </c>
      <c r="N1479" t="str">
        <f>IF(AND(Table13[[#This Row],[Category]]="pay",NOT(Table13[[#This Row],[Debits]]=0)),"bad","good")</f>
        <v>good</v>
      </c>
      <c r="O1479" s="5"/>
    </row>
    <row r="1480" spans="6:15" x14ac:dyDescent="0.3">
      <c r="F1480">
        <f>MONTH(Table13[[#This Row],[Date  (DMY)]])</f>
        <v>1</v>
      </c>
      <c r="G1480" s="2"/>
      <c r="L1480" s="5"/>
      <c r="M1480" s="4">
        <f>M1479-Table13[[#This Row],[Debits]]+Table13[[#This Row],[Income]]</f>
        <v>2805.21</v>
      </c>
      <c r="N1480" t="str">
        <f>IF(AND(Table13[[#This Row],[Category]]="pay",NOT(Table13[[#This Row],[Debits]]=0)),"bad","good")</f>
        <v>good</v>
      </c>
      <c r="O1480" s="5"/>
    </row>
    <row r="1481" spans="6:15" x14ac:dyDescent="0.3">
      <c r="F1481">
        <f>MONTH(Table13[[#This Row],[Date  (DMY)]])</f>
        <v>1</v>
      </c>
      <c r="G1481" s="2"/>
      <c r="L1481" s="5"/>
      <c r="M1481" s="4">
        <f>M1480-Table13[[#This Row],[Debits]]+Table13[[#This Row],[Income]]</f>
        <v>2805.21</v>
      </c>
      <c r="N1481" t="str">
        <f>IF(AND(Table13[[#This Row],[Category]]="pay",NOT(Table13[[#This Row],[Debits]]=0)),"bad","good")</f>
        <v>good</v>
      </c>
      <c r="O1481" s="5"/>
    </row>
    <row r="1482" spans="6:15" x14ac:dyDescent="0.3">
      <c r="F1482">
        <f>MONTH(Table13[[#This Row],[Date  (DMY)]])</f>
        <v>1</v>
      </c>
      <c r="G1482" s="2"/>
      <c r="L1482" s="5"/>
      <c r="M1482" s="4">
        <f>M1481-Table13[[#This Row],[Debits]]+Table13[[#This Row],[Income]]</f>
        <v>2805.21</v>
      </c>
      <c r="N1482" t="str">
        <f>IF(AND(Table13[[#This Row],[Category]]="pay",NOT(Table13[[#This Row],[Debits]]=0)),"bad","good")</f>
        <v>good</v>
      </c>
      <c r="O1482" s="5"/>
    </row>
    <row r="1483" spans="6:15" x14ac:dyDescent="0.3">
      <c r="F1483">
        <f>MONTH(Table13[[#This Row],[Date  (DMY)]])</f>
        <v>1</v>
      </c>
      <c r="G1483" s="2"/>
      <c r="L1483" s="5"/>
      <c r="M1483" s="4">
        <f>M1482-Table13[[#This Row],[Debits]]+Table13[[#This Row],[Income]]</f>
        <v>2805.21</v>
      </c>
      <c r="N1483" t="str">
        <f>IF(AND(Table13[[#This Row],[Category]]="pay",NOT(Table13[[#This Row],[Debits]]=0)),"bad","good")</f>
        <v>good</v>
      </c>
      <c r="O1483" s="5"/>
    </row>
    <row r="1484" spans="6:15" x14ac:dyDescent="0.3">
      <c r="F1484">
        <f>MONTH(Table13[[#This Row],[Date  (DMY)]])</f>
        <v>1</v>
      </c>
      <c r="G1484" s="2"/>
      <c r="L1484" s="5"/>
      <c r="M1484" s="4">
        <f>M1483-Table13[[#This Row],[Debits]]+Table13[[#This Row],[Income]]</f>
        <v>2805.21</v>
      </c>
      <c r="N1484" t="str">
        <f>IF(AND(Table13[[#This Row],[Category]]="pay",NOT(Table13[[#This Row],[Debits]]=0)),"bad","good")</f>
        <v>good</v>
      </c>
      <c r="O1484" s="5"/>
    </row>
    <row r="1485" spans="6:15" x14ac:dyDescent="0.3">
      <c r="F1485">
        <f>MONTH(Table13[[#This Row],[Date  (DMY)]])</f>
        <v>1</v>
      </c>
      <c r="G1485" s="2"/>
      <c r="L1485" s="5"/>
      <c r="M1485" s="4">
        <f>M1484-Table13[[#This Row],[Debits]]+Table13[[#This Row],[Income]]</f>
        <v>2805.21</v>
      </c>
      <c r="N1485" t="str">
        <f>IF(AND(Table13[[#This Row],[Category]]="pay",NOT(Table13[[#This Row],[Debits]]=0)),"bad","good")</f>
        <v>good</v>
      </c>
      <c r="O1485" s="5"/>
    </row>
    <row r="1486" spans="6:15" x14ac:dyDescent="0.3">
      <c r="F1486">
        <f>MONTH(Table13[[#This Row],[Date  (DMY)]])</f>
        <v>1</v>
      </c>
      <c r="G1486" s="2"/>
      <c r="L1486" s="5"/>
      <c r="M1486" s="4">
        <f>M1485-Table13[[#This Row],[Debits]]+Table13[[#This Row],[Income]]</f>
        <v>2805.21</v>
      </c>
      <c r="N1486" t="str">
        <f>IF(AND(Table13[[#This Row],[Category]]="pay",NOT(Table13[[#This Row],[Debits]]=0)),"bad","good")</f>
        <v>good</v>
      </c>
      <c r="O1486" s="5"/>
    </row>
    <row r="1487" spans="6:15" x14ac:dyDescent="0.3">
      <c r="F1487">
        <f>MONTH(Table13[[#This Row],[Date  (DMY)]])</f>
        <v>1</v>
      </c>
      <c r="G1487" s="2"/>
      <c r="L1487" s="5"/>
      <c r="M1487" s="4">
        <f>M1486-Table13[[#This Row],[Debits]]+Table13[[#This Row],[Income]]</f>
        <v>2805.21</v>
      </c>
      <c r="N1487" t="str">
        <f>IF(AND(Table13[[#This Row],[Category]]="pay",NOT(Table13[[#This Row],[Debits]]=0)),"bad","good")</f>
        <v>good</v>
      </c>
      <c r="O1487" s="5"/>
    </row>
    <row r="1488" spans="6:15" x14ac:dyDescent="0.3">
      <c r="F1488">
        <f>MONTH(Table13[[#This Row],[Date  (DMY)]])</f>
        <v>1</v>
      </c>
      <c r="G1488" s="2"/>
      <c r="L1488" s="5"/>
      <c r="M1488" s="4">
        <f>M1487-Table13[[#This Row],[Debits]]+Table13[[#This Row],[Income]]</f>
        <v>2805.21</v>
      </c>
      <c r="N1488" t="str">
        <f>IF(AND(Table13[[#This Row],[Category]]="pay",NOT(Table13[[#This Row],[Debits]]=0)),"bad","good")</f>
        <v>good</v>
      </c>
      <c r="O1488" s="5"/>
    </row>
    <row r="1489" spans="6:15" x14ac:dyDescent="0.3">
      <c r="F1489">
        <f>MONTH(Table13[[#This Row],[Date  (DMY)]])</f>
        <v>1</v>
      </c>
      <c r="G1489" s="2"/>
      <c r="L1489" s="5"/>
      <c r="M1489" s="4">
        <f>M1488-Table13[[#This Row],[Debits]]+Table13[[#This Row],[Income]]</f>
        <v>2805.21</v>
      </c>
      <c r="N1489" t="str">
        <f>IF(AND(Table13[[#This Row],[Category]]="pay",NOT(Table13[[#This Row],[Debits]]=0)),"bad","good")</f>
        <v>good</v>
      </c>
      <c r="O1489" s="5"/>
    </row>
    <row r="1490" spans="6:15" x14ac:dyDescent="0.3">
      <c r="F1490">
        <f>MONTH(Table13[[#This Row],[Date  (DMY)]])</f>
        <v>1</v>
      </c>
      <c r="G1490" s="2"/>
      <c r="L1490" s="5"/>
      <c r="M1490" s="4">
        <f>M1489-Table13[[#This Row],[Debits]]+Table13[[#This Row],[Income]]</f>
        <v>2805.21</v>
      </c>
      <c r="N1490" t="str">
        <f>IF(AND(Table13[[#This Row],[Category]]="pay",NOT(Table13[[#This Row],[Debits]]=0)),"bad","good")</f>
        <v>good</v>
      </c>
      <c r="O1490" s="5"/>
    </row>
    <row r="1491" spans="6:15" x14ac:dyDescent="0.3">
      <c r="F1491">
        <f>MONTH(Table13[[#This Row],[Date  (DMY)]])</f>
        <v>1</v>
      </c>
      <c r="G1491" s="2"/>
      <c r="L1491" s="5"/>
      <c r="M1491" s="4">
        <f>M1490-Table13[[#This Row],[Debits]]+Table13[[#This Row],[Income]]</f>
        <v>2805.21</v>
      </c>
      <c r="N1491" t="str">
        <f>IF(AND(Table13[[#This Row],[Category]]="pay",NOT(Table13[[#This Row],[Debits]]=0)),"bad","good")</f>
        <v>good</v>
      </c>
      <c r="O1491" s="5"/>
    </row>
    <row r="1492" spans="6:15" x14ac:dyDescent="0.3">
      <c r="F1492">
        <f>MONTH(Table13[[#This Row],[Date  (DMY)]])</f>
        <v>1</v>
      </c>
      <c r="G1492" s="2"/>
      <c r="L1492" s="5"/>
      <c r="M1492" s="4">
        <f>M1491-Table13[[#This Row],[Debits]]+Table13[[#This Row],[Income]]</f>
        <v>2805.21</v>
      </c>
      <c r="N1492" t="str">
        <f>IF(AND(Table13[[#This Row],[Category]]="pay",NOT(Table13[[#This Row],[Debits]]=0)),"bad","good")</f>
        <v>good</v>
      </c>
      <c r="O1492" s="5"/>
    </row>
    <row r="1493" spans="6:15" x14ac:dyDescent="0.3">
      <c r="F1493">
        <f>MONTH(Table13[[#This Row],[Date  (DMY)]])</f>
        <v>1</v>
      </c>
      <c r="G1493" s="2"/>
      <c r="L1493" s="5"/>
      <c r="M1493" s="4">
        <f>M1492-Table13[[#This Row],[Debits]]+Table13[[#This Row],[Income]]</f>
        <v>2805.21</v>
      </c>
      <c r="N1493" t="str">
        <f>IF(AND(Table13[[#This Row],[Category]]="pay",NOT(Table13[[#This Row],[Debits]]=0)),"bad","good")</f>
        <v>good</v>
      </c>
      <c r="O1493" s="5"/>
    </row>
    <row r="1494" spans="6:15" x14ac:dyDescent="0.3">
      <c r="F1494">
        <f>MONTH(Table13[[#This Row],[Date  (DMY)]])</f>
        <v>1</v>
      </c>
      <c r="G1494" s="2"/>
      <c r="L1494" s="5"/>
      <c r="M1494" s="4">
        <f>M1493-Table13[[#This Row],[Debits]]+Table13[[#This Row],[Income]]</f>
        <v>2805.21</v>
      </c>
      <c r="N1494" t="str">
        <f>IF(AND(Table13[[#This Row],[Category]]="pay",NOT(Table13[[#This Row],[Debits]]=0)),"bad","good")</f>
        <v>good</v>
      </c>
      <c r="O1494" s="5"/>
    </row>
    <row r="1495" spans="6:15" x14ac:dyDescent="0.3">
      <c r="F1495">
        <f>MONTH(Table13[[#This Row],[Date  (DMY)]])</f>
        <v>1</v>
      </c>
      <c r="G1495" s="2"/>
      <c r="L1495" s="5"/>
      <c r="M1495" s="4">
        <f>M1494-Table13[[#This Row],[Debits]]+Table13[[#This Row],[Income]]</f>
        <v>2805.21</v>
      </c>
      <c r="N1495" t="str">
        <f>IF(AND(Table13[[#This Row],[Category]]="pay",NOT(Table13[[#This Row],[Debits]]=0)),"bad","good")</f>
        <v>good</v>
      </c>
      <c r="O1495" s="5"/>
    </row>
    <row r="1496" spans="6:15" x14ac:dyDescent="0.3">
      <c r="F1496">
        <f>MONTH(Table13[[#This Row],[Date  (DMY)]])</f>
        <v>1</v>
      </c>
      <c r="G1496" s="2"/>
      <c r="L1496" s="5"/>
      <c r="M1496" s="4">
        <f>M1495-Table13[[#This Row],[Debits]]+Table13[[#This Row],[Income]]</f>
        <v>2805.21</v>
      </c>
      <c r="N1496" t="str">
        <f>IF(AND(Table13[[#This Row],[Category]]="pay",NOT(Table13[[#This Row],[Debits]]=0)),"bad","good")</f>
        <v>good</v>
      </c>
      <c r="O1496" s="5"/>
    </row>
    <row r="1497" spans="6:15" x14ac:dyDescent="0.3">
      <c r="F1497">
        <f>MONTH(Table13[[#This Row],[Date  (DMY)]])</f>
        <v>1</v>
      </c>
      <c r="G1497" s="2"/>
      <c r="L1497" s="5"/>
      <c r="M1497" s="4">
        <f>M1496-Table13[[#This Row],[Debits]]+Table13[[#This Row],[Income]]</f>
        <v>2805.21</v>
      </c>
      <c r="N1497" t="str">
        <f>IF(AND(Table13[[#This Row],[Category]]="pay",NOT(Table13[[#This Row],[Debits]]=0)),"bad","good")</f>
        <v>good</v>
      </c>
      <c r="O1497" s="5"/>
    </row>
    <row r="1498" spans="6:15" x14ac:dyDescent="0.3">
      <c r="F1498">
        <f>MONTH(Table13[[#This Row],[Date  (DMY)]])</f>
        <v>1</v>
      </c>
      <c r="G1498" s="2"/>
      <c r="L1498" s="5"/>
      <c r="M1498" s="4">
        <f>M1497-Table13[[#This Row],[Debits]]+Table13[[#This Row],[Income]]</f>
        <v>2805.21</v>
      </c>
      <c r="N1498" t="str">
        <f>IF(AND(Table13[[#This Row],[Category]]="pay",NOT(Table13[[#This Row],[Debits]]=0)),"bad","good")</f>
        <v>good</v>
      </c>
      <c r="O1498" s="5"/>
    </row>
    <row r="1499" spans="6:15" x14ac:dyDescent="0.3">
      <c r="F1499">
        <f>MONTH(Table13[[#This Row],[Date  (DMY)]])</f>
        <v>1</v>
      </c>
      <c r="G1499" s="2"/>
      <c r="L1499" s="5"/>
      <c r="M1499" s="4">
        <f>M1498-Table13[[#This Row],[Debits]]+Table13[[#This Row],[Income]]</f>
        <v>2805.21</v>
      </c>
      <c r="N1499" t="str">
        <f>IF(AND(Table13[[#This Row],[Category]]="pay",NOT(Table13[[#This Row],[Debits]]=0)),"bad","good")</f>
        <v>good</v>
      </c>
      <c r="O1499" s="5"/>
    </row>
    <row r="1500" spans="6:15" x14ac:dyDescent="0.3">
      <c r="F1500">
        <f>MONTH(Table13[[#This Row],[Date  (DMY)]])</f>
        <v>1</v>
      </c>
      <c r="G1500" s="2"/>
      <c r="L1500" s="5"/>
      <c r="M1500" s="4">
        <f>M1499-Table13[[#This Row],[Debits]]+Table13[[#This Row],[Income]]</f>
        <v>2805.21</v>
      </c>
      <c r="N1500" t="str">
        <f>IF(AND(Table13[[#This Row],[Category]]="pay",NOT(Table13[[#This Row],[Debits]]=0)),"bad","good")</f>
        <v>good</v>
      </c>
      <c r="O1500" s="5"/>
    </row>
    <row r="1501" spans="6:15" x14ac:dyDescent="0.3">
      <c r="F1501">
        <f>MONTH(Table13[[#This Row],[Date  (DMY)]])</f>
        <v>1</v>
      </c>
      <c r="G1501" s="2"/>
      <c r="L1501" s="5"/>
      <c r="M1501" s="4">
        <f>M1500-Table13[[#This Row],[Debits]]+Table13[[#This Row],[Income]]</f>
        <v>2805.21</v>
      </c>
      <c r="N1501" t="str">
        <f>IF(AND(Table13[[#This Row],[Category]]="pay",NOT(Table13[[#This Row],[Debits]]=0)),"bad","good")</f>
        <v>good</v>
      </c>
      <c r="O1501" s="5"/>
    </row>
    <row r="1502" spans="6:15" x14ac:dyDescent="0.3">
      <c r="F1502">
        <f>MONTH(Table13[[#This Row],[Date  (DMY)]])</f>
        <v>1</v>
      </c>
      <c r="G1502" s="2"/>
      <c r="L1502" s="5"/>
      <c r="M1502" s="4">
        <f>M1501-Table13[[#This Row],[Debits]]+Table13[[#This Row],[Income]]</f>
        <v>2805.21</v>
      </c>
      <c r="N1502" t="str">
        <f>IF(AND(Table13[[#This Row],[Category]]="pay",NOT(Table13[[#This Row],[Debits]]=0)),"bad","good")</f>
        <v>good</v>
      </c>
      <c r="O1502" s="5"/>
    </row>
    <row r="1503" spans="6:15" x14ac:dyDescent="0.3">
      <c r="F1503">
        <f>MONTH(Table13[[#This Row],[Date  (DMY)]])</f>
        <v>1</v>
      </c>
      <c r="G1503" s="2"/>
      <c r="L1503" s="5"/>
      <c r="M1503" s="4">
        <f>M1502-Table13[[#This Row],[Debits]]+Table13[[#This Row],[Income]]</f>
        <v>2805.21</v>
      </c>
      <c r="N1503" t="str">
        <f>IF(AND(Table13[[#This Row],[Category]]="pay",NOT(Table13[[#This Row],[Debits]]=0)),"bad","good")</f>
        <v>good</v>
      </c>
      <c r="O1503" s="5"/>
    </row>
    <row r="1504" spans="6:15" x14ac:dyDescent="0.3">
      <c r="F1504">
        <f>MONTH(Table13[[#This Row],[Date  (DMY)]])</f>
        <v>1</v>
      </c>
      <c r="G1504" s="2"/>
      <c r="L1504" s="5"/>
      <c r="M1504" s="4">
        <f>M1503-Table13[[#This Row],[Debits]]+Table13[[#This Row],[Income]]</f>
        <v>2805.21</v>
      </c>
      <c r="N1504" t="str">
        <f>IF(AND(Table13[[#This Row],[Category]]="pay",NOT(Table13[[#This Row],[Debits]]=0)),"bad","good")</f>
        <v>good</v>
      </c>
      <c r="O1504" s="5"/>
    </row>
    <row r="1505" spans="6:15" x14ac:dyDescent="0.3">
      <c r="F1505">
        <f>MONTH(Table13[[#This Row],[Date  (DMY)]])</f>
        <v>1</v>
      </c>
      <c r="G1505" s="2"/>
      <c r="L1505" s="5"/>
      <c r="M1505" s="4">
        <f>M1504-Table13[[#This Row],[Debits]]+Table13[[#This Row],[Income]]</f>
        <v>2805.21</v>
      </c>
      <c r="N1505" t="str">
        <f>IF(AND(Table13[[#This Row],[Category]]="pay",NOT(Table13[[#This Row],[Debits]]=0)),"bad","good")</f>
        <v>good</v>
      </c>
      <c r="O1505" s="5"/>
    </row>
    <row r="1506" spans="6:15" x14ac:dyDescent="0.3">
      <c r="F1506">
        <f>MONTH(Table13[[#This Row],[Date  (DMY)]])</f>
        <v>1</v>
      </c>
      <c r="G1506" s="2"/>
      <c r="L1506" s="5"/>
      <c r="M1506" s="4">
        <f>M1505-Table13[[#This Row],[Debits]]+Table13[[#This Row],[Income]]</f>
        <v>2805.21</v>
      </c>
      <c r="N1506" t="str">
        <f>IF(AND(Table13[[#This Row],[Category]]="pay",NOT(Table13[[#This Row],[Debits]]=0)),"bad","good")</f>
        <v>good</v>
      </c>
      <c r="O1506" s="5"/>
    </row>
    <row r="1507" spans="6:15" x14ac:dyDescent="0.3">
      <c r="F1507">
        <f>MONTH(Table13[[#This Row],[Date  (DMY)]])</f>
        <v>1</v>
      </c>
      <c r="G1507" s="2"/>
      <c r="L1507" s="5"/>
      <c r="M1507" s="4">
        <f>M1506-Table13[[#This Row],[Debits]]+Table13[[#This Row],[Income]]</f>
        <v>2805.21</v>
      </c>
      <c r="N1507" t="str">
        <f>IF(AND(Table13[[#This Row],[Category]]="pay",NOT(Table13[[#This Row],[Debits]]=0)),"bad","good")</f>
        <v>good</v>
      </c>
      <c r="O1507" s="5"/>
    </row>
    <row r="1508" spans="6:15" x14ac:dyDescent="0.3">
      <c r="F1508">
        <f>MONTH(Table13[[#This Row],[Date  (DMY)]])</f>
        <v>1</v>
      </c>
      <c r="G1508" s="2"/>
      <c r="L1508" s="5"/>
      <c r="M1508" s="4">
        <f>M1507-Table13[[#This Row],[Debits]]+Table13[[#This Row],[Income]]</f>
        <v>2805.21</v>
      </c>
      <c r="N1508" t="str">
        <f>IF(AND(Table13[[#This Row],[Category]]="pay",NOT(Table13[[#This Row],[Debits]]=0)),"bad","good")</f>
        <v>good</v>
      </c>
      <c r="O1508" s="5"/>
    </row>
    <row r="1509" spans="6:15" x14ac:dyDescent="0.3">
      <c r="F1509">
        <f>MONTH(Table13[[#This Row],[Date  (DMY)]])</f>
        <v>1</v>
      </c>
      <c r="G1509" s="2"/>
      <c r="L1509" s="5"/>
      <c r="M1509" s="4">
        <f>M1508-Table13[[#This Row],[Debits]]+Table13[[#This Row],[Income]]</f>
        <v>2805.21</v>
      </c>
      <c r="N1509" t="str">
        <f>IF(AND(Table13[[#This Row],[Category]]="pay",NOT(Table13[[#This Row],[Debits]]=0)),"bad","good")</f>
        <v>good</v>
      </c>
      <c r="O1509" s="5"/>
    </row>
    <row r="1510" spans="6:15" x14ac:dyDescent="0.3">
      <c r="F1510">
        <f>MONTH(Table13[[#This Row],[Date  (DMY)]])</f>
        <v>1</v>
      </c>
      <c r="G1510" s="2"/>
      <c r="L1510" s="5"/>
      <c r="M1510" s="4">
        <f>M1509-Table13[[#This Row],[Debits]]+Table13[[#This Row],[Income]]</f>
        <v>2805.21</v>
      </c>
      <c r="N1510" t="str">
        <f>IF(AND(Table13[[#This Row],[Category]]="pay",NOT(Table13[[#This Row],[Debits]]=0)),"bad","good")</f>
        <v>good</v>
      </c>
      <c r="O1510" s="5"/>
    </row>
    <row r="1511" spans="6:15" x14ac:dyDescent="0.3">
      <c r="F1511">
        <f>MONTH(Table13[[#This Row],[Date  (DMY)]])</f>
        <v>1</v>
      </c>
      <c r="G1511" s="2"/>
      <c r="L1511" s="5"/>
      <c r="M1511" s="4">
        <f>M1510-Table13[[#This Row],[Debits]]+Table13[[#This Row],[Income]]</f>
        <v>2805.21</v>
      </c>
      <c r="N1511" t="str">
        <f>IF(AND(Table13[[#This Row],[Category]]="pay",NOT(Table13[[#This Row],[Debits]]=0)),"bad","good")</f>
        <v>good</v>
      </c>
      <c r="O1511" s="5"/>
    </row>
    <row r="1512" spans="6:15" x14ac:dyDescent="0.3">
      <c r="F1512">
        <f>MONTH(Table13[[#This Row],[Date  (DMY)]])</f>
        <v>1</v>
      </c>
      <c r="G1512" s="2"/>
      <c r="L1512" s="5"/>
      <c r="M1512" s="4">
        <f>M1511-Table13[[#This Row],[Debits]]+Table13[[#This Row],[Income]]</f>
        <v>2805.21</v>
      </c>
      <c r="N1512" t="str">
        <f>IF(AND(Table13[[#This Row],[Category]]="pay",NOT(Table13[[#This Row],[Debits]]=0)),"bad","good")</f>
        <v>good</v>
      </c>
      <c r="O1512" s="5"/>
    </row>
    <row r="1513" spans="6:15" x14ac:dyDescent="0.3">
      <c r="F1513">
        <f>MONTH(Table13[[#This Row],[Date  (DMY)]])</f>
        <v>1</v>
      </c>
      <c r="G1513" s="2"/>
      <c r="L1513" s="5"/>
      <c r="M1513" s="4">
        <f>M1512-Table13[[#This Row],[Debits]]+Table13[[#This Row],[Income]]</f>
        <v>2805.21</v>
      </c>
      <c r="N1513" t="str">
        <f>IF(AND(Table13[[#This Row],[Category]]="pay",NOT(Table13[[#This Row],[Debits]]=0)),"bad","good")</f>
        <v>good</v>
      </c>
      <c r="O1513" s="5"/>
    </row>
    <row r="1514" spans="6:15" x14ac:dyDescent="0.3">
      <c r="F1514">
        <f>MONTH(Table13[[#This Row],[Date  (DMY)]])</f>
        <v>1</v>
      </c>
      <c r="G1514" s="2"/>
      <c r="L1514" s="5"/>
      <c r="M1514" s="4">
        <f>M1513-Table13[[#This Row],[Debits]]+Table13[[#This Row],[Income]]</f>
        <v>2805.21</v>
      </c>
      <c r="N1514" t="str">
        <f>IF(AND(Table13[[#This Row],[Category]]="pay",NOT(Table13[[#This Row],[Debits]]=0)),"bad","good")</f>
        <v>good</v>
      </c>
      <c r="O1514" s="5"/>
    </row>
    <row r="1515" spans="6:15" x14ac:dyDescent="0.3">
      <c r="F1515">
        <f>MONTH(Table13[[#This Row],[Date  (DMY)]])</f>
        <v>1</v>
      </c>
      <c r="G1515" s="2"/>
      <c r="L1515" s="5"/>
      <c r="M1515" s="4">
        <f>M1514-Table13[[#This Row],[Debits]]+Table13[[#This Row],[Income]]</f>
        <v>2805.21</v>
      </c>
      <c r="N1515" t="str">
        <f>IF(AND(Table13[[#This Row],[Category]]="pay",NOT(Table13[[#This Row],[Debits]]=0)),"bad","good")</f>
        <v>good</v>
      </c>
      <c r="O1515" s="5"/>
    </row>
    <row r="1516" spans="6:15" x14ac:dyDescent="0.3">
      <c r="F1516">
        <f>MONTH(Table13[[#This Row],[Date  (DMY)]])</f>
        <v>1</v>
      </c>
      <c r="G1516" s="2"/>
      <c r="L1516" s="5"/>
      <c r="M1516" s="4">
        <f>M1515-Table13[[#This Row],[Debits]]+Table13[[#This Row],[Income]]</f>
        <v>2805.21</v>
      </c>
      <c r="N1516" t="str">
        <f>IF(AND(Table13[[#This Row],[Category]]="pay",NOT(Table13[[#This Row],[Debits]]=0)),"bad","good")</f>
        <v>good</v>
      </c>
      <c r="O1516" s="5"/>
    </row>
    <row r="1517" spans="6:15" x14ac:dyDescent="0.3">
      <c r="F1517">
        <f>MONTH(Table13[[#This Row],[Date  (DMY)]])</f>
        <v>1</v>
      </c>
      <c r="G1517" s="2"/>
      <c r="L1517" s="5"/>
      <c r="M1517" s="4">
        <f>M1516-Table13[[#This Row],[Debits]]+Table13[[#This Row],[Income]]</f>
        <v>2805.21</v>
      </c>
      <c r="N1517" t="str">
        <f>IF(AND(Table13[[#This Row],[Category]]="pay",NOT(Table13[[#This Row],[Debits]]=0)),"bad","good")</f>
        <v>good</v>
      </c>
      <c r="O1517" s="5"/>
    </row>
    <row r="1518" spans="6:15" x14ac:dyDescent="0.3">
      <c r="F1518">
        <f>MONTH(Table13[[#This Row],[Date  (DMY)]])</f>
        <v>1</v>
      </c>
      <c r="G1518" s="2"/>
      <c r="L1518" s="5"/>
      <c r="M1518" s="4">
        <f>M1517-Table13[[#This Row],[Debits]]+Table13[[#This Row],[Income]]</f>
        <v>2805.21</v>
      </c>
      <c r="N1518" t="str">
        <f>IF(AND(Table13[[#This Row],[Category]]="pay",NOT(Table13[[#This Row],[Debits]]=0)),"bad","good")</f>
        <v>good</v>
      </c>
      <c r="O1518" s="5"/>
    </row>
    <row r="1519" spans="6:15" x14ac:dyDescent="0.3">
      <c r="F1519">
        <f>MONTH(Table13[[#This Row],[Date  (DMY)]])</f>
        <v>1</v>
      </c>
      <c r="G1519" s="2"/>
      <c r="L1519" s="5"/>
      <c r="M1519" s="4">
        <f>M1518-Table13[[#This Row],[Debits]]+Table13[[#This Row],[Income]]</f>
        <v>2805.21</v>
      </c>
      <c r="N1519" t="str">
        <f>IF(AND(Table13[[#This Row],[Category]]="pay",NOT(Table13[[#This Row],[Debits]]=0)),"bad","good")</f>
        <v>good</v>
      </c>
      <c r="O1519" s="5"/>
    </row>
    <row r="1520" spans="6:15" x14ac:dyDescent="0.3">
      <c r="F1520">
        <f>MONTH(Table13[[#This Row],[Date  (DMY)]])</f>
        <v>1</v>
      </c>
      <c r="G1520" s="2"/>
      <c r="L1520" s="5"/>
      <c r="M1520" s="4">
        <f>M1519-Table13[[#This Row],[Debits]]+Table13[[#This Row],[Income]]</f>
        <v>2805.21</v>
      </c>
      <c r="N1520" t="str">
        <f>IF(AND(Table13[[#This Row],[Category]]="pay",NOT(Table13[[#This Row],[Debits]]=0)),"bad","good")</f>
        <v>good</v>
      </c>
      <c r="O1520" s="5"/>
    </row>
    <row r="1521" spans="6:15" x14ac:dyDescent="0.3">
      <c r="F1521">
        <f>MONTH(Table13[[#This Row],[Date  (DMY)]])</f>
        <v>1</v>
      </c>
      <c r="G1521" s="2"/>
      <c r="L1521" s="5"/>
      <c r="M1521" s="4">
        <f>M1520-Table13[[#This Row],[Debits]]+Table13[[#This Row],[Income]]</f>
        <v>2805.21</v>
      </c>
      <c r="N1521" t="str">
        <f>IF(AND(Table13[[#This Row],[Category]]="pay",NOT(Table13[[#This Row],[Debits]]=0)),"bad","good")</f>
        <v>good</v>
      </c>
      <c r="O1521" s="5"/>
    </row>
    <row r="1522" spans="6:15" x14ac:dyDescent="0.3">
      <c r="F1522">
        <f>MONTH(Table13[[#This Row],[Date  (DMY)]])</f>
        <v>1</v>
      </c>
      <c r="G1522" s="2"/>
      <c r="L1522" s="5"/>
      <c r="M1522" s="4">
        <f>M1521-Table13[[#This Row],[Debits]]+Table13[[#This Row],[Income]]</f>
        <v>2805.21</v>
      </c>
      <c r="N1522" t="str">
        <f>IF(AND(Table13[[#This Row],[Category]]="pay",NOT(Table13[[#This Row],[Debits]]=0)),"bad","good")</f>
        <v>good</v>
      </c>
      <c r="O1522" s="5"/>
    </row>
    <row r="1523" spans="6:15" x14ac:dyDescent="0.3">
      <c r="F1523">
        <f>MONTH(Table13[[#This Row],[Date  (DMY)]])</f>
        <v>1</v>
      </c>
      <c r="G1523" s="2"/>
      <c r="L1523" s="5"/>
      <c r="M1523" s="4">
        <f>M1522-Table13[[#This Row],[Debits]]+Table13[[#This Row],[Income]]</f>
        <v>2805.21</v>
      </c>
      <c r="N1523" t="str">
        <f>IF(AND(Table13[[#This Row],[Category]]="pay",NOT(Table13[[#This Row],[Debits]]=0)),"bad","good")</f>
        <v>good</v>
      </c>
      <c r="O1523" s="5"/>
    </row>
    <row r="1524" spans="6:15" x14ac:dyDescent="0.3">
      <c r="F1524">
        <f>MONTH(Table13[[#This Row],[Date  (DMY)]])</f>
        <v>1</v>
      </c>
      <c r="G1524" s="2"/>
      <c r="L1524" s="5"/>
      <c r="M1524" s="4">
        <f>M1523-Table13[[#This Row],[Debits]]+Table13[[#This Row],[Income]]</f>
        <v>2805.21</v>
      </c>
      <c r="N1524" t="str">
        <f>IF(AND(Table13[[#This Row],[Category]]="pay",NOT(Table13[[#This Row],[Debits]]=0)),"bad","good")</f>
        <v>good</v>
      </c>
      <c r="O1524" s="5"/>
    </row>
    <row r="1525" spans="6:15" x14ac:dyDescent="0.3">
      <c r="F1525">
        <f>MONTH(Table13[[#This Row],[Date  (DMY)]])</f>
        <v>1</v>
      </c>
      <c r="G1525" s="2"/>
      <c r="L1525" s="5"/>
      <c r="M1525" s="4">
        <f>M1524-Table13[[#This Row],[Debits]]+Table13[[#This Row],[Income]]</f>
        <v>2805.21</v>
      </c>
      <c r="N1525" t="str">
        <f>IF(AND(Table13[[#This Row],[Category]]="pay",NOT(Table13[[#This Row],[Debits]]=0)),"bad","good")</f>
        <v>good</v>
      </c>
      <c r="O1525" s="5"/>
    </row>
    <row r="1526" spans="6:15" x14ac:dyDescent="0.3">
      <c r="F1526">
        <f>MONTH(Table13[[#This Row],[Date  (DMY)]])</f>
        <v>1</v>
      </c>
      <c r="G1526" s="2"/>
      <c r="L1526" s="5"/>
      <c r="M1526" s="4">
        <f>M1525-Table13[[#This Row],[Debits]]+Table13[[#This Row],[Income]]</f>
        <v>2805.21</v>
      </c>
      <c r="N1526" t="str">
        <f>IF(AND(Table13[[#This Row],[Category]]="pay",NOT(Table13[[#This Row],[Debits]]=0)),"bad","good")</f>
        <v>good</v>
      </c>
      <c r="O1526" s="5"/>
    </row>
    <row r="1527" spans="6:15" x14ac:dyDescent="0.3">
      <c r="F1527">
        <f>MONTH(Table13[[#This Row],[Date  (DMY)]])</f>
        <v>1</v>
      </c>
      <c r="G1527" s="2"/>
      <c r="L1527" s="5"/>
      <c r="M1527" s="4">
        <f>M1526-Table13[[#This Row],[Debits]]+Table13[[#This Row],[Income]]</f>
        <v>2805.21</v>
      </c>
      <c r="N1527" t="str">
        <f>IF(AND(Table13[[#This Row],[Category]]="pay",NOT(Table13[[#This Row],[Debits]]=0)),"bad","good")</f>
        <v>good</v>
      </c>
      <c r="O1527" s="5"/>
    </row>
    <row r="1528" spans="6:15" x14ac:dyDescent="0.3">
      <c r="F1528">
        <f>MONTH(Table13[[#This Row],[Date  (DMY)]])</f>
        <v>1</v>
      </c>
      <c r="G1528" s="2"/>
      <c r="L1528" s="5"/>
      <c r="M1528" s="4">
        <f>M1527-Table13[[#This Row],[Debits]]+Table13[[#This Row],[Income]]</f>
        <v>2805.21</v>
      </c>
      <c r="N1528" t="str">
        <f>IF(AND(Table13[[#This Row],[Category]]="pay",NOT(Table13[[#This Row],[Debits]]=0)),"bad","good")</f>
        <v>good</v>
      </c>
      <c r="O1528" s="5"/>
    </row>
    <row r="1529" spans="6:15" x14ac:dyDescent="0.3">
      <c r="F1529">
        <f>MONTH(Table13[[#This Row],[Date  (DMY)]])</f>
        <v>1</v>
      </c>
      <c r="G1529" s="2"/>
      <c r="L1529" s="5"/>
      <c r="M1529" s="4">
        <f>M1528-Table13[[#This Row],[Debits]]+Table13[[#This Row],[Income]]</f>
        <v>2805.21</v>
      </c>
      <c r="N1529" t="str">
        <f>IF(AND(Table13[[#This Row],[Category]]="pay",NOT(Table13[[#This Row],[Debits]]=0)),"bad","good")</f>
        <v>good</v>
      </c>
      <c r="O1529" s="5"/>
    </row>
    <row r="1530" spans="6:15" x14ac:dyDescent="0.3">
      <c r="F1530">
        <f>MONTH(Table13[[#This Row],[Date  (DMY)]])</f>
        <v>1</v>
      </c>
      <c r="G1530" s="2"/>
      <c r="L1530" s="5"/>
      <c r="M1530" s="4">
        <f>M1529-Table13[[#This Row],[Debits]]+Table13[[#This Row],[Income]]</f>
        <v>2805.21</v>
      </c>
      <c r="N1530" t="str">
        <f>IF(AND(Table13[[#This Row],[Category]]="pay",NOT(Table13[[#This Row],[Debits]]=0)),"bad","good")</f>
        <v>good</v>
      </c>
      <c r="O1530" s="5"/>
    </row>
    <row r="1531" spans="6:15" x14ac:dyDescent="0.3">
      <c r="F1531">
        <f>MONTH(Table13[[#This Row],[Date  (DMY)]])</f>
        <v>1</v>
      </c>
      <c r="G1531" s="2"/>
      <c r="L1531" s="5"/>
      <c r="M1531" s="4">
        <f>M1530-Table13[[#This Row],[Debits]]+Table13[[#This Row],[Income]]</f>
        <v>2805.21</v>
      </c>
      <c r="N1531" t="str">
        <f>IF(AND(Table13[[#This Row],[Category]]="pay",NOT(Table13[[#This Row],[Debits]]=0)),"bad","good")</f>
        <v>good</v>
      </c>
      <c r="O1531" s="5"/>
    </row>
    <row r="1532" spans="6:15" x14ac:dyDescent="0.3">
      <c r="F1532">
        <f>MONTH(Table13[[#This Row],[Date  (DMY)]])</f>
        <v>1</v>
      </c>
      <c r="G1532" s="2"/>
      <c r="L1532" s="5"/>
      <c r="M1532" s="4">
        <f>M1531-Table13[[#This Row],[Debits]]+Table13[[#This Row],[Income]]</f>
        <v>2805.21</v>
      </c>
      <c r="N1532" t="str">
        <f>IF(AND(Table13[[#This Row],[Category]]="pay",NOT(Table13[[#This Row],[Debits]]=0)),"bad","good")</f>
        <v>good</v>
      </c>
      <c r="O1532" s="5"/>
    </row>
    <row r="1533" spans="6:15" x14ac:dyDescent="0.3">
      <c r="F1533">
        <f>MONTH(Table13[[#This Row],[Date  (DMY)]])</f>
        <v>1</v>
      </c>
      <c r="G1533" s="2"/>
      <c r="L1533" s="5"/>
      <c r="M1533" s="4">
        <f>M1532-Table13[[#This Row],[Debits]]+Table13[[#This Row],[Income]]</f>
        <v>2805.21</v>
      </c>
      <c r="N1533" t="str">
        <f>IF(AND(Table13[[#This Row],[Category]]="pay",NOT(Table13[[#This Row],[Debits]]=0)),"bad","good")</f>
        <v>good</v>
      </c>
      <c r="O1533" s="5"/>
    </row>
    <row r="1534" spans="6:15" x14ac:dyDescent="0.3">
      <c r="F1534">
        <f>MONTH(Table13[[#This Row],[Date  (DMY)]])</f>
        <v>1</v>
      </c>
      <c r="G1534" s="2"/>
      <c r="L1534" s="5"/>
      <c r="M1534" s="4">
        <f>M1533-Table13[[#This Row],[Debits]]+Table13[[#This Row],[Income]]</f>
        <v>2805.21</v>
      </c>
      <c r="N1534" t="str">
        <f>IF(AND(Table13[[#This Row],[Category]]="pay",NOT(Table13[[#This Row],[Debits]]=0)),"bad","good")</f>
        <v>good</v>
      </c>
      <c r="O1534" s="5"/>
    </row>
    <row r="1535" spans="6:15" x14ac:dyDescent="0.3">
      <c r="F1535">
        <f>MONTH(Table13[[#This Row],[Date  (DMY)]])</f>
        <v>1</v>
      </c>
      <c r="G1535" s="2"/>
      <c r="L1535" s="5"/>
      <c r="M1535" s="4">
        <f>M1534-Table13[[#This Row],[Debits]]+Table13[[#This Row],[Income]]</f>
        <v>2805.21</v>
      </c>
      <c r="N1535" t="str">
        <f>IF(AND(Table13[[#This Row],[Category]]="pay",NOT(Table13[[#This Row],[Debits]]=0)),"bad","good")</f>
        <v>good</v>
      </c>
      <c r="O1535" s="5"/>
    </row>
    <row r="1536" spans="6:15" x14ac:dyDescent="0.3">
      <c r="F1536">
        <f>MONTH(Table13[[#This Row],[Date  (DMY)]])</f>
        <v>1</v>
      </c>
      <c r="G1536" s="2"/>
      <c r="L1536" s="5"/>
      <c r="M1536" s="4">
        <f>M1535-Table13[[#This Row],[Debits]]+Table13[[#This Row],[Income]]</f>
        <v>2805.21</v>
      </c>
      <c r="N1536" t="str">
        <f>IF(AND(Table13[[#This Row],[Category]]="pay",NOT(Table13[[#This Row],[Debits]]=0)),"bad","good")</f>
        <v>good</v>
      </c>
      <c r="O1536" s="5"/>
    </row>
    <row r="1537" spans="6:15" x14ac:dyDescent="0.3">
      <c r="F1537">
        <f>MONTH(Table13[[#This Row],[Date  (DMY)]])</f>
        <v>1</v>
      </c>
      <c r="G1537" s="2"/>
      <c r="L1537" s="5"/>
      <c r="M1537" s="4">
        <f>M1536-Table13[[#This Row],[Debits]]+Table13[[#This Row],[Income]]</f>
        <v>2805.21</v>
      </c>
      <c r="N1537" t="str">
        <f>IF(AND(Table13[[#This Row],[Category]]="pay",NOT(Table13[[#This Row],[Debits]]=0)),"bad","good")</f>
        <v>good</v>
      </c>
      <c r="O1537" s="5"/>
    </row>
    <row r="1538" spans="6:15" x14ac:dyDescent="0.3">
      <c r="F1538">
        <f>MONTH(Table13[[#This Row],[Date  (DMY)]])</f>
        <v>1</v>
      </c>
      <c r="G1538" s="2"/>
      <c r="L1538" s="5"/>
      <c r="M1538" s="4">
        <f>M1537-Table13[[#This Row],[Debits]]+Table13[[#This Row],[Income]]</f>
        <v>2805.21</v>
      </c>
      <c r="N1538" t="str">
        <f>IF(AND(Table13[[#This Row],[Category]]="pay",NOT(Table13[[#This Row],[Debits]]=0)),"bad","good")</f>
        <v>good</v>
      </c>
      <c r="O1538" s="5"/>
    </row>
    <row r="1539" spans="6:15" x14ac:dyDescent="0.3">
      <c r="F1539">
        <f>MONTH(Table13[[#This Row],[Date  (DMY)]])</f>
        <v>1</v>
      </c>
      <c r="G1539" s="2"/>
      <c r="L1539" s="5"/>
      <c r="M1539" s="4">
        <f>M1538-Table13[[#This Row],[Debits]]+Table13[[#This Row],[Income]]</f>
        <v>2805.21</v>
      </c>
      <c r="N1539" t="str">
        <f>IF(AND(Table13[[#This Row],[Category]]="pay",NOT(Table13[[#This Row],[Debits]]=0)),"bad","good")</f>
        <v>good</v>
      </c>
      <c r="O1539" s="5"/>
    </row>
    <row r="1540" spans="6:15" x14ac:dyDescent="0.3">
      <c r="F1540">
        <f>MONTH(Table13[[#This Row],[Date  (DMY)]])</f>
        <v>1</v>
      </c>
      <c r="G1540" s="2"/>
      <c r="L1540" s="5"/>
      <c r="M1540" s="4">
        <f>M1539-Table13[[#This Row],[Debits]]+Table13[[#This Row],[Income]]</f>
        <v>2805.21</v>
      </c>
      <c r="N1540" t="str">
        <f>IF(AND(Table13[[#This Row],[Category]]="pay",NOT(Table13[[#This Row],[Debits]]=0)),"bad","good")</f>
        <v>good</v>
      </c>
      <c r="O1540" s="5"/>
    </row>
    <row r="1541" spans="6:15" x14ac:dyDescent="0.3">
      <c r="F1541">
        <f>MONTH(Table13[[#This Row],[Date  (DMY)]])</f>
        <v>1</v>
      </c>
      <c r="G1541" s="2"/>
      <c r="L1541" s="5"/>
      <c r="M1541" s="4">
        <f>M1540-Table13[[#This Row],[Debits]]+Table13[[#This Row],[Income]]</f>
        <v>2805.21</v>
      </c>
      <c r="N1541" t="str">
        <f>IF(AND(Table13[[#This Row],[Category]]="pay",NOT(Table13[[#This Row],[Debits]]=0)),"bad","good")</f>
        <v>good</v>
      </c>
      <c r="O1541" s="5"/>
    </row>
    <row r="1542" spans="6:15" x14ac:dyDescent="0.3">
      <c r="F1542">
        <f>MONTH(Table13[[#This Row],[Date  (DMY)]])</f>
        <v>1</v>
      </c>
      <c r="G1542" s="2"/>
      <c r="L1542" s="5"/>
      <c r="M1542" s="4">
        <f>M1541-Table13[[#This Row],[Debits]]+Table13[[#This Row],[Income]]</f>
        <v>2805.21</v>
      </c>
      <c r="N1542" t="str">
        <f>IF(AND(Table13[[#This Row],[Category]]="pay",NOT(Table13[[#This Row],[Debits]]=0)),"bad","good")</f>
        <v>good</v>
      </c>
      <c r="O1542" s="5"/>
    </row>
    <row r="1543" spans="6:15" x14ac:dyDescent="0.3">
      <c r="F1543">
        <f>MONTH(Table13[[#This Row],[Date  (DMY)]])</f>
        <v>1</v>
      </c>
      <c r="G1543" s="2"/>
      <c r="L1543" s="5"/>
      <c r="M1543" s="4">
        <f>M1542-Table13[[#This Row],[Debits]]+Table13[[#This Row],[Income]]</f>
        <v>2805.21</v>
      </c>
      <c r="N1543" t="str">
        <f>IF(AND(Table13[[#This Row],[Category]]="pay",NOT(Table13[[#This Row],[Debits]]=0)),"bad","good")</f>
        <v>good</v>
      </c>
      <c r="O1543" s="5"/>
    </row>
    <row r="1544" spans="6:15" x14ac:dyDescent="0.3">
      <c r="F1544">
        <f>MONTH(Table13[[#This Row],[Date  (DMY)]])</f>
        <v>1</v>
      </c>
      <c r="G1544" s="2"/>
      <c r="L1544" s="5"/>
      <c r="M1544" s="4">
        <f>M1543-Table13[[#This Row],[Debits]]+Table13[[#This Row],[Income]]</f>
        <v>2805.21</v>
      </c>
      <c r="N1544" t="str">
        <f>IF(AND(Table13[[#This Row],[Category]]="pay",NOT(Table13[[#This Row],[Debits]]=0)),"bad","good")</f>
        <v>good</v>
      </c>
      <c r="O1544" s="5"/>
    </row>
    <row r="1545" spans="6:15" x14ac:dyDescent="0.3">
      <c r="F1545">
        <f>MONTH(Table13[[#This Row],[Date  (DMY)]])</f>
        <v>1</v>
      </c>
      <c r="G1545" s="2"/>
      <c r="L1545" s="5"/>
      <c r="M1545" s="4">
        <f>M1544-Table13[[#This Row],[Debits]]+Table13[[#This Row],[Income]]</f>
        <v>2805.21</v>
      </c>
      <c r="N1545" t="str">
        <f>IF(AND(Table13[[#This Row],[Category]]="pay",NOT(Table13[[#This Row],[Debits]]=0)),"bad","good")</f>
        <v>good</v>
      </c>
      <c r="O1545" s="5"/>
    </row>
    <row r="1546" spans="6:15" x14ac:dyDescent="0.3">
      <c r="F1546">
        <f>MONTH(Table13[[#This Row],[Date  (DMY)]])</f>
        <v>1</v>
      </c>
      <c r="G1546" s="2"/>
      <c r="L1546" s="5"/>
      <c r="M1546" s="4">
        <f>M1545-Table13[[#This Row],[Debits]]+Table13[[#This Row],[Income]]</f>
        <v>2805.21</v>
      </c>
      <c r="N1546" t="str">
        <f>IF(AND(Table13[[#This Row],[Category]]="pay",NOT(Table13[[#This Row],[Debits]]=0)),"bad","good")</f>
        <v>good</v>
      </c>
      <c r="O1546" s="5"/>
    </row>
    <row r="1547" spans="6:15" x14ac:dyDescent="0.3">
      <c r="F1547">
        <f>MONTH(Table13[[#This Row],[Date  (DMY)]])</f>
        <v>1</v>
      </c>
      <c r="G1547" s="2"/>
      <c r="L1547" s="5"/>
      <c r="M1547" s="4">
        <f>M1546-Table13[[#This Row],[Debits]]+Table13[[#This Row],[Income]]</f>
        <v>2805.21</v>
      </c>
      <c r="N1547" t="str">
        <f>IF(AND(Table13[[#This Row],[Category]]="pay",NOT(Table13[[#This Row],[Debits]]=0)),"bad","good")</f>
        <v>good</v>
      </c>
      <c r="O1547" s="5"/>
    </row>
    <row r="1548" spans="6:15" x14ac:dyDescent="0.3">
      <c r="F1548">
        <f>MONTH(Table13[[#This Row],[Date  (DMY)]])</f>
        <v>1</v>
      </c>
      <c r="G1548" s="2"/>
      <c r="L1548" s="5"/>
      <c r="M1548" s="4">
        <f>M1547-Table13[[#This Row],[Debits]]+Table13[[#This Row],[Income]]</f>
        <v>2805.21</v>
      </c>
      <c r="N1548" t="str">
        <f>IF(AND(Table13[[#This Row],[Category]]="pay",NOT(Table13[[#This Row],[Debits]]=0)),"bad","good")</f>
        <v>good</v>
      </c>
      <c r="O1548" s="5"/>
    </row>
    <row r="1549" spans="6:15" x14ac:dyDescent="0.3">
      <c r="F1549">
        <f>MONTH(Table13[[#This Row],[Date  (DMY)]])</f>
        <v>1</v>
      </c>
      <c r="G1549" s="2"/>
      <c r="L1549" s="5"/>
      <c r="M1549" s="4">
        <f>M1548-Table13[[#This Row],[Debits]]+Table13[[#This Row],[Income]]</f>
        <v>2805.21</v>
      </c>
      <c r="N1549" t="str">
        <f>IF(AND(Table13[[#This Row],[Category]]="pay",NOT(Table13[[#This Row],[Debits]]=0)),"bad","good")</f>
        <v>good</v>
      </c>
      <c r="O1549" s="5"/>
    </row>
    <row r="1550" spans="6:15" x14ac:dyDescent="0.3">
      <c r="F1550">
        <f>MONTH(Table13[[#This Row],[Date  (DMY)]])</f>
        <v>1</v>
      </c>
      <c r="G1550" s="2"/>
      <c r="L1550" s="5"/>
      <c r="M1550" s="4">
        <f>M1549-Table13[[#This Row],[Debits]]+Table13[[#This Row],[Income]]</f>
        <v>2805.21</v>
      </c>
      <c r="N1550" t="str">
        <f>IF(AND(Table13[[#This Row],[Category]]="pay",NOT(Table13[[#This Row],[Debits]]=0)),"bad","good")</f>
        <v>good</v>
      </c>
      <c r="O1550" s="5"/>
    </row>
    <row r="1551" spans="6:15" x14ac:dyDescent="0.3">
      <c r="F1551">
        <f>MONTH(Table13[[#This Row],[Date  (DMY)]])</f>
        <v>1</v>
      </c>
      <c r="G1551" s="2"/>
      <c r="L1551" s="5"/>
      <c r="M1551" s="4">
        <f>M1550-Table13[[#This Row],[Debits]]+Table13[[#This Row],[Income]]</f>
        <v>2805.21</v>
      </c>
      <c r="N1551" t="str">
        <f>IF(AND(Table13[[#This Row],[Category]]="pay",NOT(Table13[[#This Row],[Debits]]=0)),"bad","good")</f>
        <v>good</v>
      </c>
      <c r="O1551" s="5"/>
    </row>
    <row r="1552" spans="6:15" x14ac:dyDescent="0.3">
      <c r="F1552">
        <f>MONTH(Table13[[#This Row],[Date  (DMY)]])</f>
        <v>1</v>
      </c>
      <c r="G1552" s="2"/>
      <c r="L1552" s="5"/>
      <c r="M1552" s="4">
        <f>M1551-Table13[[#This Row],[Debits]]+Table13[[#This Row],[Income]]</f>
        <v>2805.21</v>
      </c>
      <c r="N1552" t="str">
        <f>IF(AND(Table13[[#This Row],[Category]]="pay",NOT(Table13[[#This Row],[Debits]]=0)),"bad","good")</f>
        <v>good</v>
      </c>
      <c r="O1552" s="5"/>
    </row>
    <row r="1553" spans="6:15" x14ac:dyDescent="0.3">
      <c r="F1553">
        <f>MONTH(Table13[[#This Row],[Date  (DMY)]])</f>
        <v>1</v>
      </c>
      <c r="G1553" s="2"/>
      <c r="L1553" s="5"/>
      <c r="M1553" s="4">
        <f>M1552-Table13[[#This Row],[Debits]]+Table13[[#This Row],[Income]]</f>
        <v>2805.21</v>
      </c>
      <c r="N1553" t="str">
        <f>IF(AND(Table13[[#This Row],[Category]]="pay",NOT(Table13[[#This Row],[Debits]]=0)),"bad","good")</f>
        <v>good</v>
      </c>
      <c r="O1553" s="5"/>
    </row>
    <row r="1554" spans="6:15" x14ac:dyDescent="0.3">
      <c r="F1554">
        <f>MONTH(Table13[[#This Row],[Date  (DMY)]])</f>
        <v>1</v>
      </c>
      <c r="G1554" s="2"/>
      <c r="L1554" s="5"/>
      <c r="M1554" s="4">
        <f>M1553-Table13[[#This Row],[Debits]]+Table13[[#This Row],[Income]]</f>
        <v>2805.21</v>
      </c>
      <c r="N1554" t="str">
        <f>IF(AND(Table13[[#This Row],[Category]]="pay",NOT(Table13[[#This Row],[Debits]]=0)),"bad","good")</f>
        <v>good</v>
      </c>
      <c r="O1554" s="5"/>
    </row>
    <row r="1555" spans="6:15" x14ac:dyDescent="0.3">
      <c r="F1555">
        <f>MONTH(Table13[[#This Row],[Date  (DMY)]])</f>
        <v>1</v>
      </c>
      <c r="G1555" s="2"/>
      <c r="L1555" s="5"/>
      <c r="M1555" s="4">
        <f>M1554-Table13[[#This Row],[Debits]]+Table13[[#This Row],[Income]]</f>
        <v>2805.21</v>
      </c>
      <c r="N1555" t="str">
        <f>IF(AND(Table13[[#This Row],[Category]]="pay",NOT(Table13[[#This Row],[Debits]]=0)),"bad","good")</f>
        <v>good</v>
      </c>
      <c r="O1555" s="5"/>
    </row>
    <row r="1556" spans="6:15" x14ac:dyDescent="0.3">
      <c r="F1556">
        <f>MONTH(Table13[[#This Row],[Date  (DMY)]])</f>
        <v>1</v>
      </c>
      <c r="G1556" s="2"/>
      <c r="L1556" s="5"/>
      <c r="M1556" s="4">
        <f>M1555-Table13[[#This Row],[Debits]]+Table13[[#This Row],[Income]]</f>
        <v>2805.21</v>
      </c>
      <c r="N1556" t="str">
        <f>IF(AND(Table13[[#This Row],[Category]]="pay",NOT(Table13[[#This Row],[Debits]]=0)),"bad","good")</f>
        <v>good</v>
      </c>
      <c r="O1556" s="5"/>
    </row>
    <row r="1557" spans="6:15" x14ac:dyDescent="0.3">
      <c r="F1557">
        <f>MONTH(Table13[[#This Row],[Date  (DMY)]])</f>
        <v>1</v>
      </c>
      <c r="G1557" s="2"/>
      <c r="L1557" s="5"/>
      <c r="M1557" s="4">
        <f>M1556-Table13[[#This Row],[Debits]]+Table13[[#This Row],[Income]]</f>
        <v>2805.21</v>
      </c>
      <c r="N1557" t="str">
        <f>IF(AND(Table13[[#This Row],[Category]]="pay",NOT(Table13[[#This Row],[Debits]]=0)),"bad","good")</f>
        <v>good</v>
      </c>
      <c r="O1557" s="5"/>
    </row>
    <row r="1558" spans="6:15" x14ac:dyDescent="0.3">
      <c r="F1558">
        <f>MONTH(Table13[[#This Row],[Date  (DMY)]])</f>
        <v>1</v>
      </c>
      <c r="G1558" s="2"/>
      <c r="L1558" s="5"/>
      <c r="M1558" s="4">
        <f>M1557-Table13[[#This Row],[Debits]]+Table13[[#This Row],[Income]]</f>
        <v>2805.21</v>
      </c>
      <c r="N1558" t="str">
        <f>IF(AND(Table13[[#This Row],[Category]]="pay",NOT(Table13[[#This Row],[Debits]]=0)),"bad","good")</f>
        <v>good</v>
      </c>
      <c r="O1558" s="5"/>
    </row>
    <row r="1559" spans="6:15" x14ac:dyDescent="0.3">
      <c r="F1559">
        <f>MONTH(Table13[[#This Row],[Date  (DMY)]])</f>
        <v>1</v>
      </c>
      <c r="G1559" s="2"/>
      <c r="L1559" s="5"/>
      <c r="M1559" s="4">
        <f>M1558-Table13[[#This Row],[Debits]]+Table13[[#This Row],[Income]]</f>
        <v>2805.21</v>
      </c>
      <c r="N1559" t="str">
        <f>IF(AND(Table13[[#This Row],[Category]]="pay",NOT(Table13[[#This Row],[Debits]]=0)),"bad","good")</f>
        <v>good</v>
      </c>
      <c r="O1559" s="5"/>
    </row>
    <row r="1560" spans="6:15" x14ac:dyDescent="0.3">
      <c r="F1560">
        <f>MONTH(Table13[[#This Row],[Date  (DMY)]])</f>
        <v>1</v>
      </c>
      <c r="G1560" s="2"/>
      <c r="L1560" s="5"/>
      <c r="M1560" s="4">
        <f>M1559-Table13[[#This Row],[Debits]]+Table13[[#This Row],[Income]]</f>
        <v>2805.21</v>
      </c>
      <c r="N1560" t="str">
        <f>IF(AND(Table13[[#This Row],[Category]]="pay",NOT(Table13[[#This Row],[Debits]]=0)),"bad","good")</f>
        <v>good</v>
      </c>
      <c r="O1560" s="5"/>
    </row>
    <row r="1561" spans="6:15" x14ac:dyDescent="0.3">
      <c r="F1561">
        <f>MONTH(Table13[[#This Row],[Date  (DMY)]])</f>
        <v>1</v>
      </c>
      <c r="G1561" s="2"/>
      <c r="L1561" s="5"/>
      <c r="M1561" s="4">
        <f>M1560-Table13[[#This Row],[Debits]]+Table13[[#This Row],[Income]]</f>
        <v>2805.21</v>
      </c>
      <c r="N1561" t="str">
        <f>IF(AND(Table13[[#This Row],[Category]]="pay",NOT(Table13[[#This Row],[Debits]]=0)),"bad","good")</f>
        <v>good</v>
      </c>
      <c r="O1561" s="5"/>
    </row>
    <row r="1562" spans="6:15" x14ac:dyDescent="0.3">
      <c r="F1562">
        <f>MONTH(Table13[[#This Row],[Date  (DMY)]])</f>
        <v>1</v>
      </c>
      <c r="G1562" s="2"/>
      <c r="L1562" s="5"/>
      <c r="M1562" s="4">
        <f>M1561-Table13[[#This Row],[Debits]]+Table13[[#This Row],[Income]]</f>
        <v>2805.21</v>
      </c>
      <c r="N1562" t="str">
        <f>IF(AND(Table13[[#This Row],[Category]]="pay",NOT(Table13[[#This Row],[Debits]]=0)),"bad","good")</f>
        <v>good</v>
      </c>
      <c r="O1562" s="5"/>
    </row>
    <row r="1563" spans="6:15" x14ac:dyDescent="0.3">
      <c r="F1563">
        <f>MONTH(Table13[[#This Row],[Date  (DMY)]])</f>
        <v>1</v>
      </c>
      <c r="G1563" s="2"/>
      <c r="L1563" s="5"/>
      <c r="M1563" s="4">
        <f>M1562-Table13[[#This Row],[Debits]]+Table13[[#This Row],[Income]]</f>
        <v>2805.21</v>
      </c>
      <c r="N1563" t="str">
        <f>IF(AND(Table13[[#This Row],[Category]]="pay",NOT(Table13[[#This Row],[Debits]]=0)),"bad","good")</f>
        <v>good</v>
      </c>
      <c r="O1563" s="5"/>
    </row>
    <row r="1564" spans="6:15" x14ac:dyDescent="0.3">
      <c r="F1564">
        <f>MONTH(Table13[[#This Row],[Date  (DMY)]])</f>
        <v>1</v>
      </c>
      <c r="G1564" s="2"/>
      <c r="L1564" s="5"/>
      <c r="M1564" s="4">
        <f>M1563-Table13[[#This Row],[Debits]]+Table13[[#This Row],[Income]]</f>
        <v>2805.21</v>
      </c>
      <c r="N1564" t="str">
        <f>IF(AND(Table13[[#This Row],[Category]]="pay",NOT(Table13[[#This Row],[Debits]]=0)),"bad","good")</f>
        <v>good</v>
      </c>
      <c r="O1564" s="5"/>
    </row>
    <row r="1565" spans="6:15" x14ac:dyDescent="0.3">
      <c r="F1565">
        <f>MONTH(Table13[[#This Row],[Date  (DMY)]])</f>
        <v>1</v>
      </c>
      <c r="G1565" s="2"/>
      <c r="L1565" s="5"/>
      <c r="M1565" s="4">
        <f>M1564-Table13[[#This Row],[Debits]]+Table13[[#This Row],[Income]]</f>
        <v>2805.21</v>
      </c>
      <c r="N1565" t="str">
        <f>IF(AND(Table13[[#This Row],[Category]]="pay",NOT(Table13[[#This Row],[Debits]]=0)),"bad","good")</f>
        <v>good</v>
      </c>
      <c r="O1565" s="5"/>
    </row>
    <row r="1566" spans="6:15" x14ac:dyDescent="0.3">
      <c r="F1566">
        <f>MONTH(Table13[[#This Row],[Date  (DMY)]])</f>
        <v>1</v>
      </c>
      <c r="G1566" s="2"/>
      <c r="L1566" s="5"/>
      <c r="M1566" s="4">
        <f>M1565-Table13[[#This Row],[Debits]]+Table13[[#This Row],[Income]]</f>
        <v>2805.21</v>
      </c>
      <c r="N1566" t="str">
        <f>IF(AND(Table13[[#This Row],[Category]]="pay",NOT(Table13[[#This Row],[Debits]]=0)),"bad","good")</f>
        <v>good</v>
      </c>
      <c r="O1566" s="5"/>
    </row>
    <row r="1567" spans="6:15" x14ac:dyDescent="0.3">
      <c r="F1567">
        <f>MONTH(Table13[[#This Row],[Date  (DMY)]])</f>
        <v>1</v>
      </c>
      <c r="G1567" s="2"/>
      <c r="L1567" s="5"/>
      <c r="M1567" s="4">
        <f>M1566-Table13[[#This Row],[Debits]]+Table13[[#This Row],[Income]]</f>
        <v>2805.21</v>
      </c>
      <c r="N1567" t="str">
        <f>IF(AND(Table13[[#This Row],[Category]]="pay",NOT(Table13[[#This Row],[Debits]]=0)),"bad","good")</f>
        <v>good</v>
      </c>
      <c r="O1567" s="5"/>
    </row>
    <row r="1568" spans="6:15" x14ac:dyDescent="0.3">
      <c r="F1568">
        <f>MONTH(Table13[[#This Row],[Date  (DMY)]])</f>
        <v>1</v>
      </c>
      <c r="G1568" s="2"/>
      <c r="L1568" s="5"/>
      <c r="M1568" s="4">
        <f>M1567-Table13[[#This Row],[Debits]]+Table13[[#This Row],[Income]]</f>
        <v>2805.21</v>
      </c>
      <c r="N1568" t="str">
        <f>IF(AND(Table13[[#This Row],[Category]]="pay",NOT(Table13[[#This Row],[Debits]]=0)),"bad","good")</f>
        <v>good</v>
      </c>
      <c r="O1568" s="5"/>
    </row>
    <row r="1569" spans="6:15" x14ac:dyDescent="0.3">
      <c r="F1569">
        <f>MONTH(Table13[[#This Row],[Date  (DMY)]])</f>
        <v>1</v>
      </c>
      <c r="G1569" s="2"/>
      <c r="L1569" s="5"/>
      <c r="M1569" s="4">
        <f>M1568-Table13[[#This Row],[Debits]]+Table13[[#This Row],[Income]]</f>
        <v>2805.21</v>
      </c>
      <c r="N1569" t="str">
        <f>IF(AND(Table13[[#This Row],[Category]]="pay",NOT(Table13[[#This Row],[Debits]]=0)),"bad","good")</f>
        <v>good</v>
      </c>
      <c r="O1569" s="5"/>
    </row>
    <row r="1570" spans="6:15" x14ac:dyDescent="0.3">
      <c r="F1570">
        <f>MONTH(Table13[[#This Row],[Date  (DMY)]])</f>
        <v>1</v>
      </c>
      <c r="G1570" s="2"/>
      <c r="L1570" s="5"/>
      <c r="M1570" s="4">
        <f>M1569-Table13[[#This Row],[Debits]]+Table13[[#This Row],[Income]]</f>
        <v>2805.21</v>
      </c>
      <c r="N1570" t="str">
        <f>IF(AND(Table13[[#This Row],[Category]]="pay",NOT(Table13[[#This Row],[Debits]]=0)),"bad","good")</f>
        <v>good</v>
      </c>
      <c r="O1570" s="5"/>
    </row>
    <row r="1571" spans="6:15" x14ac:dyDescent="0.3">
      <c r="F1571">
        <f>MONTH(Table13[[#This Row],[Date  (DMY)]])</f>
        <v>1</v>
      </c>
      <c r="G1571" s="2"/>
      <c r="L1571" s="5"/>
      <c r="M1571" s="4">
        <f>M1570-Table13[[#This Row],[Debits]]+Table13[[#This Row],[Income]]</f>
        <v>2805.21</v>
      </c>
      <c r="N1571" t="str">
        <f>IF(AND(Table13[[#This Row],[Category]]="pay",NOT(Table13[[#This Row],[Debits]]=0)),"bad","good")</f>
        <v>good</v>
      </c>
      <c r="O1571" s="5"/>
    </row>
    <row r="1572" spans="6:15" x14ac:dyDescent="0.3">
      <c r="F1572">
        <f>MONTH(Table13[[#This Row],[Date  (DMY)]])</f>
        <v>1</v>
      </c>
      <c r="G1572" s="2"/>
      <c r="L1572" s="5"/>
      <c r="M1572" s="4">
        <f>M1571-Table13[[#This Row],[Debits]]+Table13[[#This Row],[Income]]</f>
        <v>2805.21</v>
      </c>
      <c r="N1572" t="str">
        <f>IF(AND(Table13[[#This Row],[Category]]="pay",NOT(Table13[[#This Row],[Debits]]=0)),"bad","good")</f>
        <v>good</v>
      </c>
      <c r="O1572" s="5"/>
    </row>
    <row r="1573" spans="6:15" x14ac:dyDescent="0.3">
      <c r="F1573">
        <f>MONTH(Table13[[#This Row],[Date  (DMY)]])</f>
        <v>1</v>
      </c>
      <c r="G1573" s="2"/>
      <c r="L1573" s="5"/>
      <c r="M1573" s="4">
        <f>M1572-Table13[[#This Row],[Debits]]+Table13[[#This Row],[Income]]</f>
        <v>2805.21</v>
      </c>
      <c r="N1573" t="str">
        <f>IF(AND(Table13[[#This Row],[Category]]="pay",NOT(Table13[[#This Row],[Debits]]=0)),"bad","good")</f>
        <v>good</v>
      </c>
      <c r="O1573" s="5"/>
    </row>
    <row r="1574" spans="6:15" x14ac:dyDescent="0.3">
      <c r="F1574">
        <f>MONTH(Table13[[#This Row],[Date  (DMY)]])</f>
        <v>1</v>
      </c>
      <c r="G1574" s="2"/>
      <c r="L1574" s="5"/>
      <c r="M1574" s="4">
        <f>M1573-Table13[[#This Row],[Debits]]+Table13[[#This Row],[Income]]</f>
        <v>2805.21</v>
      </c>
      <c r="N1574" t="str">
        <f>IF(AND(Table13[[#This Row],[Category]]="pay",NOT(Table13[[#This Row],[Debits]]=0)),"bad","good")</f>
        <v>good</v>
      </c>
      <c r="O1574" s="5"/>
    </row>
    <row r="1575" spans="6:15" x14ac:dyDescent="0.3">
      <c r="F1575">
        <f>MONTH(Table13[[#This Row],[Date  (DMY)]])</f>
        <v>1</v>
      </c>
      <c r="G1575" s="2"/>
      <c r="L1575" s="5"/>
      <c r="M1575" s="4">
        <f>M1574-Table13[[#This Row],[Debits]]+Table13[[#This Row],[Income]]</f>
        <v>2805.21</v>
      </c>
      <c r="N1575" t="str">
        <f>IF(AND(Table13[[#This Row],[Category]]="pay",NOT(Table13[[#This Row],[Debits]]=0)),"bad","good")</f>
        <v>good</v>
      </c>
      <c r="O1575" s="5"/>
    </row>
    <row r="1576" spans="6:15" x14ac:dyDescent="0.3">
      <c r="F1576">
        <f>MONTH(Table13[[#This Row],[Date  (DMY)]])</f>
        <v>1</v>
      </c>
      <c r="G1576" s="2"/>
      <c r="L1576" s="5"/>
      <c r="M1576" s="4">
        <f>M1575-Table13[[#This Row],[Debits]]+Table13[[#This Row],[Income]]</f>
        <v>2805.21</v>
      </c>
      <c r="N1576" t="str">
        <f>IF(AND(Table13[[#This Row],[Category]]="pay",NOT(Table13[[#This Row],[Debits]]=0)),"bad","good")</f>
        <v>good</v>
      </c>
      <c r="O1576" s="5"/>
    </row>
    <row r="1577" spans="6:15" x14ac:dyDescent="0.3">
      <c r="F1577">
        <f>MONTH(Table13[[#This Row],[Date  (DMY)]])</f>
        <v>1</v>
      </c>
      <c r="G1577" s="2"/>
      <c r="L1577" s="5"/>
      <c r="M1577" s="4">
        <f>M1576-Table13[[#This Row],[Debits]]+Table13[[#This Row],[Income]]</f>
        <v>2805.21</v>
      </c>
      <c r="N1577" t="str">
        <f>IF(AND(Table13[[#This Row],[Category]]="pay",NOT(Table13[[#This Row],[Debits]]=0)),"bad","good")</f>
        <v>good</v>
      </c>
      <c r="O1577" s="5"/>
    </row>
    <row r="1578" spans="6:15" x14ac:dyDescent="0.3">
      <c r="F1578">
        <f>MONTH(Table13[[#This Row],[Date  (DMY)]])</f>
        <v>1</v>
      </c>
      <c r="G1578" s="2"/>
      <c r="L1578" s="5"/>
      <c r="M1578" s="4">
        <f>M1577-Table13[[#This Row],[Debits]]+Table13[[#This Row],[Income]]</f>
        <v>2805.21</v>
      </c>
      <c r="N1578" t="str">
        <f>IF(AND(Table13[[#This Row],[Category]]="pay",NOT(Table13[[#This Row],[Debits]]=0)),"bad","good")</f>
        <v>good</v>
      </c>
      <c r="O1578" s="5"/>
    </row>
    <row r="1579" spans="6:15" x14ac:dyDescent="0.3">
      <c r="F1579">
        <f>MONTH(Table13[[#This Row],[Date  (DMY)]])</f>
        <v>1</v>
      </c>
      <c r="G1579" s="2"/>
      <c r="L1579" s="5"/>
      <c r="M1579" s="4">
        <f>M1578-Table13[[#This Row],[Debits]]+Table13[[#This Row],[Income]]</f>
        <v>2805.21</v>
      </c>
      <c r="N1579" t="str">
        <f>IF(AND(Table13[[#This Row],[Category]]="pay",NOT(Table13[[#This Row],[Debits]]=0)),"bad","good")</f>
        <v>good</v>
      </c>
      <c r="O1579" s="5"/>
    </row>
    <row r="1580" spans="6:15" x14ac:dyDescent="0.3">
      <c r="F1580">
        <f>MONTH(Table13[[#This Row],[Date  (DMY)]])</f>
        <v>1</v>
      </c>
      <c r="G1580" s="2"/>
      <c r="L1580" s="5"/>
      <c r="M1580" s="4">
        <f>M1579-Table13[[#This Row],[Debits]]+Table13[[#This Row],[Income]]</f>
        <v>2805.21</v>
      </c>
      <c r="N1580" t="str">
        <f>IF(AND(Table13[[#This Row],[Category]]="pay",NOT(Table13[[#This Row],[Debits]]=0)),"bad","good")</f>
        <v>good</v>
      </c>
      <c r="O1580" s="5"/>
    </row>
    <row r="1581" spans="6:15" x14ac:dyDescent="0.3">
      <c r="F1581">
        <f>MONTH(Table13[[#This Row],[Date  (DMY)]])</f>
        <v>1</v>
      </c>
      <c r="G1581" s="2"/>
      <c r="L1581" s="5"/>
      <c r="M1581" s="4">
        <f>M1580-Table13[[#This Row],[Debits]]+Table13[[#This Row],[Income]]</f>
        <v>2805.21</v>
      </c>
      <c r="N1581" t="str">
        <f>IF(AND(Table13[[#This Row],[Category]]="pay",NOT(Table13[[#This Row],[Debits]]=0)),"bad","good")</f>
        <v>good</v>
      </c>
      <c r="O1581" s="5"/>
    </row>
    <row r="1582" spans="6:15" x14ac:dyDescent="0.3">
      <c r="F1582">
        <f>MONTH(Table13[[#This Row],[Date  (DMY)]])</f>
        <v>1</v>
      </c>
      <c r="G1582" s="2"/>
      <c r="L1582" s="5"/>
      <c r="M1582" s="4">
        <f>M1581-Table13[[#This Row],[Debits]]+Table13[[#This Row],[Income]]</f>
        <v>2805.21</v>
      </c>
      <c r="N1582" t="str">
        <f>IF(AND(Table13[[#This Row],[Category]]="pay",NOT(Table13[[#This Row],[Debits]]=0)),"bad","good")</f>
        <v>good</v>
      </c>
      <c r="O1582" s="5"/>
    </row>
    <row r="1583" spans="6:15" x14ac:dyDescent="0.3">
      <c r="F1583">
        <f>MONTH(Table13[[#This Row],[Date  (DMY)]])</f>
        <v>1</v>
      </c>
      <c r="G1583" s="2"/>
      <c r="L1583" s="5"/>
      <c r="M1583" s="4">
        <f>M1582-Table13[[#This Row],[Debits]]+Table13[[#This Row],[Income]]</f>
        <v>2805.21</v>
      </c>
      <c r="N1583" t="str">
        <f>IF(AND(Table13[[#This Row],[Category]]="pay",NOT(Table13[[#This Row],[Debits]]=0)),"bad","good")</f>
        <v>good</v>
      </c>
      <c r="O1583" s="5"/>
    </row>
    <row r="1584" spans="6:15" x14ac:dyDescent="0.3">
      <c r="F1584">
        <f>MONTH(Table13[[#This Row],[Date  (DMY)]])</f>
        <v>1</v>
      </c>
      <c r="G1584" s="2"/>
      <c r="L1584" s="5"/>
      <c r="M1584" s="4">
        <f>M1583-Table13[[#This Row],[Debits]]+Table13[[#This Row],[Income]]</f>
        <v>2805.21</v>
      </c>
      <c r="N1584" t="str">
        <f>IF(AND(Table13[[#This Row],[Category]]="pay",NOT(Table13[[#This Row],[Debits]]=0)),"bad","good")</f>
        <v>good</v>
      </c>
      <c r="O1584" s="5"/>
    </row>
    <row r="1585" spans="6:15" x14ac:dyDescent="0.3">
      <c r="F1585">
        <f>MONTH(Table13[[#This Row],[Date  (DMY)]])</f>
        <v>1</v>
      </c>
      <c r="G1585" s="2"/>
      <c r="L1585" s="5"/>
      <c r="M1585" s="4">
        <f>M1584-Table13[[#This Row],[Debits]]+Table13[[#This Row],[Income]]</f>
        <v>2805.21</v>
      </c>
      <c r="N1585" t="str">
        <f>IF(AND(Table13[[#This Row],[Category]]="pay",NOT(Table13[[#This Row],[Debits]]=0)),"bad","good")</f>
        <v>good</v>
      </c>
      <c r="O1585" s="5"/>
    </row>
    <row r="1586" spans="6:15" x14ac:dyDescent="0.3">
      <c r="F1586">
        <f>MONTH(Table13[[#This Row],[Date  (DMY)]])</f>
        <v>1</v>
      </c>
      <c r="G1586" s="2"/>
      <c r="L1586" s="5"/>
      <c r="M1586" s="4">
        <f>M1585-Table13[[#This Row],[Debits]]+Table13[[#This Row],[Income]]</f>
        <v>2805.21</v>
      </c>
      <c r="N1586" t="str">
        <f>IF(AND(Table13[[#This Row],[Category]]="pay",NOT(Table13[[#This Row],[Debits]]=0)),"bad","good")</f>
        <v>good</v>
      </c>
      <c r="O1586" s="5"/>
    </row>
    <row r="1587" spans="6:15" x14ac:dyDescent="0.3">
      <c r="F1587">
        <f>MONTH(Table13[[#This Row],[Date  (DMY)]])</f>
        <v>1</v>
      </c>
      <c r="G1587" s="2"/>
      <c r="L1587" s="5"/>
      <c r="M1587" s="4">
        <f>M1586-Table13[[#This Row],[Debits]]+Table13[[#This Row],[Income]]</f>
        <v>2805.21</v>
      </c>
      <c r="N1587" t="str">
        <f>IF(AND(Table13[[#This Row],[Category]]="pay",NOT(Table13[[#This Row],[Debits]]=0)),"bad","good")</f>
        <v>good</v>
      </c>
      <c r="O1587" s="5"/>
    </row>
    <row r="1588" spans="6:15" x14ac:dyDescent="0.3">
      <c r="F1588">
        <f>MONTH(Table13[[#This Row],[Date  (DMY)]])</f>
        <v>1</v>
      </c>
      <c r="G1588" s="2"/>
      <c r="L1588" s="5"/>
      <c r="M1588" s="4">
        <f>M1587-Table13[[#This Row],[Debits]]+Table13[[#This Row],[Income]]</f>
        <v>2805.21</v>
      </c>
      <c r="N1588" t="str">
        <f>IF(AND(Table13[[#This Row],[Category]]="pay",NOT(Table13[[#This Row],[Debits]]=0)),"bad","good")</f>
        <v>good</v>
      </c>
      <c r="O1588" s="5"/>
    </row>
    <row r="1589" spans="6:15" x14ac:dyDescent="0.3">
      <c r="F1589">
        <f>MONTH(Table13[[#This Row],[Date  (DMY)]])</f>
        <v>1</v>
      </c>
      <c r="G1589" s="2"/>
      <c r="L1589" s="5"/>
      <c r="M1589" s="4">
        <f>M1588-Table13[[#This Row],[Debits]]+Table13[[#This Row],[Income]]</f>
        <v>2805.21</v>
      </c>
      <c r="N1589" t="str">
        <f>IF(AND(Table13[[#This Row],[Category]]="pay",NOT(Table13[[#This Row],[Debits]]=0)),"bad","good")</f>
        <v>good</v>
      </c>
      <c r="O1589" s="5"/>
    </row>
    <row r="1590" spans="6:15" x14ac:dyDescent="0.3">
      <c r="F1590">
        <f>MONTH(Table13[[#This Row],[Date  (DMY)]])</f>
        <v>1</v>
      </c>
      <c r="G1590" s="2"/>
      <c r="L1590" s="5"/>
      <c r="M1590" s="4">
        <f>M1589-Table13[[#This Row],[Debits]]+Table13[[#This Row],[Income]]</f>
        <v>2805.21</v>
      </c>
      <c r="N1590" t="str">
        <f>IF(AND(Table13[[#This Row],[Category]]="pay",NOT(Table13[[#This Row],[Debits]]=0)),"bad","good")</f>
        <v>good</v>
      </c>
      <c r="O1590" s="5"/>
    </row>
    <row r="1591" spans="6:15" x14ac:dyDescent="0.3">
      <c r="F1591">
        <f>MONTH(Table13[[#This Row],[Date  (DMY)]])</f>
        <v>1</v>
      </c>
      <c r="G1591" s="2"/>
      <c r="L1591" s="5"/>
      <c r="M1591" s="4">
        <f>M1590-Table13[[#This Row],[Debits]]+Table13[[#This Row],[Income]]</f>
        <v>2805.21</v>
      </c>
      <c r="N1591" t="str">
        <f>IF(AND(Table13[[#This Row],[Category]]="pay",NOT(Table13[[#This Row],[Debits]]=0)),"bad","good")</f>
        <v>good</v>
      </c>
      <c r="O1591" s="5"/>
    </row>
    <row r="1592" spans="6:15" x14ac:dyDescent="0.3">
      <c r="F1592">
        <f>MONTH(Table13[[#This Row],[Date  (DMY)]])</f>
        <v>1</v>
      </c>
      <c r="G1592" s="2"/>
      <c r="L1592" s="5"/>
      <c r="M1592" s="4">
        <f>M1591-Table13[[#This Row],[Debits]]+Table13[[#This Row],[Income]]</f>
        <v>2805.21</v>
      </c>
      <c r="N1592" t="str">
        <f>IF(AND(Table13[[#This Row],[Category]]="pay",NOT(Table13[[#This Row],[Debits]]=0)),"bad","good")</f>
        <v>good</v>
      </c>
      <c r="O1592" s="5"/>
    </row>
    <row r="1593" spans="6:15" x14ac:dyDescent="0.3">
      <c r="F1593">
        <f>MONTH(Table13[[#This Row],[Date  (DMY)]])</f>
        <v>1</v>
      </c>
      <c r="G1593" s="2"/>
      <c r="L1593" s="5"/>
      <c r="M1593" s="4">
        <f>M1592-Table13[[#This Row],[Debits]]+Table13[[#This Row],[Income]]</f>
        <v>2805.21</v>
      </c>
      <c r="N1593" t="str">
        <f>IF(AND(Table13[[#This Row],[Category]]="pay",NOT(Table13[[#This Row],[Debits]]=0)),"bad","good")</f>
        <v>good</v>
      </c>
      <c r="O1593" s="5"/>
    </row>
    <row r="1594" spans="6:15" x14ac:dyDescent="0.3">
      <c r="F1594">
        <f>MONTH(Table13[[#This Row],[Date  (DMY)]])</f>
        <v>1</v>
      </c>
      <c r="G1594" s="2"/>
      <c r="L1594" s="5"/>
      <c r="M1594" s="4">
        <f>M1593-Table13[[#This Row],[Debits]]+Table13[[#This Row],[Income]]</f>
        <v>2805.21</v>
      </c>
      <c r="N1594" t="str">
        <f>IF(AND(Table13[[#This Row],[Category]]="pay",NOT(Table13[[#This Row],[Debits]]=0)),"bad","good")</f>
        <v>good</v>
      </c>
      <c r="O1594" s="5"/>
    </row>
    <row r="1595" spans="6:15" x14ac:dyDescent="0.3">
      <c r="F1595">
        <f>MONTH(Table13[[#This Row],[Date  (DMY)]])</f>
        <v>1</v>
      </c>
      <c r="G1595" s="2"/>
      <c r="L1595" s="5"/>
      <c r="M1595" s="4">
        <f>M1594-Table13[[#This Row],[Debits]]+Table13[[#This Row],[Income]]</f>
        <v>2805.21</v>
      </c>
      <c r="N1595" t="str">
        <f>IF(AND(Table13[[#This Row],[Category]]="pay",NOT(Table13[[#This Row],[Debits]]=0)),"bad","good")</f>
        <v>good</v>
      </c>
      <c r="O1595" s="5"/>
    </row>
    <row r="1596" spans="6:15" x14ac:dyDescent="0.3">
      <c r="F1596">
        <f>MONTH(Table13[[#This Row],[Date  (DMY)]])</f>
        <v>1</v>
      </c>
      <c r="G1596" s="2"/>
      <c r="L1596" s="5"/>
      <c r="M1596" s="4">
        <f>M1595-Table13[[#This Row],[Debits]]+Table13[[#This Row],[Income]]</f>
        <v>2805.21</v>
      </c>
      <c r="N1596" t="str">
        <f>IF(AND(Table13[[#This Row],[Category]]="pay",NOT(Table13[[#This Row],[Debits]]=0)),"bad","good")</f>
        <v>good</v>
      </c>
      <c r="O1596" s="5"/>
    </row>
    <row r="1597" spans="6:15" x14ac:dyDescent="0.3">
      <c r="F1597">
        <f>MONTH(Table13[[#This Row],[Date  (DMY)]])</f>
        <v>1</v>
      </c>
      <c r="G1597" s="2"/>
      <c r="L1597" s="5"/>
      <c r="M1597" s="4">
        <f>M1596-Table13[[#This Row],[Debits]]+Table13[[#This Row],[Income]]</f>
        <v>2805.21</v>
      </c>
      <c r="N1597" t="str">
        <f>IF(AND(Table13[[#This Row],[Category]]="pay",NOT(Table13[[#This Row],[Debits]]=0)),"bad","good")</f>
        <v>good</v>
      </c>
      <c r="O1597" s="5"/>
    </row>
    <row r="1598" spans="6:15" x14ac:dyDescent="0.3">
      <c r="F1598">
        <f>MONTH(Table13[[#This Row],[Date  (DMY)]])</f>
        <v>1</v>
      </c>
      <c r="G1598" s="2"/>
      <c r="L1598" s="5"/>
      <c r="M1598" s="4">
        <f>M1597-Table13[[#This Row],[Debits]]+Table13[[#This Row],[Income]]</f>
        <v>2805.21</v>
      </c>
      <c r="N1598" t="str">
        <f>IF(AND(Table13[[#This Row],[Category]]="pay",NOT(Table13[[#This Row],[Debits]]=0)),"bad","good")</f>
        <v>good</v>
      </c>
      <c r="O1598" s="5"/>
    </row>
    <row r="1599" spans="6:15" x14ac:dyDescent="0.3">
      <c r="F1599">
        <f>MONTH(Table13[[#This Row],[Date  (DMY)]])</f>
        <v>1</v>
      </c>
      <c r="G1599" s="2"/>
      <c r="L1599" s="5"/>
      <c r="M1599" s="4">
        <f>M1598-Table13[[#This Row],[Debits]]+Table13[[#This Row],[Income]]</f>
        <v>2805.21</v>
      </c>
      <c r="N1599" t="str">
        <f>IF(AND(Table13[[#This Row],[Category]]="pay",NOT(Table13[[#This Row],[Debits]]=0)),"bad","good")</f>
        <v>good</v>
      </c>
      <c r="O1599" s="5"/>
    </row>
    <row r="1600" spans="6:15" x14ac:dyDescent="0.3">
      <c r="F1600">
        <f>MONTH(Table13[[#This Row],[Date  (DMY)]])</f>
        <v>1</v>
      </c>
      <c r="G1600" s="2"/>
      <c r="L1600" s="5"/>
      <c r="M1600" s="4">
        <f>M1599-Table13[[#This Row],[Debits]]+Table13[[#This Row],[Income]]</f>
        <v>2805.21</v>
      </c>
      <c r="N1600" t="str">
        <f>IF(AND(Table13[[#This Row],[Category]]="pay",NOT(Table13[[#This Row],[Debits]]=0)),"bad","good")</f>
        <v>good</v>
      </c>
      <c r="O1600" s="5"/>
    </row>
    <row r="1601" spans="6:15" x14ac:dyDescent="0.3">
      <c r="F1601">
        <f>MONTH(Table13[[#This Row],[Date  (DMY)]])</f>
        <v>1</v>
      </c>
      <c r="G1601" s="2"/>
      <c r="L1601" s="5"/>
      <c r="M1601" s="4">
        <f>M1600-Table13[[#This Row],[Debits]]+Table13[[#This Row],[Income]]</f>
        <v>2805.21</v>
      </c>
      <c r="N1601" t="str">
        <f>IF(AND(Table13[[#This Row],[Category]]="pay",NOT(Table13[[#This Row],[Debits]]=0)),"bad","good")</f>
        <v>good</v>
      </c>
      <c r="O1601" s="5"/>
    </row>
    <row r="1602" spans="6:15" x14ac:dyDescent="0.3">
      <c r="F1602">
        <f>MONTH(Table13[[#This Row],[Date  (DMY)]])</f>
        <v>1</v>
      </c>
      <c r="G1602" s="2"/>
      <c r="L1602" s="5"/>
      <c r="M1602" s="4">
        <f>M1601-Table13[[#This Row],[Debits]]+Table13[[#This Row],[Income]]</f>
        <v>2805.21</v>
      </c>
      <c r="N1602" t="str">
        <f>IF(AND(Table13[[#This Row],[Category]]="pay",NOT(Table13[[#This Row],[Debits]]=0)),"bad","good")</f>
        <v>good</v>
      </c>
      <c r="O1602" s="5"/>
    </row>
    <row r="1603" spans="6:15" x14ac:dyDescent="0.3">
      <c r="F1603">
        <f>MONTH(Table13[[#This Row],[Date  (DMY)]])</f>
        <v>1</v>
      </c>
      <c r="G1603" s="2"/>
      <c r="L1603" s="5"/>
      <c r="M1603" s="4">
        <f>M1602-Table13[[#This Row],[Debits]]+Table13[[#This Row],[Income]]</f>
        <v>2805.21</v>
      </c>
      <c r="N1603" t="str">
        <f>IF(AND(Table13[[#This Row],[Category]]="pay",NOT(Table13[[#This Row],[Debits]]=0)),"bad","good")</f>
        <v>good</v>
      </c>
      <c r="O1603" s="5"/>
    </row>
    <row r="1604" spans="6:15" x14ac:dyDescent="0.3">
      <c r="F1604">
        <f>MONTH(Table13[[#This Row],[Date  (DMY)]])</f>
        <v>1</v>
      </c>
      <c r="G1604" s="2"/>
      <c r="L1604" s="5"/>
      <c r="M1604" s="4">
        <f>M1603-Table13[[#This Row],[Debits]]+Table13[[#This Row],[Income]]</f>
        <v>2805.21</v>
      </c>
      <c r="N1604" t="str">
        <f>IF(AND(Table13[[#This Row],[Category]]="pay",NOT(Table13[[#This Row],[Debits]]=0)),"bad","good")</f>
        <v>good</v>
      </c>
      <c r="O1604" s="5"/>
    </row>
    <row r="1605" spans="6:15" x14ac:dyDescent="0.3">
      <c r="F1605">
        <f>MONTH(Table13[[#This Row],[Date  (DMY)]])</f>
        <v>1</v>
      </c>
      <c r="G1605" s="2"/>
      <c r="L1605" s="5"/>
      <c r="M1605" s="4">
        <f>M1604-Table13[[#This Row],[Debits]]+Table13[[#This Row],[Income]]</f>
        <v>2805.21</v>
      </c>
      <c r="N1605" t="str">
        <f>IF(AND(Table13[[#This Row],[Category]]="pay",NOT(Table13[[#This Row],[Debits]]=0)),"bad","good")</f>
        <v>good</v>
      </c>
      <c r="O1605" s="5"/>
    </row>
    <row r="1606" spans="6:15" x14ac:dyDescent="0.3">
      <c r="F1606">
        <f>MONTH(Table13[[#This Row],[Date  (DMY)]])</f>
        <v>1</v>
      </c>
      <c r="G1606" s="2"/>
      <c r="L1606" s="5"/>
      <c r="M1606" s="4">
        <f>M1605-Table13[[#This Row],[Debits]]+Table13[[#This Row],[Income]]</f>
        <v>2805.21</v>
      </c>
      <c r="N1606" t="str">
        <f>IF(AND(Table13[[#This Row],[Category]]="pay",NOT(Table13[[#This Row],[Debits]]=0)),"bad","good")</f>
        <v>good</v>
      </c>
      <c r="O1606" s="5"/>
    </row>
    <row r="1607" spans="6:15" x14ac:dyDescent="0.3">
      <c r="F1607">
        <f>MONTH(Table13[[#This Row],[Date  (DMY)]])</f>
        <v>1</v>
      </c>
      <c r="G1607" s="2"/>
      <c r="L1607" s="5"/>
      <c r="M1607" s="4">
        <f>M1606-Table13[[#This Row],[Debits]]+Table13[[#This Row],[Income]]</f>
        <v>2805.21</v>
      </c>
      <c r="N1607" t="str">
        <f>IF(AND(Table13[[#This Row],[Category]]="pay",NOT(Table13[[#This Row],[Debits]]=0)),"bad","good")</f>
        <v>good</v>
      </c>
      <c r="O1607" s="5"/>
    </row>
    <row r="1608" spans="6:15" x14ac:dyDescent="0.3">
      <c r="F1608">
        <f>MONTH(Table13[[#This Row],[Date  (DMY)]])</f>
        <v>1</v>
      </c>
      <c r="G1608" s="2"/>
      <c r="L1608" s="5"/>
      <c r="M1608" s="4">
        <f>M1607-Table13[[#This Row],[Debits]]+Table13[[#This Row],[Income]]</f>
        <v>2805.21</v>
      </c>
      <c r="N1608" t="str">
        <f>IF(AND(Table13[[#This Row],[Category]]="pay",NOT(Table13[[#This Row],[Debits]]=0)),"bad","good")</f>
        <v>good</v>
      </c>
      <c r="O1608" s="5"/>
    </row>
    <row r="1609" spans="6:15" x14ac:dyDescent="0.3">
      <c r="F1609">
        <f>MONTH(Table13[[#This Row],[Date  (DMY)]])</f>
        <v>1</v>
      </c>
      <c r="G1609" s="2"/>
      <c r="L1609" s="5"/>
      <c r="M1609" s="4">
        <f>M1608-Table13[[#This Row],[Debits]]+Table13[[#This Row],[Income]]</f>
        <v>2805.21</v>
      </c>
      <c r="N1609" t="str">
        <f>IF(AND(Table13[[#This Row],[Category]]="pay",NOT(Table13[[#This Row],[Debits]]=0)),"bad","good")</f>
        <v>good</v>
      </c>
      <c r="O1609" s="5"/>
    </row>
    <row r="1610" spans="6:15" x14ac:dyDescent="0.3">
      <c r="F1610">
        <f>MONTH(Table13[[#This Row],[Date  (DMY)]])</f>
        <v>1</v>
      </c>
      <c r="G1610" s="2"/>
      <c r="L1610" s="5"/>
      <c r="M1610" s="4">
        <f>M1609-Table13[[#This Row],[Debits]]+Table13[[#This Row],[Income]]</f>
        <v>2805.21</v>
      </c>
      <c r="N1610" t="str">
        <f>IF(AND(Table13[[#This Row],[Category]]="pay",NOT(Table13[[#This Row],[Debits]]=0)),"bad","good")</f>
        <v>good</v>
      </c>
      <c r="O1610" s="5"/>
    </row>
    <row r="1611" spans="6:15" x14ac:dyDescent="0.3">
      <c r="F1611">
        <f>MONTH(Table13[[#This Row],[Date  (DMY)]])</f>
        <v>1</v>
      </c>
      <c r="G1611" s="2"/>
      <c r="L1611" s="5"/>
      <c r="M1611" s="4">
        <f>M1610-Table13[[#This Row],[Debits]]+Table13[[#This Row],[Income]]</f>
        <v>2805.21</v>
      </c>
      <c r="N1611" t="str">
        <f>IF(AND(Table13[[#This Row],[Category]]="pay",NOT(Table13[[#This Row],[Debits]]=0)),"bad","good")</f>
        <v>good</v>
      </c>
      <c r="O1611" s="5"/>
    </row>
    <row r="1612" spans="6:15" x14ac:dyDescent="0.3">
      <c r="F1612">
        <f>MONTH(Table13[[#This Row],[Date  (DMY)]])</f>
        <v>1</v>
      </c>
      <c r="G1612" s="2"/>
      <c r="L1612" s="5"/>
      <c r="M1612" s="4">
        <f>M1611-Table13[[#This Row],[Debits]]+Table13[[#This Row],[Income]]</f>
        <v>2805.21</v>
      </c>
      <c r="N1612" t="str">
        <f>IF(AND(Table13[[#This Row],[Category]]="pay",NOT(Table13[[#This Row],[Debits]]=0)),"bad","good")</f>
        <v>good</v>
      </c>
      <c r="O1612" s="5"/>
    </row>
    <row r="1613" spans="6:15" x14ac:dyDescent="0.3">
      <c r="F1613">
        <f>MONTH(Table13[[#This Row],[Date  (DMY)]])</f>
        <v>1</v>
      </c>
      <c r="G1613" s="2"/>
      <c r="L1613" s="5"/>
      <c r="M1613" s="4">
        <f>M1612-Table13[[#This Row],[Debits]]+Table13[[#This Row],[Income]]</f>
        <v>2805.21</v>
      </c>
      <c r="N1613" t="str">
        <f>IF(AND(Table13[[#This Row],[Category]]="pay",NOT(Table13[[#This Row],[Debits]]=0)),"bad","good")</f>
        <v>good</v>
      </c>
      <c r="O1613" s="5"/>
    </row>
    <row r="1614" spans="6:15" x14ac:dyDescent="0.3">
      <c r="F1614">
        <f>MONTH(Table13[[#This Row],[Date  (DMY)]])</f>
        <v>1</v>
      </c>
      <c r="G1614" s="2"/>
      <c r="L1614" s="5"/>
      <c r="M1614" s="4">
        <f>M1613-Table13[[#This Row],[Debits]]+Table13[[#This Row],[Income]]</f>
        <v>2805.21</v>
      </c>
      <c r="N1614" t="str">
        <f>IF(AND(Table13[[#This Row],[Category]]="pay",NOT(Table13[[#This Row],[Debits]]=0)),"bad","good")</f>
        <v>good</v>
      </c>
      <c r="O1614" s="5"/>
    </row>
    <row r="1615" spans="6:15" x14ac:dyDescent="0.3">
      <c r="F1615">
        <f>MONTH(Table13[[#This Row],[Date  (DMY)]])</f>
        <v>1</v>
      </c>
      <c r="G1615" s="2"/>
      <c r="L1615" s="5"/>
      <c r="M1615" s="4">
        <f>M1614-Table13[[#This Row],[Debits]]+Table13[[#This Row],[Income]]</f>
        <v>2805.21</v>
      </c>
      <c r="N1615" t="str">
        <f>IF(AND(Table13[[#This Row],[Category]]="pay",NOT(Table13[[#This Row],[Debits]]=0)),"bad","good")</f>
        <v>good</v>
      </c>
      <c r="O1615" s="5"/>
    </row>
    <row r="1616" spans="6:15" x14ac:dyDescent="0.3">
      <c r="F1616">
        <f>MONTH(Table13[[#This Row],[Date  (DMY)]])</f>
        <v>1</v>
      </c>
      <c r="G1616" s="2"/>
      <c r="L1616" s="5"/>
      <c r="M1616" s="4">
        <f>M1615-Table13[[#This Row],[Debits]]+Table13[[#This Row],[Income]]</f>
        <v>2805.21</v>
      </c>
      <c r="N1616" t="str">
        <f>IF(AND(Table13[[#This Row],[Category]]="pay",NOT(Table13[[#This Row],[Debits]]=0)),"bad","good")</f>
        <v>good</v>
      </c>
      <c r="O1616" s="5"/>
    </row>
    <row r="1617" spans="6:15" x14ac:dyDescent="0.3">
      <c r="F1617">
        <f>MONTH(Table13[[#This Row],[Date  (DMY)]])</f>
        <v>1</v>
      </c>
      <c r="G1617" s="2"/>
      <c r="L1617" s="5"/>
      <c r="M1617" s="4">
        <f>M1616-Table13[[#This Row],[Debits]]+Table13[[#This Row],[Income]]</f>
        <v>2805.21</v>
      </c>
      <c r="N1617" t="str">
        <f>IF(AND(Table13[[#This Row],[Category]]="pay",NOT(Table13[[#This Row],[Debits]]=0)),"bad","good")</f>
        <v>good</v>
      </c>
      <c r="O1617" s="5"/>
    </row>
    <row r="1618" spans="6:15" x14ac:dyDescent="0.3">
      <c r="F1618">
        <f>MONTH(Table13[[#This Row],[Date  (DMY)]])</f>
        <v>1</v>
      </c>
      <c r="G1618" s="2"/>
      <c r="L1618" s="5"/>
      <c r="M1618" s="4">
        <f>M1617-Table13[[#This Row],[Debits]]+Table13[[#This Row],[Income]]</f>
        <v>2805.21</v>
      </c>
      <c r="N1618" t="str">
        <f>IF(AND(Table13[[#This Row],[Category]]="pay",NOT(Table13[[#This Row],[Debits]]=0)),"bad","good")</f>
        <v>good</v>
      </c>
      <c r="O1618" s="5"/>
    </row>
    <row r="1619" spans="6:15" x14ac:dyDescent="0.3">
      <c r="F1619">
        <f>MONTH(Table13[[#This Row],[Date  (DMY)]])</f>
        <v>1</v>
      </c>
      <c r="G1619" s="2"/>
      <c r="L1619" s="5"/>
      <c r="M1619" s="4">
        <f>M1618-Table13[[#This Row],[Debits]]+Table13[[#This Row],[Income]]</f>
        <v>2805.21</v>
      </c>
      <c r="N1619" t="str">
        <f>IF(AND(Table13[[#This Row],[Category]]="pay",NOT(Table13[[#This Row],[Debits]]=0)),"bad","good")</f>
        <v>good</v>
      </c>
      <c r="O1619" s="5"/>
    </row>
    <row r="1620" spans="6:15" x14ac:dyDescent="0.3">
      <c r="F1620">
        <f>MONTH(Table13[[#This Row],[Date  (DMY)]])</f>
        <v>1</v>
      </c>
      <c r="G1620" s="2"/>
      <c r="L1620" s="5"/>
      <c r="M1620" s="4">
        <f>M1619-Table13[[#This Row],[Debits]]+Table13[[#This Row],[Income]]</f>
        <v>2805.21</v>
      </c>
      <c r="N1620" t="str">
        <f>IF(AND(Table13[[#This Row],[Category]]="pay",NOT(Table13[[#This Row],[Debits]]=0)),"bad","good")</f>
        <v>good</v>
      </c>
      <c r="O1620" s="5"/>
    </row>
    <row r="1621" spans="6:15" x14ac:dyDescent="0.3">
      <c r="F1621">
        <f>MONTH(Table13[[#This Row],[Date  (DMY)]])</f>
        <v>1</v>
      </c>
      <c r="G1621" s="2"/>
      <c r="L1621" s="5"/>
      <c r="M1621" s="4">
        <f>M1620-Table13[[#This Row],[Debits]]+Table13[[#This Row],[Income]]</f>
        <v>2805.21</v>
      </c>
      <c r="N1621" t="str">
        <f>IF(AND(Table13[[#This Row],[Category]]="pay",NOT(Table13[[#This Row],[Debits]]=0)),"bad","good")</f>
        <v>good</v>
      </c>
      <c r="O1621" s="5"/>
    </row>
    <row r="1622" spans="6:15" x14ac:dyDescent="0.3">
      <c r="F1622">
        <f>MONTH(Table13[[#This Row],[Date  (DMY)]])</f>
        <v>1</v>
      </c>
      <c r="G1622" s="2"/>
      <c r="L1622" s="5"/>
      <c r="M1622" s="4">
        <f>M1621-Table13[[#This Row],[Debits]]+Table13[[#This Row],[Income]]</f>
        <v>2805.21</v>
      </c>
      <c r="N1622" t="str">
        <f>IF(AND(Table13[[#This Row],[Category]]="pay",NOT(Table13[[#This Row],[Debits]]=0)),"bad","good")</f>
        <v>good</v>
      </c>
      <c r="O1622" s="5"/>
    </row>
    <row r="1623" spans="6:15" x14ac:dyDescent="0.3">
      <c r="F1623">
        <f>MONTH(Table13[[#This Row],[Date  (DMY)]])</f>
        <v>1</v>
      </c>
      <c r="G1623" s="2"/>
      <c r="L1623" s="5"/>
      <c r="M1623" s="4">
        <f>M1622-Table13[[#This Row],[Debits]]+Table13[[#This Row],[Income]]</f>
        <v>2805.21</v>
      </c>
      <c r="N1623" t="str">
        <f>IF(AND(Table13[[#This Row],[Category]]="pay",NOT(Table13[[#This Row],[Debits]]=0)),"bad","good")</f>
        <v>good</v>
      </c>
      <c r="O1623" s="5"/>
    </row>
    <row r="1624" spans="6:15" x14ac:dyDescent="0.3">
      <c r="F1624">
        <f>MONTH(Table13[[#This Row],[Date  (DMY)]])</f>
        <v>1</v>
      </c>
      <c r="G1624" s="2"/>
      <c r="L1624" s="5"/>
      <c r="M1624" s="4">
        <f>M1623-Table13[[#This Row],[Debits]]+Table13[[#This Row],[Income]]</f>
        <v>2805.21</v>
      </c>
      <c r="N1624" t="str">
        <f>IF(AND(Table13[[#This Row],[Category]]="pay",NOT(Table13[[#This Row],[Debits]]=0)),"bad","good")</f>
        <v>good</v>
      </c>
      <c r="O1624" s="5"/>
    </row>
    <row r="1625" spans="6:15" x14ac:dyDescent="0.3">
      <c r="F1625">
        <f>MONTH(Table13[[#This Row],[Date  (DMY)]])</f>
        <v>1</v>
      </c>
      <c r="G1625" s="2"/>
      <c r="L1625" s="5"/>
      <c r="M1625" s="4">
        <f>M1624-Table13[[#This Row],[Debits]]+Table13[[#This Row],[Income]]</f>
        <v>2805.21</v>
      </c>
      <c r="N1625" t="str">
        <f>IF(AND(Table13[[#This Row],[Category]]="pay",NOT(Table13[[#This Row],[Debits]]=0)),"bad","good")</f>
        <v>good</v>
      </c>
      <c r="O1625" s="5"/>
    </row>
    <row r="1626" spans="6:15" x14ac:dyDescent="0.3">
      <c r="F1626">
        <f>MONTH(Table13[[#This Row],[Date  (DMY)]])</f>
        <v>1</v>
      </c>
      <c r="G1626" s="2"/>
      <c r="L1626" s="5"/>
      <c r="M1626" s="4">
        <f>M1625-Table13[[#This Row],[Debits]]+Table13[[#This Row],[Income]]</f>
        <v>2805.21</v>
      </c>
      <c r="N1626" t="str">
        <f>IF(AND(Table13[[#This Row],[Category]]="pay",NOT(Table13[[#This Row],[Debits]]=0)),"bad","good")</f>
        <v>good</v>
      </c>
      <c r="O1626" s="5"/>
    </row>
    <row r="1627" spans="6:15" x14ac:dyDescent="0.3">
      <c r="F1627">
        <f>MONTH(Table13[[#This Row],[Date  (DMY)]])</f>
        <v>1</v>
      </c>
      <c r="G1627" s="2"/>
      <c r="L1627" s="5"/>
      <c r="M1627" s="4">
        <f>M1626-Table13[[#This Row],[Debits]]+Table13[[#This Row],[Income]]</f>
        <v>2805.21</v>
      </c>
      <c r="N1627" t="str">
        <f>IF(AND(Table13[[#This Row],[Category]]="pay",NOT(Table13[[#This Row],[Debits]]=0)),"bad","good")</f>
        <v>good</v>
      </c>
      <c r="O1627" s="5"/>
    </row>
    <row r="1628" spans="6:15" x14ac:dyDescent="0.3">
      <c r="F1628">
        <f>MONTH(Table13[[#This Row],[Date  (DMY)]])</f>
        <v>1</v>
      </c>
      <c r="G1628" s="2"/>
      <c r="L1628" s="5"/>
      <c r="M1628" s="4">
        <f>M1627-Table13[[#This Row],[Debits]]+Table13[[#This Row],[Income]]</f>
        <v>2805.21</v>
      </c>
      <c r="N1628" t="str">
        <f>IF(AND(Table13[[#This Row],[Category]]="pay",NOT(Table13[[#This Row],[Debits]]=0)),"bad","good")</f>
        <v>good</v>
      </c>
      <c r="O1628" s="5"/>
    </row>
    <row r="1629" spans="6:15" x14ac:dyDescent="0.3">
      <c r="F1629">
        <f>MONTH(Table13[[#This Row],[Date  (DMY)]])</f>
        <v>1</v>
      </c>
      <c r="G1629" s="2"/>
      <c r="L1629" s="5"/>
      <c r="M1629" s="4">
        <f>M1628-Table13[[#This Row],[Debits]]+Table13[[#This Row],[Income]]</f>
        <v>2805.21</v>
      </c>
      <c r="N1629" t="str">
        <f>IF(AND(Table13[[#This Row],[Category]]="pay",NOT(Table13[[#This Row],[Debits]]=0)),"bad","good")</f>
        <v>good</v>
      </c>
      <c r="O1629" s="5"/>
    </row>
    <row r="1630" spans="6:15" x14ac:dyDescent="0.3">
      <c r="F1630">
        <f>MONTH(Table13[[#This Row],[Date  (DMY)]])</f>
        <v>1</v>
      </c>
      <c r="G1630" s="2"/>
      <c r="L1630" s="5"/>
      <c r="M1630" s="4">
        <f>M1629-Table13[[#This Row],[Debits]]+Table13[[#This Row],[Income]]</f>
        <v>2805.21</v>
      </c>
      <c r="N1630" t="str">
        <f>IF(AND(Table13[[#This Row],[Category]]="pay",NOT(Table13[[#This Row],[Debits]]=0)),"bad","good")</f>
        <v>good</v>
      </c>
      <c r="O1630" s="5"/>
    </row>
    <row r="1631" spans="6:15" x14ac:dyDescent="0.3">
      <c r="F1631">
        <f>MONTH(Table13[[#This Row],[Date  (DMY)]])</f>
        <v>1</v>
      </c>
      <c r="G1631" s="2"/>
      <c r="L1631" s="5"/>
      <c r="M1631" s="4">
        <f>M1630-Table13[[#This Row],[Debits]]+Table13[[#This Row],[Income]]</f>
        <v>2805.21</v>
      </c>
      <c r="N1631" t="str">
        <f>IF(AND(Table13[[#This Row],[Category]]="pay",NOT(Table13[[#This Row],[Debits]]=0)),"bad","good")</f>
        <v>good</v>
      </c>
      <c r="O1631" s="5"/>
    </row>
    <row r="1632" spans="6:15" x14ac:dyDescent="0.3">
      <c r="F1632">
        <f>MONTH(Table13[[#This Row],[Date  (DMY)]])</f>
        <v>1</v>
      </c>
      <c r="G1632" s="2"/>
      <c r="L1632" s="5"/>
      <c r="M1632" s="4">
        <f>M1631-Table13[[#This Row],[Debits]]+Table13[[#This Row],[Income]]</f>
        <v>2805.21</v>
      </c>
      <c r="N1632" t="str">
        <f>IF(AND(Table13[[#This Row],[Category]]="pay",NOT(Table13[[#This Row],[Debits]]=0)),"bad","good")</f>
        <v>good</v>
      </c>
      <c r="O1632" s="5"/>
    </row>
    <row r="1633" spans="6:15" x14ac:dyDescent="0.3">
      <c r="F1633">
        <f>MONTH(Table13[[#This Row],[Date  (DMY)]])</f>
        <v>1</v>
      </c>
      <c r="G1633" s="2"/>
      <c r="L1633" s="5"/>
      <c r="M1633" s="4">
        <f>M1632-Table13[[#This Row],[Debits]]+Table13[[#This Row],[Income]]</f>
        <v>2805.21</v>
      </c>
      <c r="N1633" t="str">
        <f>IF(AND(Table13[[#This Row],[Category]]="pay",NOT(Table13[[#This Row],[Debits]]=0)),"bad","good")</f>
        <v>good</v>
      </c>
      <c r="O1633" s="5"/>
    </row>
    <row r="1634" spans="6:15" x14ac:dyDescent="0.3">
      <c r="F1634">
        <f>MONTH(Table13[[#This Row],[Date  (DMY)]])</f>
        <v>1</v>
      </c>
      <c r="G1634" s="2"/>
      <c r="L1634" s="5"/>
      <c r="M1634" s="4">
        <f>M1633-Table13[[#This Row],[Debits]]+Table13[[#This Row],[Income]]</f>
        <v>2805.21</v>
      </c>
      <c r="N1634" t="str">
        <f>IF(AND(Table13[[#This Row],[Category]]="pay",NOT(Table13[[#This Row],[Debits]]=0)),"bad","good")</f>
        <v>good</v>
      </c>
      <c r="O1634" s="5"/>
    </row>
    <row r="1635" spans="6:15" x14ac:dyDescent="0.3">
      <c r="F1635">
        <f>MONTH(Table13[[#This Row],[Date  (DMY)]])</f>
        <v>1</v>
      </c>
      <c r="G1635" s="2"/>
      <c r="L1635" s="5"/>
      <c r="M1635" s="4">
        <f>M1634-Table13[[#This Row],[Debits]]+Table13[[#This Row],[Income]]</f>
        <v>2805.21</v>
      </c>
      <c r="N1635" t="str">
        <f>IF(AND(Table13[[#This Row],[Category]]="pay",NOT(Table13[[#This Row],[Debits]]=0)),"bad","good")</f>
        <v>good</v>
      </c>
      <c r="O1635" s="5"/>
    </row>
    <row r="1636" spans="6:15" x14ac:dyDescent="0.3">
      <c r="F1636">
        <f>MONTH(Table13[[#This Row],[Date  (DMY)]])</f>
        <v>1</v>
      </c>
      <c r="G1636" s="2"/>
      <c r="L1636" s="5"/>
      <c r="M1636" s="4">
        <f>M1635-Table13[[#This Row],[Debits]]+Table13[[#This Row],[Income]]</f>
        <v>2805.21</v>
      </c>
      <c r="N1636" t="str">
        <f>IF(AND(Table13[[#This Row],[Category]]="pay",NOT(Table13[[#This Row],[Debits]]=0)),"bad","good")</f>
        <v>good</v>
      </c>
      <c r="O1636" s="5"/>
    </row>
    <row r="1637" spans="6:15" x14ac:dyDescent="0.3">
      <c r="F1637">
        <f>MONTH(Table13[[#This Row],[Date  (DMY)]])</f>
        <v>1</v>
      </c>
      <c r="G1637" s="2"/>
      <c r="L1637" s="5"/>
      <c r="M1637" s="4">
        <f>M1636-Table13[[#This Row],[Debits]]+Table13[[#This Row],[Income]]</f>
        <v>2805.21</v>
      </c>
      <c r="N1637" t="str">
        <f>IF(AND(Table13[[#This Row],[Category]]="pay",NOT(Table13[[#This Row],[Debits]]=0)),"bad","good")</f>
        <v>good</v>
      </c>
      <c r="O1637" s="5"/>
    </row>
    <row r="1638" spans="6:15" x14ac:dyDescent="0.3">
      <c r="F1638">
        <f>MONTH(Table13[[#This Row],[Date  (DMY)]])</f>
        <v>1</v>
      </c>
      <c r="G1638" s="2"/>
      <c r="L1638" s="5"/>
      <c r="M1638" s="4">
        <f>M1637-Table13[[#This Row],[Debits]]+Table13[[#This Row],[Income]]</f>
        <v>2805.21</v>
      </c>
      <c r="N1638" t="str">
        <f>IF(AND(Table13[[#This Row],[Category]]="pay",NOT(Table13[[#This Row],[Debits]]=0)),"bad","good")</f>
        <v>good</v>
      </c>
      <c r="O1638" s="5"/>
    </row>
    <row r="1639" spans="6:15" x14ac:dyDescent="0.3">
      <c r="F1639">
        <f>MONTH(Table13[[#This Row],[Date  (DMY)]])</f>
        <v>1</v>
      </c>
      <c r="G1639" s="2"/>
      <c r="L1639" s="5"/>
      <c r="M1639" s="4">
        <f>M1638-Table13[[#This Row],[Debits]]+Table13[[#This Row],[Income]]</f>
        <v>2805.21</v>
      </c>
      <c r="N1639" t="str">
        <f>IF(AND(Table13[[#This Row],[Category]]="pay",NOT(Table13[[#This Row],[Debits]]=0)),"bad","good")</f>
        <v>good</v>
      </c>
      <c r="O1639" s="5"/>
    </row>
    <row r="1640" spans="6:15" x14ac:dyDescent="0.3">
      <c r="F1640">
        <f>MONTH(Table13[[#This Row],[Date  (DMY)]])</f>
        <v>1</v>
      </c>
      <c r="G1640" s="2"/>
      <c r="L1640" s="5"/>
      <c r="M1640" s="4">
        <f>M1639-Table13[[#This Row],[Debits]]+Table13[[#This Row],[Income]]</f>
        <v>2805.21</v>
      </c>
      <c r="N1640" t="str">
        <f>IF(AND(Table13[[#This Row],[Category]]="pay",NOT(Table13[[#This Row],[Debits]]=0)),"bad","good")</f>
        <v>good</v>
      </c>
      <c r="O1640" s="5"/>
    </row>
    <row r="1641" spans="6:15" x14ac:dyDescent="0.3">
      <c r="F1641">
        <f>MONTH(Table13[[#This Row],[Date  (DMY)]])</f>
        <v>1</v>
      </c>
      <c r="G1641" s="2"/>
      <c r="L1641" s="5"/>
      <c r="M1641" s="4">
        <f>M1640-Table13[[#This Row],[Debits]]+Table13[[#This Row],[Income]]</f>
        <v>2805.21</v>
      </c>
      <c r="N1641" t="str">
        <f>IF(AND(Table13[[#This Row],[Category]]="pay",NOT(Table13[[#This Row],[Debits]]=0)),"bad","good")</f>
        <v>good</v>
      </c>
      <c r="O1641" s="5"/>
    </row>
    <row r="1642" spans="6:15" x14ac:dyDescent="0.3">
      <c r="F1642">
        <f>MONTH(Table13[[#This Row],[Date  (DMY)]])</f>
        <v>1</v>
      </c>
      <c r="G1642" s="2"/>
      <c r="L1642" s="5"/>
      <c r="M1642" s="4">
        <f>M1641-Table13[[#This Row],[Debits]]+Table13[[#This Row],[Income]]</f>
        <v>2805.21</v>
      </c>
      <c r="N1642" t="str">
        <f>IF(AND(Table13[[#This Row],[Category]]="pay",NOT(Table13[[#This Row],[Debits]]=0)),"bad","good")</f>
        <v>good</v>
      </c>
      <c r="O1642" s="5"/>
    </row>
    <row r="1643" spans="6:15" x14ac:dyDescent="0.3">
      <c r="F1643">
        <f>MONTH(Table13[[#This Row],[Date  (DMY)]])</f>
        <v>1</v>
      </c>
      <c r="G1643" s="2"/>
      <c r="L1643" s="5"/>
      <c r="M1643" s="4">
        <f>M1642-Table13[[#This Row],[Debits]]+Table13[[#This Row],[Income]]</f>
        <v>2805.21</v>
      </c>
      <c r="N1643" t="str">
        <f>IF(AND(Table13[[#This Row],[Category]]="pay",NOT(Table13[[#This Row],[Debits]]=0)),"bad","good")</f>
        <v>good</v>
      </c>
      <c r="O1643" s="5"/>
    </row>
    <row r="1644" spans="6:15" x14ac:dyDescent="0.3">
      <c r="F1644">
        <f>MONTH(Table13[[#This Row],[Date  (DMY)]])</f>
        <v>1</v>
      </c>
      <c r="G1644" s="2"/>
      <c r="L1644" s="5"/>
      <c r="M1644" s="4">
        <f>M1643-Table13[[#This Row],[Debits]]+Table13[[#This Row],[Income]]</f>
        <v>2805.21</v>
      </c>
      <c r="N1644" t="str">
        <f>IF(AND(Table13[[#This Row],[Category]]="pay",NOT(Table13[[#This Row],[Debits]]=0)),"bad","good")</f>
        <v>good</v>
      </c>
      <c r="O1644" s="5"/>
    </row>
    <row r="1645" spans="6:15" x14ac:dyDescent="0.3">
      <c r="F1645">
        <f>MONTH(Table13[[#This Row],[Date  (DMY)]])</f>
        <v>1</v>
      </c>
      <c r="G1645" s="2"/>
      <c r="L1645" s="5"/>
      <c r="M1645" s="4">
        <f>M1644-Table13[[#This Row],[Debits]]+Table13[[#This Row],[Income]]</f>
        <v>2805.21</v>
      </c>
      <c r="N1645" t="str">
        <f>IF(AND(Table13[[#This Row],[Category]]="pay",NOT(Table13[[#This Row],[Debits]]=0)),"bad","good")</f>
        <v>good</v>
      </c>
      <c r="O1645" s="5"/>
    </row>
    <row r="1646" spans="6:15" x14ac:dyDescent="0.3">
      <c r="F1646">
        <f>MONTH(Table13[[#This Row],[Date  (DMY)]])</f>
        <v>1</v>
      </c>
      <c r="G1646" s="2"/>
      <c r="L1646" s="5"/>
      <c r="M1646" s="4">
        <f>M1645-Table13[[#This Row],[Debits]]+Table13[[#This Row],[Income]]</f>
        <v>2805.21</v>
      </c>
      <c r="N1646" t="str">
        <f>IF(AND(Table13[[#This Row],[Category]]="pay",NOT(Table13[[#This Row],[Debits]]=0)),"bad","good")</f>
        <v>good</v>
      </c>
      <c r="O1646" s="5"/>
    </row>
    <row r="1647" spans="6:15" x14ac:dyDescent="0.3">
      <c r="F1647">
        <f>MONTH(Table13[[#This Row],[Date  (DMY)]])</f>
        <v>1</v>
      </c>
      <c r="G1647" s="2"/>
      <c r="L1647" s="5"/>
      <c r="M1647" s="4">
        <f>M1646-Table13[[#This Row],[Debits]]+Table13[[#This Row],[Income]]</f>
        <v>2805.21</v>
      </c>
      <c r="N1647" t="str">
        <f>IF(AND(Table13[[#This Row],[Category]]="pay",NOT(Table13[[#This Row],[Debits]]=0)),"bad","good")</f>
        <v>good</v>
      </c>
      <c r="O1647" s="5"/>
    </row>
    <row r="1648" spans="6:15" x14ac:dyDescent="0.3">
      <c r="F1648">
        <f>MONTH(Table13[[#This Row],[Date  (DMY)]])</f>
        <v>1</v>
      </c>
      <c r="G1648" s="2"/>
      <c r="L1648" s="5"/>
      <c r="M1648" s="4">
        <f>M1647-Table13[[#This Row],[Debits]]+Table13[[#This Row],[Income]]</f>
        <v>2805.21</v>
      </c>
      <c r="N1648" t="str">
        <f>IF(AND(Table13[[#This Row],[Category]]="pay",NOT(Table13[[#This Row],[Debits]]=0)),"bad","good")</f>
        <v>good</v>
      </c>
      <c r="O1648" s="5"/>
    </row>
    <row r="1649" spans="6:15" x14ac:dyDescent="0.3">
      <c r="F1649">
        <f>MONTH(Table13[[#This Row],[Date  (DMY)]])</f>
        <v>1</v>
      </c>
      <c r="G1649" s="2"/>
      <c r="L1649" s="5"/>
      <c r="M1649" s="4">
        <f>M1648-Table13[[#This Row],[Debits]]+Table13[[#This Row],[Income]]</f>
        <v>2805.21</v>
      </c>
      <c r="N1649" t="str">
        <f>IF(AND(Table13[[#This Row],[Category]]="pay",NOT(Table13[[#This Row],[Debits]]=0)),"bad","good")</f>
        <v>good</v>
      </c>
      <c r="O1649" s="5"/>
    </row>
    <row r="1650" spans="6:15" x14ac:dyDescent="0.3">
      <c r="F1650">
        <f>MONTH(Table13[[#This Row],[Date  (DMY)]])</f>
        <v>1</v>
      </c>
      <c r="G1650" s="2"/>
      <c r="L1650" s="5"/>
      <c r="M1650" s="4">
        <f>M1649-Table13[[#This Row],[Debits]]+Table13[[#This Row],[Income]]</f>
        <v>2805.21</v>
      </c>
      <c r="N1650" t="str">
        <f>IF(AND(Table13[[#This Row],[Category]]="pay",NOT(Table13[[#This Row],[Debits]]=0)),"bad","good")</f>
        <v>good</v>
      </c>
      <c r="O1650" s="5"/>
    </row>
    <row r="1651" spans="6:15" x14ac:dyDescent="0.3">
      <c r="F1651">
        <f>MONTH(Table13[[#This Row],[Date  (DMY)]])</f>
        <v>1</v>
      </c>
      <c r="G1651" s="2"/>
      <c r="L1651" s="5"/>
      <c r="M1651" s="4">
        <f>M1650-Table13[[#This Row],[Debits]]+Table13[[#This Row],[Income]]</f>
        <v>2805.21</v>
      </c>
      <c r="N1651" t="str">
        <f>IF(AND(Table13[[#This Row],[Category]]="pay",NOT(Table13[[#This Row],[Debits]]=0)),"bad","good")</f>
        <v>good</v>
      </c>
      <c r="O1651" s="5"/>
    </row>
    <row r="1652" spans="6:15" x14ac:dyDescent="0.3">
      <c r="F1652">
        <f>MONTH(Table13[[#This Row],[Date  (DMY)]])</f>
        <v>1</v>
      </c>
      <c r="G1652" s="2"/>
      <c r="L1652" s="5"/>
      <c r="M1652" s="4">
        <f>M1651-Table13[[#This Row],[Debits]]+Table13[[#This Row],[Income]]</f>
        <v>2805.21</v>
      </c>
      <c r="N1652" t="str">
        <f>IF(AND(Table13[[#This Row],[Category]]="pay",NOT(Table13[[#This Row],[Debits]]=0)),"bad","good")</f>
        <v>good</v>
      </c>
      <c r="O1652" s="5"/>
    </row>
    <row r="1653" spans="6:15" x14ac:dyDescent="0.3">
      <c r="F1653">
        <f>MONTH(Table13[[#This Row],[Date  (DMY)]])</f>
        <v>1</v>
      </c>
      <c r="G1653" s="2"/>
      <c r="L1653" s="5"/>
      <c r="M1653" s="4">
        <f>M1652-Table13[[#This Row],[Debits]]+Table13[[#This Row],[Income]]</f>
        <v>2805.21</v>
      </c>
      <c r="N1653" t="str">
        <f>IF(AND(Table13[[#This Row],[Category]]="pay",NOT(Table13[[#This Row],[Debits]]=0)),"bad","good")</f>
        <v>good</v>
      </c>
      <c r="O1653" s="5"/>
    </row>
    <row r="1654" spans="6:15" x14ac:dyDescent="0.3">
      <c r="F1654">
        <f>MONTH(Table13[[#This Row],[Date  (DMY)]])</f>
        <v>1</v>
      </c>
      <c r="G1654" s="2"/>
      <c r="L1654" s="5"/>
      <c r="M1654" s="4">
        <f>M1653-Table13[[#This Row],[Debits]]+Table13[[#This Row],[Income]]</f>
        <v>2805.21</v>
      </c>
      <c r="N1654" t="str">
        <f>IF(AND(Table13[[#This Row],[Category]]="pay",NOT(Table13[[#This Row],[Debits]]=0)),"bad","good")</f>
        <v>good</v>
      </c>
      <c r="O1654" s="5"/>
    </row>
    <row r="1655" spans="6:15" x14ac:dyDescent="0.3">
      <c r="F1655">
        <f>MONTH(Table13[[#This Row],[Date  (DMY)]])</f>
        <v>1</v>
      </c>
      <c r="G1655" s="2"/>
      <c r="L1655" s="5"/>
      <c r="M1655" s="4">
        <f>M1654-Table13[[#This Row],[Debits]]+Table13[[#This Row],[Income]]</f>
        <v>2805.21</v>
      </c>
      <c r="N1655" t="str">
        <f>IF(AND(Table13[[#This Row],[Category]]="pay",NOT(Table13[[#This Row],[Debits]]=0)),"bad","good")</f>
        <v>good</v>
      </c>
      <c r="O1655" s="5"/>
    </row>
    <row r="1656" spans="6:15" x14ac:dyDescent="0.3">
      <c r="F1656">
        <f>MONTH(Table13[[#This Row],[Date  (DMY)]])</f>
        <v>1</v>
      </c>
      <c r="G1656" s="2"/>
      <c r="L1656" s="5"/>
      <c r="M1656" s="4">
        <f>M1655-Table13[[#This Row],[Debits]]+Table13[[#This Row],[Income]]</f>
        <v>2805.21</v>
      </c>
      <c r="N1656" t="str">
        <f>IF(AND(Table13[[#This Row],[Category]]="pay",NOT(Table13[[#This Row],[Debits]]=0)),"bad","good")</f>
        <v>good</v>
      </c>
      <c r="O1656" s="5"/>
    </row>
    <row r="1657" spans="6:15" x14ac:dyDescent="0.3">
      <c r="F1657">
        <f>MONTH(Table13[[#This Row],[Date  (DMY)]])</f>
        <v>1</v>
      </c>
      <c r="G1657" s="2"/>
      <c r="L1657" s="5"/>
      <c r="M1657" s="4">
        <f>M1656-Table13[[#This Row],[Debits]]+Table13[[#This Row],[Income]]</f>
        <v>2805.21</v>
      </c>
      <c r="N1657" t="str">
        <f>IF(AND(Table13[[#This Row],[Category]]="pay",NOT(Table13[[#This Row],[Debits]]=0)),"bad","good")</f>
        <v>good</v>
      </c>
      <c r="O1657" s="5"/>
    </row>
    <row r="1658" spans="6:15" x14ac:dyDescent="0.3">
      <c r="F1658">
        <f>MONTH(Table13[[#This Row],[Date  (DMY)]])</f>
        <v>1</v>
      </c>
      <c r="G1658" s="2"/>
      <c r="L1658" s="5"/>
      <c r="M1658" s="4">
        <f>M1657-Table13[[#This Row],[Debits]]+Table13[[#This Row],[Income]]</f>
        <v>2805.21</v>
      </c>
      <c r="N1658" t="str">
        <f>IF(AND(Table13[[#This Row],[Category]]="pay",NOT(Table13[[#This Row],[Debits]]=0)),"bad","good")</f>
        <v>good</v>
      </c>
      <c r="O1658" s="5"/>
    </row>
    <row r="1659" spans="6:15" x14ac:dyDescent="0.3">
      <c r="F1659">
        <f>MONTH(Table13[[#This Row],[Date  (DMY)]])</f>
        <v>1</v>
      </c>
      <c r="G1659" s="2"/>
      <c r="L1659" s="5"/>
      <c r="M1659" s="4">
        <f>M1658-Table13[[#This Row],[Debits]]+Table13[[#This Row],[Income]]</f>
        <v>2805.21</v>
      </c>
      <c r="N1659" t="str">
        <f>IF(AND(Table13[[#This Row],[Category]]="pay",NOT(Table13[[#This Row],[Debits]]=0)),"bad","good")</f>
        <v>good</v>
      </c>
      <c r="O1659" s="5"/>
    </row>
    <row r="1660" spans="6:15" x14ac:dyDescent="0.3">
      <c r="F1660">
        <f>MONTH(Table13[[#This Row],[Date  (DMY)]])</f>
        <v>1</v>
      </c>
      <c r="G1660" s="2"/>
      <c r="L1660" s="5"/>
      <c r="M1660" s="4">
        <f>M1659-Table13[[#This Row],[Debits]]+Table13[[#This Row],[Income]]</f>
        <v>2805.21</v>
      </c>
      <c r="N1660" t="str">
        <f>IF(AND(Table13[[#This Row],[Category]]="pay",NOT(Table13[[#This Row],[Debits]]=0)),"bad","good")</f>
        <v>good</v>
      </c>
      <c r="O1660" s="5"/>
    </row>
    <row r="1661" spans="6:15" x14ac:dyDescent="0.3">
      <c r="F1661">
        <f>MONTH(Table13[[#This Row],[Date  (DMY)]])</f>
        <v>1</v>
      </c>
      <c r="G1661" s="2"/>
      <c r="L1661" s="5"/>
      <c r="M1661" s="4">
        <f>M1660-Table13[[#This Row],[Debits]]+Table13[[#This Row],[Income]]</f>
        <v>2805.21</v>
      </c>
      <c r="N1661" t="str">
        <f>IF(AND(Table13[[#This Row],[Category]]="pay",NOT(Table13[[#This Row],[Debits]]=0)),"bad","good")</f>
        <v>good</v>
      </c>
      <c r="O1661" s="5"/>
    </row>
    <row r="1662" spans="6:15" x14ac:dyDescent="0.3">
      <c r="F1662">
        <f>MONTH(Table13[[#This Row],[Date  (DMY)]])</f>
        <v>1</v>
      </c>
      <c r="G1662" s="2"/>
      <c r="L1662" s="5"/>
      <c r="M1662" s="4">
        <f>M1661-Table13[[#This Row],[Debits]]+Table13[[#This Row],[Income]]</f>
        <v>2805.21</v>
      </c>
      <c r="N1662" t="str">
        <f>IF(AND(Table13[[#This Row],[Category]]="pay",NOT(Table13[[#This Row],[Debits]]=0)),"bad","good")</f>
        <v>good</v>
      </c>
      <c r="O1662" s="5"/>
    </row>
    <row r="1663" spans="6:15" x14ac:dyDescent="0.3">
      <c r="F1663">
        <f>MONTH(Table13[[#This Row],[Date  (DMY)]])</f>
        <v>1</v>
      </c>
      <c r="G1663" s="2"/>
      <c r="L1663" s="5"/>
      <c r="M1663" s="4">
        <f>M1662-Table13[[#This Row],[Debits]]+Table13[[#This Row],[Income]]</f>
        <v>2805.21</v>
      </c>
      <c r="N1663" t="str">
        <f>IF(AND(Table13[[#This Row],[Category]]="pay",NOT(Table13[[#This Row],[Debits]]=0)),"bad","good")</f>
        <v>good</v>
      </c>
      <c r="O1663" s="5"/>
    </row>
    <row r="1664" spans="6:15" x14ac:dyDescent="0.3">
      <c r="F1664">
        <f>MONTH(Table13[[#This Row],[Date  (DMY)]])</f>
        <v>1</v>
      </c>
      <c r="G1664" s="2"/>
      <c r="L1664" s="5"/>
      <c r="M1664" s="4">
        <f>M1663-Table13[[#This Row],[Debits]]+Table13[[#This Row],[Income]]</f>
        <v>2805.21</v>
      </c>
      <c r="N1664" t="str">
        <f>IF(AND(Table13[[#This Row],[Category]]="pay",NOT(Table13[[#This Row],[Debits]]=0)),"bad","good")</f>
        <v>good</v>
      </c>
      <c r="O1664" s="5"/>
    </row>
    <row r="1665" spans="6:15" x14ac:dyDescent="0.3">
      <c r="F1665">
        <f>MONTH(Table13[[#This Row],[Date  (DMY)]])</f>
        <v>1</v>
      </c>
      <c r="G1665" s="2"/>
      <c r="L1665" s="5"/>
      <c r="M1665" s="4">
        <f>M1664-Table13[[#This Row],[Debits]]+Table13[[#This Row],[Income]]</f>
        <v>2805.21</v>
      </c>
      <c r="N1665" t="str">
        <f>IF(AND(Table13[[#This Row],[Category]]="pay",NOT(Table13[[#This Row],[Debits]]=0)),"bad","good")</f>
        <v>good</v>
      </c>
      <c r="O1665" s="5"/>
    </row>
    <row r="1666" spans="6:15" x14ac:dyDescent="0.3">
      <c r="F1666">
        <f>MONTH(Table13[[#This Row],[Date  (DMY)]])</f>
        <v>1</v>
      </c>
      <c r="G1666" s="2"/>
      <c r="L1666" s="5"/>
      <c r="M1666" s="4">
        <f>M1665-Table13[[#This Row],[Debits]]+Table13[[#This Row],[Income]]</f>
        <v>2805.21</v>
      </c>
      <c r="N1666" t="str">
        <f>IF(AND(Table13[[#This Row],[Category]]="pay",NOT(Table13[[#This Row],[Debits]]=0)),"bad","good")</f>
        <v>good</v>
      </c>
      <c r="O1666" s="5"/>
    </row>
    <row r="1667" spans="6:15" x14ac:dyDescent="0.3">
      <c r="F1667">
        <f>MONTH(Table13[[#This Row],[Date  (DMY)]])</f>
        <v>1</v>
      </c>
      <c r="G1667" s="2"/>
      <c r="L1667" s="5"/>
      <c r="M1667" s="4">
        <f>M1666-Table13[[#This Row],[Debits]]+Table13[[#This Row],[Income]]</f>
        <v>2805.21</v>
      </c>
      <c r="N1667" t="str">
        <f>IF(AND(Table13[[#This Row],[Category]]="pay",NOT(Table13[[#This Row],[Debits]]=0)),"bad","good")</f>
        <v>good</v>
      </c>
      <c r="O1667" s="5"/>
    </row>
    <row r="1668" spans="6:15" x14ac:dyDescent="0.3">
      <c r="F1668">
        <f>MONTH(Table13[[#This Row],[Date  (DMY)]])</f>
        <v>1</v>
      </c>
      <c r="G1668" s="2"/>
      <c r="L1668" s="5"/>
      <c r="M1668" s="4">
        <f>M1667-Table13[[#This Row],[Debits]]+Table13[[#This Row],[Income]]</f>
        <v>2805.21</v>
      </c>
      <c r="N1668" t="str">
        <f>IF(AND(Table13[[#This Row],[Category]]="pay",NOT(Table13[[#This Row],[Debits]]=0)),"bad","good")</f>
        <v>good</v>
      </c>
      <c r="O1668" s="5"/>
    </row>
    <row r="1669" spans="6:15" x14ac:dyDescent="0.3">
      <c r="F1669">
        <f>MONTH(Table13[[#This Row],[Date  (DMY)]])</f>
        <v>1</v>
      </c>
      <c r="G1669" s="2"/>
      <c r="L1669" s="5"/>
      <c r="M1669" s="4">
        <f>M1668-Table13[[#This Row],[Debits]]+Table13[[#This Row],[Income]]</f>
        <v>2805.21</v>
      </c>
      <c r="N1669" t="str">
        <f>IF(AND(Table13[[#This Row],[Category]]="pay",NOT(Table13[[#This Row],[Debits]]=0)),"bad","good")</f>
        <v>good</v>
      </c>
      <c r="O1669" s="5"/>
    </row>
    <row r="1670" spans="6:15" x14ac:dyDescent="0.3">
      <c r="F1670">
        <f>MONTH(Table13[[#This Row],[Date  (DMY)]])</f>
        <v>1</v>
      </c>
      <c r="G1670" s="2"/>
      <c r="L1670" s="5"/>
      <c r="M1670" s="4">
        <f>M1669-Table13[[#This Row],[Debits]]+Table13[[#This Row],[Income]]</f>
        <v>2805.21</v>
      </c>
      <c r="N1670" t="str">
        <f>IF(AND(Table13[[#This Row],[Category]]="pay",NOT(Table13[[#This Row],[Debits]]=0)),"bad","good")</f>
        <v>good</v>
      </c>
      <c r="O1670" s="5"/>
    </row>
    <row r="1671" spans="6:15" x14ac:dyDescent="0.3">
      <c r="F1671">
        <f>MONTH(Table13[[#This Row],[Date  (DMY)]])</f>
        <v>1</v>
      </c>
      <c r="G1671" s="2"/>
      <c r="L1671" s="5"/>
      <c r="M1671" s="4">
        <f>M1670-Table13[[#This Row],[Debits]]+Table13[[#This Row],[Income]]</f>
        <v>2805.21</v>
      </c>
      <c r="N1671" t="str">
        <f>IF(AND(Table13[[#This Row],[Category]]="pay",NOT(Table13[[#This Row],[Debits]]=0)),"bad","good")</f>
        <v>good</v>
      </c>
      <c r="O1671" s="5"/>
    </row>
    <row r="1672" spans="6:15" x14ac:dyDescent="0.3">
      <c r="F1672">
        <f>MONTH(Table13[[#This Row],[Date  (DMY)]])</f>
        <v>1</v>
      </c>
      <c r="G1672" s="2"/>
      <c r="L1672" s="5"/>
      <c r="M1672" s="4">
        <f>M1671-Table13[[#This Row],[Debits]]+Table13[[#This Row],[Income]]</f>
        <v>2805.21</v>
      </c>
      <c r="N1672" t="str">
        <f>IF(AND(Table13[[#This Row],[Category]]="pay",NOT(Table13[[#This Row],[Debits]]=0)),"bad","good")</f>
        <v>good</v>
      </c>
      <c r="O1672" s="5"/>
    </row>
    <row r="1673" spans="6:15" x14ac:dyDescent="0.3">
      <c r="F1673">
        <f>MONTH(Table13[[#This Row],[Date  (DMY)]])</f>
        <v>1</v>
      </c>
      <c r="G1673" s="2"/>
      <c r="L1673" s="5"/>
      <c r="M1673" s="4">
        <f>M1672-Table13[[#This Row],[Debits]]+Table13[[#This Row],[Income]]</f>
        <v>2805.21</v>
      </c>
      <c r="N1673" t="str">
        <f>IF(AND(Table13[[#This Row],[Category]]="pay",NOT(Table13[[#This Row],[Debits]]=0)),"bad","good")</f>
        <v>good</v>
      </c>
      <c r="O1673" s="5"/>
    </row>
    <row r="1674" spans="6:15" x14ac:dyDescent="0.3">
      <c r="F1674">
        <f>MONTH(Table13[[#This Row],[Date  (DMY)]])</f>
        <v>1</v>
      </c>
      <c r="G1674" s="2"/>
      <c r="L1674" s="5"/>
      <c r="M1674" s="4">
        <f>M1673-Table13[[#This Row],[Debits]]+Table13[[#This Row],[Income]]</f>
        <v>2805.21</v>
      </c>
      <c r="N1674" t="str">
        <f>IF(AND(Table13[[#This Row],[Category]]="pay",NOT(Table13[[#This Row],[Debits]]=0)),"bad","good")</f>
        <v>good</v>
      </c>
      <c r="O1674" s="5"/>
    </row>
    <row r="1675" spans="6:15" x14ac:dyDescent="0.3">
      <c r="F1675">
        <f>MONTH(Table13[[#This Row],[Date  (DMY)]])</f>
        <v>1</v>
      </c>
      <c r="G1675" s="2"/>
      <c r="L1675" s="5"/>
      <c r="M1675" s="4">
        <f>M1674-Table13[[#This Row],[Debits]]+Table13[[#This Row],[Income]]</f>
        <v>2805.21</v>
      </c>
      <c r="N1675" t="str">
        <f>IF(AND(Table13[[#This Row],[Category]]="pay",NOT(Table13[[#This Row],[Debits]]=0)),"bad","good")</f>
        <v>good</v>
      </c>
      <c r="O1675" s="5"/>
    </row>
    <row r="1676" spans="6:15" x14ac:dyDescent="0.3">
      <c r="F1676">
        <f>MONTH(Table13[[#This Row],[Date  (DMY)]])</f>
        <v>1</v>
      </c>
      <c r="G1676" s="2"/>
      <c r="L1676" s="5"/>
      <c r="M1676" s="4">
        <f>M1675-Table13[[#This Row],[Debits]]+Table13[[#This Row],[Income]]</f>
        <v>2805.21</v>
      </c>
      <c r="N1676" t="str">
        <f>IF(AND(Table13[[#This Row],[Category]]="pay",NOT(Table13[[#This Row],[Debits]]=0)),"bad","good")</f>
        <v>good</v>
      </c>
      <c r="O1676" s="5"/>
    </row>
    <row r="1677" spans="6:15" x14ac:dyDescent="0.3">
      <c r="F1677">
        <f>MONTH(Table13[[#This Row],[Date  (DMY)]])</f>
        <v>1</v>
      </c>
      <c r="G1677" s="2"/>
      <c r="L1677" s="5"/>
      <c r="M1677" s="4">
        <f>M1676-Table13[[#This Row],[Debits]]+Table13[[#This Row],[Income]]</f>
        <v>2805.21</v>
      </c>
      <c r="N1677" t="str">
        <f>IF(AND(Table13[[#This Row],[Category]]="pay",NOT(Table13[[#This Row],[Debits]]=0)),"bad","good")</f>
        <v>good</v>
      </c>
      <c r="O1677" s="5"/>
    </row>
    <row r="1678" spans="6:15" x14ac:dyDescent="0.3">
      <c r="F1678">
        <f>MONTH(Table13[[#This Row],[Date  (DMY)]])</f>
        <v>1</v>
      </c>
      <c r="G1678" s="2"/>
      <c r="L1678" s="5"/>
      <c r="M1678" s="4">
        <f>M1677-Table13[[#This Row],[Debits]]+Table13[[#This Row],[Income]]</f>
        <v>2805.21</v>
      </c>
      <c r="N1678" t="str">
        <f>IF(AND(Table13[[#This Row],[Category]]="pay",NOT(Table13[[#This Row],[Debits]]=0)),"bad","good")</f>
        <v>good</v>
      </c>
      <c r="O1678" s="5"/>
    </row>
    <row r="1679" spans="6:15" x14ac:dyDescent="0.3">
      <c r="F1679">
        <f>MONTH(Table13[[#This Row],[Date  (DMY)]])</f>
        <v>1</v>
      </c>
      <c r="G1679" s="2"/>
      <c r="L1679" s="5"/>
      <c r="M1679" s="4">
        <f>M1678-Table13[[#This Row],[Debits]]+Table13[[#This Row],[Income]]</f>
        <v>2805.21</v>
      </c>
      <c r="N1679" t="str">
        <f>IF(AND(Table13[[#This Row],[Category]]="pay",NOT(Table13[[#This Row],[Debits]]=0)),"bad","good")</f>
        <v>good</v>
      </c>
      <c r="O1679" s="5"/>
    </row>
    <row r="1680" spans="6:15" x14ac:dyDescent="0.3">
      <c r="F1680">
        <f>MONTH(Table13[[#This Row],[Date  (DMY)]])</f>
        <v>1</v>
      </c>
      <c r="G1680" s="2"/>
      <c r="L1680" s="5"/>
      <c r="M1680" s="4">
        <f>M1679-Table13[[#This Row],[Debits]]+Table13[[#This Row],[Income]]</f>
        <v>2805.21</v>
      </c>
      <c r="N1680" t="str">
        <f>IF(AND(Table13[[#This Row],[Category]]="pay",NOT(Table13[[#This Row],[Debits]]=0)),"bad","good")</f>
        <v>good</v>
      </c>
      <c r="O1680" s="5"/>
    </row>
    <row r="1681" spans="6:15" x14ac:dyDescent="0.3">
      <c r="F1681">
        <f>MONTH(Table13[[#This Row],[Date  (DMY)]])</f>
        <v>1</v>
      </c>
      <c r="G1681" s="2"/>
      <c r="L1681" s="5"/>
      <c r="M1681" s="4">
        <f>M1680-Table13[[#This Row],[Debits]]+Table13[[#This Row],[Income]]</f>
        <v>2805.21</v>
      </c>
      <c r="N1681" t="str">
        <f>IF(AND(Table13[[#This Row],[Category]]="pay",NOT(Table13[[#This Row],[Debits]]=0)),"bad","good")</f>
        <v>good</v>
      </c>
      <c r="O1681" s="5"/>
    </row>
    <row r="1682" spans="6:15" x14ac:dyDescent="0.3">
      <c r="F1682">
        <f>MONTH(Table13[[#This Row],[Date  (DMY)]])</f>
        <v>1</v>
      </c>
      <c r="G1682" s="2"/>
      <c r="L1682" s="5"/>
      <c r="M1682" s="4">
        <f>M1681-Table13[[#This Row],[Debits]]+Table13[[#This Row],[Income]]</f>
        <v>2805.21</v>
      </c>
      <c r="N1682" t="str">
        <f>IF(AND(Table13[[#This Row],[Category]]="pay",NOT(Table13[[#This Row],[Debits]]=0)),"bad","good")</f>
        <v>good</v>
      </c>
      <c r="O1682" s="5"/>
    </row>
    <row r="1683" spans="6:15" x14ac:dyDescent="0.3">
      <c r="F1683">
        <f>MONTH(Table13[[#This Row],[Date  (DMY)]])</f>
        <v>1</v>
      </c>
      <c r="G1683" s="2"/>
      <c r="L1683" s="5"/>
      <c r="M1683" s="4">
        <f>M1682-Table13[[#This Row],[Debits]]+Table13[[#This Row],[Income]]</f>
        <v>2805.21</v>
      </c>
      <c r="N1683" t="str">
        <f>IF(AND(Table13[[#This Row],[Category]]="pay",NOT(Table13[[#This Row],[Debits]]=0)),"bad","good")</f>
        <v>good</v>
      </c>
      <c r="O1683" s="5"/>
    </row>
    <row r="1684" spans="6:15" x14ac:dyDescent="0.3">
      <c r="F1684">
        <f>MONTH(Table13[[#This Row],[Date  (DMY)]])</f>
        <v>1</v>
      </c>
      <c r="G1684" s="2"/>
      <c r="L1684" s="5"/>
      <c r="M1684" s="4">
        <f>M1683-Table13[[#This Row],[Debits]]+Table13[[#This Row],[Income]]</f>
        <v>2805.21</v>
      </c>
      <c r="N1684" t="str">
        <f>IF(AND(Table13[[#This Row],[Category]]="pay",NOT(Table13[[#This Row],[Debits]]=0)),"bad","good")</f>
        <v>good</v>
      </c>
      <c r="O1684" s="5"/>
    </row>
    <row r="1685" spans="6:15" x14ac:dyDescent="0.3">
      <c r="F1685">
        <f>MONTH(Table13[[#This Row],[Date  (DMY)]])</f>
        <v>1</v>
      </c>
      <c r="G1685" s="2"/>
      <c r="L1685" s="5"/>
      <c r="M1685" s="4">
        <f>M1684-Table13[[#This Row],[Debits]]+Table13[[#This Row],[Income]]</f>
        <v>2805.21</v>
      </c>
      <c r="N1685" t="str">
        <f>IF(AND(Table13[[#This Row],[Category]]="pay",NOT(Table13[[#This Row],[Debits]]=0)),"bad","good")</f>
        <v>good</v>
      </c>
      <c r="O1685" s="5"/>
    </row>
    <row r="1686" spans="6:15" x14ac:dyDescent="0.3">
      <c r="F1686">
        <f>MONTH(Table13[[#This Row],[Date  (DMY)]])</f>
        <v>1</v>
      </c>
      <c r="G1686" s="2"/>
      <c r="L1686" s="5"/>
      <c r="M1686" s="4">
        <f>M1685-Table13[[#This Row],[Debits]]+Table13[[#This Row],[Income]]</f>
        <v>2805.21</v>
      </c>
      <c r="N1686" t="str">
        <f>IF(AND(Table13[[#This Row],[Category]]="pay",NOT(Table13[[#This Row],[Debits]]=0)),"bad","good")</f>
        <v>good</v>
      </c>
      <c r="O1686" s="5"/>
    </row>
    <row r="1687" spans="6:15" x14ac:dyDescent="0.3">
      <c r="F1687">
        <f>MONTH(Table13[[#This Row],[Date  (DMY)]])</f>
        <v>1</v>
      </c>
      <c r="G1687" s="2"/>
      <c r="L1687" s="5"/>
      <c r="M1687" s="4">
        <f>M1686-Table13[[#This Row],[Debits]]+Table13[[#This Row],[Income]]</f>
        <v>2805.21</v>
      </c>
      <c r="N1687" t="str">
        <f>IF(AND(Table13[[#This Row],[Category]]="pay",NOT(Table13[[#This Row],[Debits]]=0)),"bad","good")</f>
        <v>good</v>
      </c>
      <c r="O1687" s="5"/>
    </row>
    <row r="1688" spans="6:15" x14ac:dyDescent="0.3">
      <c r="F1688">
        <f>MONTH(Table13[[#This Row],[Date  (DMY)]])</f>
        <v>1</v>
      </c>
      <c r="G1688" s="2"/>
      <c r="L1688" s="5"/>
      <c r="M1688" s="4">
        <f>M1687-Table13[[#This Row],[Debits]]+Table13[[#This Row],[Income]]</f>
        <v>2805.21</v>
      </c>
      <c r="N1688" t="str">
        <f>IF(AND(Table13[[#This Row],[Category]]="pay",NOT(Table13[[#This Row],[Debits]]=0)),"bad","good")</f>
        <v>good</v>
      </c>
      <c r="O1688" s="5"/>
    </row>
    <row r="1689" spans="6:15" x14ac:dyDescent="0.3">
      <c r="F1689">
        <f>MONTH(Table13[[#This Row],[Date  (DMY)]])</f>
        <v>1</v>
      </c>
      <c r="G1689" s="2"/>
      <c r="L1689" s="5"/>
      <c r="M1689" s="4">
        <f>M1688-Table13[[#This Row],[Debits]]+Table13[[#This Row],[Income]]</f>
        <v>2805.21</v>
      </c>
      <c r="N1689" t="str">
        <f>IF(AND(Table13[[#This Row],[Category]]="pay",NOT(Table13[[#This Row],[Debits]]=0)),"bad","good")</f>
        <v>good</v>
      </c>
      <c r="O1689" s="5"/>
    </row>
    <row r="1690" spans="6:15" x14ac:dyDescent="0.3">
      <c r="F1690">
        <f>MONTH(Table13[[#This Row],[Date  (DMY)]])</f>
        <v>1</v>
      </c>
      <c r="G1690" s="2"/>
      <c r="L1690" s="5"/>
      <c r="M1690" s="4">
        <f>M1689-Table13[[#This Row],[Debits]]+Table13[[#This Row],[Income]]</f>
        <v>2805.21</v>
      </c>
      <c r="N1690" t="str">
        <f>IF(AND(Table13[[#This Row],[Category]]="pay",NOT(Table13[[#This Row],[Debits]]=0)),"bad","good")</f>
        <v>good</v>
      </c>
      <c r="O1690" s="5"/>
    </row>
    <row r="1691" spans="6:15" x14ac:dyDescent="0.3">
      <c r="F1691">
        <f>MONTH(Table13[[#This Row],[Date  (DMY)]])</f>
        <v>1</v>
      </c>
      <c r="G1691" s="2"/>
      <c r="L1691" s="5"/>
      <c r="M1691" s="4">
        <f>M1690-Table13[[#This Row],[Debits]]+Table13[[#This Row],[Income]]</f>
        <v>2805.21</v>
      </c>
      <c r="N1691" t="str">
        <f>IF(AND(Table13[[#This Row],[Category]]="pay",NOT(Table13[[#This Row],[Debits]]=0)),"bad","good")</f>
        <v>good</v>
      </c>
      <c r="O1691" s="5"/>
    </row>
    <row r="1692" spans="6:15" x14ac:dyDescent="0.3">
      <c r="F1692">
        <f>MONTH(Table13[[#This Row],[Date  (DMY)]])</f>
        <v>1</v>
      </c>
      <c r="G1692" s="2"/>
      <c r="L1692" s="5"/>
      <c r="M1692" s="4">
        <f>M1691-Table13[[#This Row],[Debits]]+Table13[[#This Row],[Income]]</f>
        <v>2805.21</v>
      </c>
      <c r="N1692" t="str">
        <f>IF(AND(Table13[[#This Row],[Category]]="pay",NOT(Table13[[#This Row],[Debits]]=0)),"bad","good")</f>
        <v>good</v>
      </c>
      <c r="O1692" s="5"/>
    </row>
    <row r="1693" spans="6:15" x14ac:dyDescent="0.3">
      <c r="F1693">
        <f>MONTH(Table13[[#This Row],[Date  (DMY)]])</f>
        <v>1</v>
      </c>
      <c r="G1693" s="2"/>
      <c r="L1693" s="5"/>
      <c r="M1693" s="4">
        <f>M1692-Table13[[#This Row],[Debits]]+Table13[[#This Row],[Income]]</f>
        <v>2805.21</v>
      </c>
      <c r="N1693" t="str">
        <f>IF(AND(Table13[[#This Row],[Category]]="pay",NOT(Table13[[#This Row],[Debits]]=0)),"bad","good")</f>
        <v>good</v>
      </c>
      <c r="O1693" s="5"/>
    </row>
    <row r="1694" spans="6:15" x14ac:dyDescent="0.3">
      <c r="F1694">
        <f>MONTH(Table13[[#This Row],[Date  (DMY)]])</f>
        <v>1</v>
      </c>
      <c r="G1694" s="2"/>
      <c r="L1694" s="5"/>
      <c r="M1694" s="4">
        <f>M1693-Table13[[#This Row],[Debits]]+Table13[[#This Row],[Income]]</f>
        <v>2805.21</v>
      </c>
      <c r="N1694" t="str">
        <f>IF(AND(Table13[[#This Row],[Category]]="pay",NOT(Table13[[#This Row],[Debits]]=0)),"bad","good")</f>
        <v>good</v>
      </c>
      <c r="O1694" s="5"/>
    </row>
    <row r="1695" spans="6:15" x14ac:dyDescent="0.3">
      <c r="F1695">
        <f>MONTH(Table13[[#This Row],[Date  (DMY)]])</f>
        <v>1</v>
      </c>
      <c r="G1695" s="2"/>
      <c r="L1695" s="5"/>
      <c r="M1695" s="4">
        <f>M1694-Table13[[#This Row],[Debits]]+Table13[[#This Row],[Income]]</f>
        <v>2805.21</v>
      </c>
      <c r="N1695" t="str">
        <f>IF(AND(Table13[[#This Row],[Category]]="pay",NOT(Table13[[#This Row],[Debits]]=0)),"bad","good")</f>
        <v>good</v>
      </c>
      <c r="O1695" s="5"/>
    </row>
    <row r="1696" spans="6:15" x14ac:dyDescent="0.3">
      <c r="F1696">
        <f>MONTH(Table13[[#This Row],[Date  (DMY)]])</f>
        <v>1</v>
      </c>
      <c r="G1696" s="2"/>
      <c r="L1696" s="5"/>
      <c r="M1696" s="4">
        <f>M1695-Table13[[#This Row],[Debits]]+Table13[[#This Row],[Income]]</f>
        <v>2805.21</v>
      </c>
      <c r="N1696" t="str">
        <f>IF(AND(Table13[[#This Row],[Category]]="pay",NOT(Table13[[#This Row],[Debits]]=0)),"bad","good")</f>
        <v>good</v>
      </c>
      <c r="O1696" s="5"/>
    </row>
    <row r="1697" spans="6:15" x14ac:dyDescent="0.3">
      <c r="F1697">
        <f>MONTH(Table13[[#This Row],[Date  (DMY)]])</f>
        <v>1</v>
      </c>
      <c r="G1697" s="2"/>
      <c r="L1697" s="5"/>
      <c r="M1697" s="4">
        <f>M1696-Table13[[#This Row],[Debits]]+Table13[[#This Row],[Income]]</f>
        <v>2805.21</v>
      </c>
      <c r="N1697" t="str">
        <f>IF(AND(Table13[[#This Row],[Category]]="pay",NOT(Table13[[#This Row],[Debits]]=0)),"bad","good")</f>
        <v>good</v>
      </c>
      <c r="O1697" s="5"/>
    </row>
    <row r="1698" spans="6:15" x14ac:dyDescent="0.3">
      <c r="F1698">
        <f>MONTH(Table13[[#This Row],[Date  (DMY)]])</f>
        <v>1</v>
      </c>
      <c r="G1698" s="2"/>
      <c r="L1698" s="5"/>
      <c r="M1698" s="4">
        <f>M1697-Table13[[#This Row],[Debits]]+Table13[[#This Row],[Income]]</f>
        <v>2805.21</v>
      </c>
      <c r="N1698" t="str">
        <f>IF(AND(Table13[[#This Row],[Category]]="pay",NOT(Table13[[#This Row],[Debits]]=0)),"bad","good")</f>
        <v>good</v>
      </c>
      <c r="O1698" s="5"/>
    </row>
    <row r="1699" spans="6:15" x14ac:dyDescent="0.3">
      <c r="F1699">
        <f>MONTH(Table13[[#This Row],[Date  (DMY)]])</f>
        <v>1</v>
      </c>
      <c r="G1699" s="2"/>
      <c r="L1699" s="5"/>
      <c r="M1699" s="4">
        <f>M1698-Table13[[#This Row],[Debits]]+Table13[[#This Row],[Income]]</f>
        <v>2805.21</v>
      </c>
      <c r="N1699" t="str">
        <f>IF(AND(Table13[[#This Row],[Category]]="pay",NOT(Table13[[#This Row],[Debits]]=0)),"bad","good")</f>
        <v>good</v>
      </c>
      <c r="O1699" s="5"/>
    </row>
    <row r="1700" spans="6:15" x14ac:dyDescent="0.3">
      <c r="F1700">
        <f>MONTH(Table13[[#This Row],[Date  (DMY)]])</f>
        <v>1</v>
      </c>
      <c r="G1700" s="2"/>
      <c r="L1700" s="5"/>
      <c r="M1700" s="4">
        <f>M1699-Table13[[#This Row],[Debits]]+Table13[[#This Row],[Income]]</f>
        <v>2805.21</v>
      </c>
      <c r="N1700" t="str">
        <f>IF(AND(Table13[[#This Row],[Category]]="pay",NOT(Table13[[#This Row],[Debits]]=0)),"bad","good")</f>
        <v>good</v>
      </c>
      <c r="O1700" s="5"/>
    </row>
    <row r="1701" spans="6:15" x14ac:dyDescent="0.3">
      <c r="F1701">
        <f>MONTH(Table13[[#This Row],[Date  (DMY)]])</f>
        <v>1</v>
      </c>
      <c r="G1701" s="2"/>
      <c r="L1701" s="5"/>
      <c r="M1701" s="4">
        <f>M1700-Table13[[#This Row],[Debits]]+Table13[[#This Row],[Income]]</f>
        <v>2805.21</v>
      </c>
      <c r="N1701" t="str">
        <f>IF(AND(Table13[[#This Row],[Category]]="pay",NOT(Table13[[#This Row],[Debits]]=0)),"bad","good")</f>
        <v>good</v>
      </c>
      <c r="O1701" s="5"/>
    </row>
    <row r="1702" spans="6:15" x14ac:dyDescent="0.3">
      <c r="F1702">
        <f>MONTH(Table13[[#This Row],[Date  (DMY)]])</f>
        <v>1</v>
      </c>
      <c r="G1702" s="2"/>
      <c r="L1702" s="5"/>
      <c r="M1702" s="4">
        <f>M1701-Table13[[#This Row],[Debits]]+Table13[[#This Row],[Income]]</f>
        <v>2805.21</v>
      </c>
      <c r="N1702" t="str">
        <f>IF(AND(Table13[[#This Row],[Category]]="pay",NOT(Table13[[#This Row],[Debits]]=0)),"bad","good")</f>
        <v>good</v>
      </c>
      <c r="O1702" s="5"/>
    </row>
    <row r="1703" spans="6:15" x14ac:dyDescent="0.3">
      <c r="F1703">
        <f>MONTH(Table13[[#This Row],[Date  (DMY)]])</f>
        <v>1</v>
      </c>
      <c r="G1703" s="2"/>
      <c r="L1703" s="5"/>
      <c r="M1703" s="4">
        <f>M1702-Table13[[#This Row],[Debits]]+Table13[[#This Row],[Income]]</f>
        <v>2805.21</v>
      </c>
      <c r="N1703" t="str">
        <f>IF(AND(Table13[[#This Row],[Category]]="pay",NOT(Table13[[#This Row],[Debits]]=0)),"bad","good")</f>
        <v>good</v>
      </c>
      <c r="O1703" s="5"/>
    </row>
    <row r="1704" spans="6:15" x14ac:dyDescent="0.3">
      <c r="F1704">
        <f>MONTH(Table13[[#This Row],[Date  (DMY)]])</f>
        <v>1</v>
      </c>
      <c r="G1704" s="2"/>
      <c r="L1704" s="5"/>
      <c r="M1704" s="4">
        <f>M1703-Table13[[#This Row],[Debits]]+Table13[[#This Row],[Income]]</f>
        <v>2805.21</v>
      </c>
      <c r="N1704" t="str">
        <f>IF(AND(Table13[[#This Row],[Category]]="pay",NOT(Table13[[#This Row],[Debits]]=0)),"bad","good")</f>
        <v>good</v>
      </c>
      <c r="O1704" s="5"/>
    </row>
    <row r="1705" spans="6:15" x14ac:dyDescent="0.3">
      <c r="F1705">
        <f>MONTH(Table13[[#This Row],[Date  (DMY)]])</f>
        <v>1</v>
      </c>
      <c r="G1705" s="2"/>
      <c r="L1705" s="5"/>
      <c r="M1705" s="4">
        <f>M1704-Table13[[#This Row],[Debits]]+Table13[[#This Row],[Income]]</f>
        <v>2805.21</v>
      </c>
      <c r="N1705" t="str">
        <f>IF(AND(Table13[[#This Row],[Category]]="pay",NOT(Table13[[#This Row],[Debits]]=0)),"bad","good")</f>
        <v>good</v>
      </c>
      <c r="O1705" s="5"/>
    </row>
    <row r="1706" spans="6:15" x14ac:dyDescent="0.3">
      <c r="F1706">
        <f>MONTH(Table13[[#This Row],[Date  (DMY)]])</f>
        <v>1</v>
      </c>
      <c r="G1706" s="2"/>
      <c r="L1706" s="5"/>
      <c r="M1706" s="4">
        <f>M1705-Table13[[#This Row],[Debits]]+Table13[[#This Row],[Income]]</f>
        <v>2805.21</v>
      </c>
      <c r="N1706" t="str">
        <f>IF(AND(Table13[[#This Row],[Category]]="pay",NOT(Table13[[#This Row],[Debits]]=0)),"bad","good")</f>
        <v>good</v>
      </c>
      <c r="O1706" s="5"/>
    </row>
    <row r="1707" spans="6:15" x14ac:dyDescent="0.3">
      <c r="F1707">
        <f>MONTH(Table13[[#This Row],[Date  (DMY)]])</f>
        <v>1</v>
      </c>
      <c r="G1707" s="2"/>
      <c r="L1707" s="5"/>
      <c r="M1707" s="4">
        <f>M1706-Table13[[#This Row],[Debits]]+Table13[[#This Row],[Income]]</f>
        <v>2805.21</v>
      </c>
      <c r="N1707" t="str">
        <f>IF(AND(Table13[[#This Row],[Category]]="pay",NOT(Table13[[#This Row],[Debits]]=0)),"bad","good")</f>
        <v>good</v>
      </c>
      <c r="O1707" s="5"/>
    </row>
    <row r="1708" spans="6:15" x14ac:dyDescent="0.3">
      <c r="F1708">
        <f>MONTH(Table13[[#This Row],[Date  (DMY)]])</f>
        <v>1</v>
      </c>
      <c r="G1708" s="2"/>
      <c r="L1708" s="5"/>
      <c r="M1708" s="4">
        <f>M1707-Table13[[#This Row],[Debits]]+Table13[[#This Row],[Income]]</f>
        <v>2805.21</v>
      </c>
      <c r="N1708" t="str">
        <f>IF(AND(Table13[[#This Row],[Category]]="pay",NOT(Table13[[#This Row],[Debits]]=0)),"bad","good")</f>
        <v>good</v>
      </c>
      <c r="O1708" s="5"/>
    </row>
    <row r="1709" spans="6:15" x14ac:dyDescent="0.3">
      <c r="F1709">
        <f>MONTH(Table13[[#This Row],[Date  (DMY)]])</f>
        <v>1</v>
      </c>
      <c r="G1709" s="2"/>
      <c r="L1709" s="5"/>
      <c r="M1709" s="4">
        <f>M1708-Table13[[#This Row],[Debits]]+Table13[[#This Row],[Income]]</f>
        <v>2805.21</v>
      </c>
      <c r="N1709" t="str">
        <f>IF(AND(Table13[[#This Row],[Category]]="pay",NOT(Table13[[#This Row],[Debits]]=0)),"bad","good")</f>
        <v>good</v>
      </c>
      <c r="O1709" s="5"/>
    </row>
    <row r="1710" spans="6:15" x14ac:dyDescent="0.3">
      <c r="F1710">
        <f>MONTH(Table13[[#This Row],[Date  (DMY)]])</f>
        <v>1</v>
      </c>
      <c r="G1710" s="2"/>
      <c r="L1710" s="5"/>
      <c r="M1710" s="4">
        <f>M1709-Table13[[#This Row],[Debits]]+Table13[[#This Row],[Income]]</f>
        <v>2805.21</v>
      </c>
      <c r="N1710" t="str">
        <f>IF(AND(Table13[[#This Row],[Category]]="pay",NOT(Table13[[#This Row],[Debits]]=0)),"bad","good")</f>
        <v>good</v>
      </c>
      <c r="O1710" s="5"/>
    </row>
    <row r="1711" spans="6:15" x14ac:dyDescent="0.3">
      <c r="F1711">
        <f>MONTH(Table13[[#This Row],[Date  (DMY)]])</f>
        <v>1</v>
      </c>
      <c r="G1711" s="2"/>
      <c r="L1711" s="5"/>
      <c r="M1711" s="4">
        <f>M1710-Table13[[#This Row],[Debits]]+Table13[[#This Row],[Income]]</f>
        <v>2805.21</v>
      </c>
      <c r="N1711" t="str">
        <f>IF(AND(Table13[[#This Row],[Category]]="pay",NOT(Table13[[#This Row],[Debits]]=0)),"bad","good")</f>
        <v>good</v>
      </c>
      <c r="O1711" s="5"/>
    </row>
    <row r="1712" spans="6:15" x14ac:dyDescent="0.3">
      <c r="F1712">
        <f>MONTH(Table13[[#This Row],[Date  (DMY)]])</f>
        <v>1</v>
      </c>
      <c r="G1712" s="2"/>
      <c r="L1712" s="5"/>
      <c r="M1712" s="4">
        <f>M1711-Table13[[#This Row],[Debits]]+Table13[[#This Row],[Income]]</f>
        <v>2805.21</v>
      </c>
      <c r="N1712" t="str">
        <f>IF(AND(Table13[[#This Row],[Category]]="pay",NOT(Table13[[#This Row],[Debits]]=0)),"bad","good")</f>
        <v>good</v>
      </c>
      <c r="O1712" s="5"/>
    </row>
    <row r="1713" spans="6:15" x14ac:dyDescent="0.3">
      <c r="F1713">
        <f>MONTH(Table13[[#This Row],[Date  (DMY)]])</f>
        <v>1</v>
      </c>
      <c r="G1713" s="2"/>
      <c r="L1713" s="5"/>
      <c r="M1713" s="4">
        <f>M1712-Table13[[#This Row],[Debits]]+Table13[[#This Row],[Income]]</f>
        <v>2805.21</v>
      </c>
      <c r="N1713" t="str">
        <f>IF(AND(Table13[[#This Row],[Category]]="pay",NOT(Table13[[#This Row],[Debits]]=0)),"bad","good")</f>
        <v>good</v>
      </c>
      <c r="O1713" s="5"/>
    </row>
    <row r="1714" spans="6:15" x14ac:dyDescent="0.3">
      <c r="F1714">
        <f>MONTH(Table13[[#This Row],[Date  (DMY)]])</f>
        <v>1</v>
      </c>
      <c r="G1714" s="2"/>
      <c r="L1714" s="5"/>
      <c r="M1714" s="4">
        <f>M1713-Table13[[#This Row],[Debits]]+Table13[[#This Row],[Income]]</f>
        <v>2805.21</v>
      </c>
      <c r="N1714" t="str">
        <f>IF(AND(Table13[[#This Row],[Category]]="pay",NOT(Table13[[#This Row],[Debits]]=0)),"bad","good")</f>
        <v>good</v>
      </c>
      <c r="O1714" s="5"/>
    </row>
    <row r="1715" spans="6:15" x14ac:dyDescent="0.3">
      <c r="F1715">
        <f>MONTH(Table13[[#This Row],[Date  (DMY)]])</f>
        <v>1</v>
      </c>
      <c r="G1715" s="2"/>
      <c r="L1715" s="5"/>
      <c r="M1715" s="4">
        <f>M1714-Table13[[#This Row],[Debits]]+Table13[[#This Row],[Income]]</f>
        <v>2805.21</v>
      </c>
      <c r="N1715" t="str">
        <f>IF(AND(Table13[[#This Row],[Category]]="pay",NOT(Table13[[#This Row],[Debits]]=0)),"bad","good")</f>
        <v>good</v>
      </c>
      <c r="O1715" s="5"/>
    </row>
    <row r="1716" spans="6:15" x14ac:dyDescent="0.3">
      <c r="F1716">
        <f>MONTH(Table13[[#This Row],[Date  (DMY)]])</f>
        <v>1</v>
      </c>
      <c r="G1716" s="2"/>
      <c r="L1716" s="5"/>
      <c r="M1716" s="4">
        <f>M1715-Table13[[#This Row],[Debits]]+Table13[[#This Row],[Income]]</f>
        <v>2805.21</v>
      </c>
      <c r="N1716" t="str">
        <f>IF(AND(Table13[[#This Row],[Category]]="pay",NOT(Table13[[#This Row],[Debits]]=0)),"bad","good")</f>
        <v>good</v>
      </c>
      <c r="O1716" s="5"/>
    </row>
    <row r="1717" spans="6:15" x14ac:dyDescent="0.3">
      <c r="F1717">
        <f>MONTH(Table13[[#This Row],[Date  (DMY)]])</f>
        <v>1</v>
      </c>
      <c r="G1717" s="2"/>
      <c r="L1717" s="5"/>
      <c r="M1717" s="4">
        <f>M1716-Table13[[#This Row],[Debits]]+Table13[[#This Row],[Income]]</f>
        <v>2805.21</v>
      </c>
      <c r="N1717" t="str">
        <f>IF(AND(Table13[[#This Row],[Category]]="pay",NOT(Table13[[#This Row],[Debits]]=0)),"bad","good")</f>
        <v>good</v>
      </c>
      <c r="O1717" s="5"/>
    </row>
    <row r="1718" spans="6:15" x14ac:dyDescent="0.3">
      <c r="F1718">
        <f>MONTH(Table13[[#This Row],[Date  (DMY)]])</f>
        <v>1</v>
      </c>
      <c r="G1718" s="2"/>
      <c r="L1718" s="5"/>
      <c r="M1718" s="4">
        <f>M1717-Table13[[#This Row],[Debits]]+Table13[[#This Row],[Income]]</f>
        <v>2805.21</v>
      </c>
      <c r="N1718" t="str">
        <f>IF(AND(Table13[[#This Row],[Category]]="pay",NOT(Table13[[#This Row],[Debits]]=0)),"bad","good")</f>
        <v>good</v>
      </c>
      <c r="O1718" s="5"/>
    </row>
    <row r="1719" spans="6:15" x14ac:dyDescent="0.3">
      <c r="F1719">
        <f>MONTH(Table13[[#This Row],[Date  (DMY)]])</f>
        <v>1</v>
      </c>
      <c r="G1719" s="2"/>
      <c r="L1719" s="5"/>
      <c r="M1719" s="4">
        <f>M1718-Table13[[#This Row],[Debits]]+Table13[[#This Row],[Income]]</f>
        <v>2805.21</v>
      </c>
      <c r="N1719" t="str">
        <f>IF(AND(Table13[[#This Row],[Category]]="pay",NOT(Table13[[#This Row],[Debits]]=0)),"bad","good")</f>
        <v>good</v>
      </c>
      <c r="O1719" s="5"/>
    </row>
    <row r="1720" spans="6:15" x14ac:dyDescent="0.3">
      <c r="F1720">
        <f>MONTH(Table13[[#This Row],[Date  (DMY)]])</f>
        <v>1</v>
      </c>
      <c r="G1720" s="2"/>
      <c r="L1720" s="5"/>
      <c r="M1720" s="4">
        <f>M1719-Table13[[#This Row],[Debits]]+Table13[[#This Row],[Income]]</f>
        <v>2805.21</v>
      </c>
      <c r="N1720" t="str">
        <f>IF(AND(Table13[[#This Row],[Category]]="pay",NOT(Table13[[#This Row],[Debits]]=0)),"bad","good")</f>
        <v>good</v>
      </c>
      <c r="O1720" s="5"/>
    </row>
    <row r="1721" spans="6:15" x14ac:dyDescent="0.3">
      <c r="F1721">
        <f>MONTH(Table13[[#This Row],[Date  (DMY)]])</f>
        <v>1</v>
      </c>
      <c r="G1721" s="2"/>
      <c r="L1721" s="5"/>
      <c r="M1721" s="4">
        <f>M1720-Table13[[#This Row],[Debits]]+Table13[[#This Row],[Income]]</f>
        <v>2805.21</v>
      </c>
      <c r="N1721" t="str">
        <f>IF(AND(Table13[[#This Row],[Category]]="pay",NOT(Table13[[#This Row],[Debits]]=0)),"bad","good")</f>
        <v>good</v>
      </c>
      <c r="O1721" s="5"/>
    </row>
    <row r="1722" spans="6:15" x14ac:dyDescent="0.3">
      <c r="F1722">
        <f>MONTH(Table13[[#This Row],[Date  (DMY)]])</f>
        <v>1</v>
      </c>
      <c r="G1722" s="2"/>
      <c r="L1722" s="5"/>
      <c r="M1722" s="4">
        <f>M1721-Table13[[#This Row],[Debits]]+Table13[[#This Row],[Income]]</f>
        <v>2805.21</v>
      </c>
      <c r="N1722" t="str">
        <f>IF(AND(Table13[[#This Row],[Category]]="pay",NOT(Table13[[#This Row],[Debits]]=0)),"bad","good")</f>
        <v>good</v>
      </c>
      <c r="O1722" s="5"/>
    </row>
    <row r="1723" spans="6:15" x14ac:dyDescent="0.3">
      <c r="F1723">
        <f>MONTH(Table13[[#This Row],[Date  (DMY)]])</f>
        <v>1</v>
      </c>
      <c r="G1723" s="2"/>
      <c r="L1723" s="5"/>
      <c r="M1723" s="4">
        <f>M1722-Table13[[#This Row],[Debits]]+Table13[[#This Row],[Income]]</f>
        <v>2805.21</v>
      </c>
      <c r="N1723" t="str">
        <f>IF(AND(Table13[[#This Row],[Category]]="pay",NOT(Table13[[#This Row],[Debits]]=0)),"bad","good")</f>
        <v>good</v>
      </c>
      <c r="O1723" s="5"/>
    </row>
    <row r="1724" spans="6:15" x14ac:dyDescent="0.3">
      <c r="F1724">
        <f>MONTH(Table13[[#This Row],[Date  (DMY)]])</f>
        <v>1</v>
      </c>
      <c r="G1724" s="2"/>
      <c r="L1724" s="5"/>
      <c r="M1724" s="4">
        <f>M1723-Table13[[#This Row],[Debits]]+Table13[[#This Row],[Income]]</f>
        <v>2805.21</v>
      </c>
      <c r="N1724" t="str">
        <f>IF(AND(Table13[[#This Row],[Category]]="pay",NOT(Table13[[#This Row],[Debits]]=0)),"bad","good")</f>
        <v>good</v>
      </c>
      <c r="O1724" s="5"/>
    </row>
    <row r="1725" spans="6:15" x14ac:dyDescent="0.3">
      <c r="F1725">
        <f>MONTH(Table13[[#This Row],[Date  (DMY)]])</f>
        <v>1</v>
      </c>
      <c r="G1725" s="2"/>
      <c r="L1725" s="5"/>
      <c r="M1725" s="4">
        <f>M1724-Table13[[#This Row],[Debits]]+Table13[[#This Row],[Income]]</f>
        <v>2805.21</v>
      </c>
      <c r="N1725" t="str">
        <f>IF(AND(Table13[[#This Row],[Category]]="pay",NOT(Table13[[#This Row],[Debits]]=0)),"bad","good")</f>
        <v>good</v>
      </c>
      <c r="O1725" s="5"/>
    </row>
    <row r="1726" spans="6:15" x14ac:dyDescent="0.3">
      <c r="F1726">
        <f>MONTH(Table13[[#This Row],[Date  (DMY)]])</f>
        <v>1</v>
      </c>
      <c r="G1726" s="2"/>
      <c r="L1726" s="5"/>
      <c r="M1726" s="4">
        <f>M1725-Table13[[#This Row],[Debits]]+Table13[[#This Row],[Income]]</f>
        <v>2805.21</v>
      </c>
      <c r="N1726" t="str">
        <f>IF(AND(Table13[[#This Row],[Category]]="pay",NOT(Table13[[#This Row],[Debits]]=0)),"bad","good")</f>
        <v>good</v>
      </c>
      <c r="O1726" s="5"/>
    </row>
    <row r="1727" spans="6:15" x14ac:dyDescent="0.3">
      <c r="F1727">
        <f>MONTH(Table13[[#This Row],[Date  (DMY)]])</f>
        <v>1</v>
      </c>
      <c r="G1727" s="2"/>
      <c r="L1727" s="5"/>
      <c r="M1727" s="4">
        <f>M1726-Table13[[#This Row],[Debits]]+Table13[[#This Row],[Income]]</f>
        <v>2805.21</v>
      </c>
      <c r="N1727" t="str">
        <f>IF(AND(Table13[[#This Row],[Category]]="pay",NOT(Table13[[#This Row],[Debits]]=0)),"bad","good")</f>
        <v>good</v>
      </c>
      <c r="O1727" s="5"/>
    </row>
    <row r="1728" spans="6:15" x14ac:dyDescent="0.3">
      <c r="F1728">
        <f>MONTH(Table13[[#This Row],[Date  (DMY)]])</f>
        <v>1</v>
      </c>
      <c r="G1728" s="2"/>
      <c r="L1728" s="5"/>
      <c r="M1728" s="4">
        <f>M1727-Table13[[#This Row],[Debits]]+Table13[[#This Row],[Income]]</f>
        <v>2805.21</v>
      </c>
      <c r="N1728" t="str">
        <f>IF(AND(Table13[[#This Row],[Category]]="pay",NOT(Table13[[#This Row],[Debits]]=0)),"bad","good")</f>
        <v>good</v>
      </c>
      <c r="O1728" s="5"/>
    </row>
    <row r="1729" spans="6:15" x14ac:dyDescent="0.3">
      <c r="F1729">
        <f>MONTH(Table13[[#This Row],[Date  (DMY)]])</f>
        <v>1</v>
      </c>
      <c r="G1729" s="2"/>
      <c r="L1729" s="5"/>
      <c r="M1729" s="4">
        <f>M1728-Table13[[#This Row],[Debits]]+Table13[[#This Row],[Income]]</f>
        <v>2805.21</v>
      </c>
      <c r="N1729" t="str">
        <f>IF(AND(Table13[[#This Row],[Category]]="pay",NOT(Table13[[#This Row],[Debits]]=0)),"bad","good")</f>
        <v>good</v>
      </c>
      <c r="O1729" s="5"/>
    </row>
    <row r="1730" spans="6:15" x14ac:dyDescent="0.3">
      <c r="F1730">
        <f>MONTH(Table13[[#This Row],[Date  (DMY)]])</f>
        <v>1</v>
      </c>
      <c r="G1730" s="2"/>
      <c r="L1730" s="5"/>
      <c r="M1730" s="4">
        <f>M1729-Table13[[#This Row],[Debits]]+Table13[[#This Row],[Income]]</f>
        <v>2805.21</v>
      </c>
      <c r="N1730" t="str">
        <f>IF(AND(Table13[[#This Row],[Category]]="pay",NOT(Table13[[#This Row],[Debits]]=0)),"bad","good")</f>
        <v>good</v>
      </c>
      <c r="O1730" s="5"/>
    </row>
    <row r="1731" spans="6:15" x14ac:dyDescent="0.3">
      <c r="F1731">
        <f>MONTH(Table13[[#This Row],[Date  (DMY)]])</f>
        <v>1</v>
      </c>
      <c r="G1731" s="2"/>
      <c r="L1731" s="5"/>
      <c r="M1731" s="4">
        <f>M1730-Table13[[#This Row],[Debits]]+Table13[[#This Row],[Income]]</f>
        <v>2805.21</v>
      </c>
      <c r="N1731" t="str">
        <f>IF(AND(Table13[[#This Row],[Category]]="pay",NOT(Table13[[#This Row],[Debits]]=0)),"bad","good")</f>
        <v>good</v>
      </c>
      <c r="O1731" s="5"/>
    </row>
    <row r="1732" spans="6:15" x14ac:dyDescent="0.3">
      <c r="F1732">
        <f>MONTH(Table13[[#This Row],[Date  (DMY)]])</f>
        <v>1</v>
      </c>
      <c r="G1732" s="2"/>
      <c r="L1732" s="5"/>
      <c r="M1732" s="4">
        <f>M1731-Table13[[#This Row],[Debits]]+Table13[[#This Row],[Income]]</f>
        <v>2805.21</v>
      </c>
      <c r="N1732" t="str">
        <f>IF(AND(Table13[[#This Row],[Category]]="pay",NOT(Table13[[#This Row],[Debits]]=0)),"bad","good")</f>
        <v>good</v>
      </c>
      <c r="O1732" s="5"/>
    </row>
    <row r="1733" spans="6:15" x14ac:dyDescent="0.3">
      <c r="F1733">
        <f>MONTH(Table13[[#This Row],[Date  (DMY)]])</f>
        <v>1</v>
      </c>
      <c r="G1733" s="2"/>
      <c r="L1733" s="5"/>
      <c r="M1733" s="4">
        <f>M1732-Table13[[#This Row],[Debits]]+Table13[[#This Row],[Income]]</f>
        <v>2805.21</v>
      </c>
      <c r="N1733" t="str">
        <f>IF(AND(Table13[[#This Row],[Category]]="pay",NOT(Table13[[#This Row],[Debits]]=0)),"bad","good")</f>
        <v>good</v>
      </c>
      <c r="O1733" s="5"/>
    </row>
    <row r="1734" spans="6:15" x14ac:dyDescent="0.3">
      <c r="F1734">
        <f>MONTH(Table13[[#This Row],[Date  (DMY)]])</f>
        <v>1</v>
      </c>
      <c r="G1734" s="2"/>
      <c r="L1734" s="5"/>
      <c r="M1734" s="4">
        <f>M1733-Table13[[#This Row],[Debits]]+Table13[[#This Row],[Income]]</f>
        <v>2805.21</v>
      </c>
      <c r="N1734" t="str">
        <f>IF(AND(Table13[[#This Row],[Category]]="pay",NOT(Table13[[#This Row],[Debits]]=0)),"bad","good")</f>
        <v>good</v>
      </c>
      <c r="O1734" s="5"/>
    </row>
    <row r="1735" spans="6:15" x14ac:dyDescent="0.3">
      <c r="F1735">
        <f>MONTH(Table13[[#This Row],[Date  (DMY)]])</f>
        <v>1</v>
      </c>
      <c r="G1735" s="2"/>
      <c r="L1735" s="5"/>
      <c r="M1735" s="4">
        <f>M1734-Table13[[#This Row],[Debits]]+Table13[[#This Row],[Income]]</f>
        <v>2805.21</v>
      </c>
      <c r="N1735" t="str">
        <f>IF(AND(Table13[[#This Row],[Category]]="pay",NOT(Table13[[#This Row],[Debits]]=0)),"bad","good")</f>
        <v>good</v>
      </c>
      <c r="O1735" s="5"/>
    </row>
    <row r="1736" spans="6:15" x14ac:dyDescent="0.3">
      <c r="F1736">
        <f>MONTH(Table13[[#This Row],[Date  (DMY)]])</f>
        <v>1</v>
      </c>
      <c r="G1736" s="2"/>
      <c r="L1736" s="5"/>
      <c r="M1736" s="4">
        <f>M1735-Table13[[#This Row],[Debits]]+Table13[[#This Row],[Income]]</f>
        <v>2805.21</v>
      </c>
      <c r="N1736" t="str">
        <f>IF(AND(Table13[[#This Row],[Category]]="pay",NOT(Table13[[#This Row],[Debits]]=0)),"bad","good")</f>
        <v>good</v>
      </c>
      <c r="O1736" s="5"/>
    </row>
    <row r="1737" spans="6:15" x14ac:dyDescent="0.3">
      <c r="F1737">
        <f>MONTH(Table13[[#This Row],[Date  (DMY)]])</f>
        <v>1</v>
      </c>
      <c r="G1737" s="2"/>
      <c r="L1737" s="5"/>
      <c r="M1737" s="4">
        <f>M1736-Table13[[#This Row],[Debits]]+Table13[[#This Row],[Income]]</f>
        <v>2805.21</v>
      </c>
      <c r="N1737" t="str">
        <f>IF(AND(Table13[[#This Row],[Category]]="pay",NOT(Table13[[#This Row],[Debits]]=0)),"bad","good")</f>
        <v>good</v>
      </c>
      <c r="O1737" s="5"/>
    </row>
    <row r="1738" spans="6:15" x14ac:dyDescent="0.3">
      <c r="F1738">
        <f>MONTH(Table13[[#This Row],[Date  (DMY)]])</f>
        <v>1</v>
      </c>
      <c r="G1738" s="2"/>
      <c r="L1738" s="5"/>
      <c r="M1738" s="4">
        <f>M1737-Table13[[#This Row],[Debits]]+Table13[[#This Row],[Income]]</f>
        <v>2805.21</v>
      </c>
      <c r="N1738" t="str">
        <f>IF(AND(Table13[[#This Row],[Category]]="pay",NOT(Table13[[#This Row],[Debits]]=0)),"bad","good")</f>
        <v>good</v>
      </c>
      <c r="O1738" s="5"/>
    </row>
    <row r="1739" spans="6:15" x14ac:dyDescent="0.3">
      <c r="F1739">
        <f>MONTH(Table13[[#This Row],[Date  (DMY)]])</f>
        <v>1</v>
      </c>
      <c r="G1739" s="2"/>
      <c r="L1739" s="5"/>
      <c r="M1739" s="4">
        <f>M1738-Table13[[#This Row],[Debits]]+Table13[[#This Row],[Income]]</f>
        <v>2805.21</v>
      </c>
      <c r="N1739" t="str">
        <f>IF(AND(Table13[[#This Row],[Category]]="pay",NOT(Table13[[#This Row],[Debits]]=0)),"bad","good")</f>
        <v>good</v>
      </c>
      <c r="O1739" s="5"/>
    </row>
    <row r="1740" spans="6:15" x14ac:dyDescent="0.3">
      <c r="F1740">
        <f>MONTH(Table13[[#This Row],[Date  (DMY)]])</f>
        <v>1</v>
      </c>
      <c r="G1740" s="2"/>
      <c r="L1740" s="5"/>
      <c r="M1740" s="4">
        <f>M1739-Table13[[#This Row],[Debits]]+Table13[[#This Row],[Income]]</f>
        <v>2805.21</v>
      </c>
      <c r="N1740" t="str">
        <f>IF(AND(Table13[[#This Row],[Category]]="pay",NOT(Table13[[#This Row],[Debits]]=0)),"bad","good")</f>
        <v>good</v>
      </c>
      <c r="O1740" s="5"/>
    </row>
    <row r="1741" spans="6:15" x14ac:dyDescent="0.3">
      <c r="F1741">
        <f>MONTH(Table13[[#This Row],[Date  (DMY)]])</f>
        <v>1</v>
      </c>
      <c r="G1741" s="2"/>
      <c r="L1741" s="5"/>
      <c r="M1741" s="4">
        <f>M1740-Table13[[#This Row],[Debits]]+Table13[[#This Row],[Income]]</f>
        <v>2805.21</v>
      </c>
      <c r="N1741" t="str">
        <f>IF(AND(Table13[[#This Row],[Category]]="pay",NOT(Table13[[#This Row],[Debits]]=0)),"bad","good")</f>
        <v>good</v>
      </c>
      <c r="O1741" s="5"/>
    </row>
    <row r="1742" spans="6:15" x14ac:dyDescent="0.3">
      <c r="F1742">
        <f>MONTH(Table13[[#This Row],[Date  (DMY)]])</f>
        <v>1</v>
      </c>
      <c r="G1742" s="2"/>
      <c r="L1742" s="5"/>
      <c r="M1742" s="4">
        <f>M1741-Table13[[#This Row],[Debits]]+Table13[[#This Row],[Income]]</f>
        <v>2805.21</v>
      </c>
      <c r="N1742" t="str">
        <f>IF(AND(Table13[[#This Row],[Category]]="pay",NOT(Table13[[#This Row],[Debits]]=0)),"bad","good")</f>
        <v>good</v>
      </c>
      <c r="O1742" s="5"/>
    </row>
    <row r="1743" spans="6:15" x14ac:dyDescent="0.3">
      <c r="F1743">
        <f>MONTH(Table13[[#This Row],[Date  (DMY)]])</f>
        <v>1</v>
      </c>
      <c r="G1743" s="2"/>
      <c r="L1743" s="5"/>
      <c r="M1743" s="4">
        <f>M1742-Table13[[#This Row],[Debits]]+Table13[[#This Row],[Income]]</f>
        <v>2805.21</v>
      </c>
      <c r="N1743" t="str">
        <f>IF(AND(Table13[[#This Row],[Category]]="pay",NOT(Table13[[#This Row],[Debits]]=0)),"bad","good")</f>
        <v>good</v>
      </c>
      <c r="O1743" s="5"/>
    </row>
    <row r="1744" spans="6:15" x14ac:dyDescent="0.3">
      <c r="F1744">
        <f>MONTH(Table13[[#This Row],[Date  (DMY)]])</f>
        <v>1</v>
      </c>
      <c r="G1744" s="2"/>
      <c r="L1744" s="5"/>
      <c r="M1744" s="4">
        <f>M1743-Table13[[#This Row],[Debits]]+Table13[[#This Row],[Income]]</f>
        <v>2805.21</v>
      </c>
      <c r="N1744" t="str">
        <f>IF(AND(Table13[[#This Row],[Category]]="pay",NOT(Table13[[#This Row],[Debits]]=0)),"bad","good")</f>
        <v>good</v>
      </c>
      <c r="O1744" s="5"/>
    </row>
    <row r="1745" spans="6:15" x14ac:dyDescent="0.3">
      <c r="F1745">
        <f>MONTH(Table13[[#This Row],[Date  (DMY)]])</f>
        <v>1</v>
      </c>
      <c r="G1745" s="2"/>
      <c r="L1745" s="5"/>
      <c r="M1745" s="4">
        <f>M1744-Table13[[#This Row],[Debits]]+Table13[[#This Row],[Income]]</f>
        <v>2805.21</v>
      </c>
      <c r="N1745" t="str">
        <f>IF(AND(Table13[[#This Row],[Category]]="pay",NOT(Table13[[#This Row],[Debits]]=0)),"bad","good")</f>
        <v>good</v>
      </c>
      <c r="O1745" s="5"/>
    </row>
    <row r="1746" spans="6:15" x14ac:dyDescent="0.3">
      <c r="F1746">
        <f>MONTH(Table13[[#This Row],[Date  (DMY)]])</f>
        <v>1</v>
      </c>
      <c r="G1746" s="2"/>
      <c r="L1746" s="5"/>
      <c r="M1746" s="4">
        <f>M1745-Table13[[#This Row],[Debits]]+Table13[[#This Row],[Income]]</f>
        <v>2805.21</v>
      </c>
      <c r="N1746" t="str">
        <f>IF(AND(Table13[[#This Row],[Category]]="pay",NOT(Table13[[#This Row],[Debits]]=0)),"bad","good")</f>
        <v>good</v>
      </c>
      <c r="O1746" s="5"/>
    </row>
    <row r="1747" spans="6:15" x14ac:dyDescent="0.3">
      <c r="F1747">
        <f>MONTH(Table13[[#This Row],[Date  (DMY)]])</f>
        <v>1</v>
      </c>
      <c r="G1747" s="2"/>
      <c r="L1747" s="5"/>
      <c r="M1747" s="4">
        <f>M1746-Table13[[#This Row],[Debits]]+Table13[[#This Row],[Income]]</f>
        <v>2805.21</v>
      </c>
      <c r="N1747" t="str">
        <f>IF(AND(Table13[[#This Row],[Category]]="pay",NOT(Table13[[#This Row],[Debits]]=0)),"bad","good")</f>
        <v>good</v>
      </c>
      <c r="O1747" s="5"/>
    </row>
    <row r="1748" spans="6:15" x14ac:dyDescent="0.3">
      <c r="F1748">
        <f>MONTH(Table13[[#This Row],[Date  (DMY)]])</f>
        <v>1</v>
      </c>
      <c r="G1748" s="2"/>
      <c r="L1748" s="5"/>
      <c r="M1748" s="4">
        <f>M1747-Table13[[#This Row],[Debits]]+Table13[[#This Row],[Income]]</f>
        <v>2805.21</v>
      </c>
      <c r="N1748" t="str">
        <f>IF(AND(Table13[[#This Row],[Category]]="pay",NOT(Table13[[#This Row],[Debits]]=0)),"bad","good")</f>
        <v>good</v>
      </c>
      <c r="O1748" s="5"/>
    </row>
    <row r="1749" spans="6:15" x14ac:dyDescent="0.3">
      <c r="F1749">
        <f>MONTH(Table13[[#This Row],[Date  (DMY)]])</f>
        <v>1</v>
      </c>
      <c r="G1749" s="2"/>
      <c r="L1749" s="5"/>
      <c r="M1749" s="4">
        <f>M1748-Table13[[#This Row],[Debits]]+Table13[[#This Row],[Income]]</f>
        <v>2805.21</v>
      </c>
      <c r="N1749" t="str">
        <f>IF(AND(Table13[[#This Row],[Category]]="pay",NOT(Table13[[#This Row],[Debits]]=0)),"bad","good")</f>
        <v>good</v>
      </c>
      <c r="O1749" s="5"/>
    </row>
    <row r="1750" spans="6:15" x14ac:dyDescent="0.3">
      <c r="F1750">
        <f>MONTH(Table13[[#This Row],[Date  (DMY)]])</f>
        <v>1</v>
      </c>
      <c r="G1750" s="2"/>
      <c r="L1750" s="5"/>
      <c r="M1750" s="4">
        <f>M1749-Table13[[#This Row],[Debits]]+Table13[[#This Row],[Income]]</f>
        <v>2805.21</v>
      </c>
      <c r="N1750" t="str">
        <f>IF(AND(Table13[[#This Row],[Category]]="pay",NOT(Table13[[#This Row],[Debits]]=0)),"bad","good")</f>
        <v>good</v>
      </c>
      <c r="O1750" s="5"/>
    </row>
    <row r="1751" spans="6:15" x14ac:dyDescent="0.3">
      <c r="F1751">
        <f>MONTH(Table13[[#This Row],[Date  (DMY)]])</f>
        <v>1</v>
      </c>
      <c r="G1751" s="2"/>
      <c r="L1751" s="5"/>
      <c r="M1751" s="4">
        <f>M1750-Table13[[#This Row],[Debits]]+Table13[[#This Row],[Income]]</f>
        <v>2805.21</v>
      </c>
      <c r="N1751" t="str">
        <f>IF(AND(Table13[[#This Row],[Category]]="pay",NOT(Table13[[#This Row],[Debits]]=0)),"bad","good")</f>
        <v>good</v>
      </c>
      <c r="O1751" s="5"/>
    </row>
    <row r="1752" spans="6:15" x14ac:dyDescent="0.3">
      <c r="F1752">
        <f>MONTH(Table13[[#This Row],[Date  (DMY)]])</f>
        <v>1</v>
      </c>
      <c r="G1752" s="2"/>
      <c r="L1752" s="5"/>
      <c r="M1752" s="4">
        <f>M1751-Table13[[#This Row],[Debits]]+Table13[[#This Row],[Income]]</f>
        <v>2805.21</v>
      </c>
      <c r="N1752" t="str">
        <f>IF(AND(Table13[[#This Row],[Category]]="pay",NOT(Table13[[#This Row],[Debits]]=0)),"bad","good")</f>
        <v>good</v>
      </c>
      <c r="O1752" s="5"/>
    </row>
    <row r="1753" spans="6:15" x14ac:dyDescent="0.3">
      <c r="F1753">
        <f>MONTH(Table13[[#This Row],[Date  (DMY)]])</f>
        <v>1</v>
      </c>
      <c r="G1753" s="2"/>
      <c r="L1753" s="5"/>
      <c r="M1753" s="4">
        <f>M1752-Table13[[#This Row],[Debits]]+Table13[[#This Row],[Income]]</f>
        <v>2805.21</v>
      </c>
      <c r="N1753" t="str">
        <f>IF(AND(Table13[[#This Row],[Category]]="pay",NOT(Table13[[#This Row],[Debits]]=0)),"bad","good")</f>
        <v>good</v>
      </c>
      <c r="O1753" s="5"/>
    </row>
    <row r="1754" spans="6:15" x14ac:dyDescent="0.3">
      <c r="F1754">
        <f>MONTH(Table13[[#This Row],[Date  (DMY)]])</f>
        <v>1</v>
      </c>
      <c r="G1754" s="2"/>
      <c r="L1754" s="5"/>
      <c r="M1754" s="4">
        <f>M1753-Table13[[#This Row],[Debits]]+Table13[[#This Row],[Income]]</f>
        <v>2805.21</v>
      </c>
      <c r="N1754" t="str">
        <f>IF(AND(Table13[[#This Row],[Category]]="pay",NOT(Table13[[#This Row],[Debits]]=0)),"bad","good")</f>
        <v>good</v>
      </c>
      <c r="O1754" s="5"/>
    </row>
    <row r="1755" spans="6:15" x14ac:dyDescent="0.3">
      <c r="F1755">
        <f>MONTH(Table13[[#This Row],[Date  (DMY)]])</f>
        <v>1</v>
      </c>
      <c r="G1755" s="2"/>
      <c r="L1755" s="5"/>
      <c r="M1755" s="4">
        <f>M1754-Table13[[#This Row],[Debits]]+Table13[[#This Row],[Income]]</f>
        <v>2805.21</v>
      </c>
      <c r="N1755" t="str">
        <f>IF(AND(Table13[[#This Row],[Category]]="pay",NOT(Table13[[#This Row],[Debits]]=0)),"bad","good")</f>
        <v>good</v>
      </c>
      <c r="O1755" s="5"/>
    </row>
    <row r="1756" spans="6:15" x14ac:dyDescent="0.3">
      <c r="F1756">
        <f>MONTH(Table13[[#This Row],[Date  (DMY)]])</f>
        <v>1</v>
      </c>
      <c r="G1756" s="2"/>
      <c r="L1756" s="5"/>
      <c r="M1756" s="4">
        <f>M1755-Table13[[#This Row],[Debits]]+Table13[[#This Row],[Income]]</f>
        <v>2805.21</v>
      </c>
      <c r="N1756" t="str">
        <f>IF(AND(Table13[[#This Row],[Category]]="pay",NOT(Table13[[#This Row],[Debits]]=0)),"bad","good")</f>
        <v>good</v>
      </c>
      <c r="O1756" s="5"/>
    </row>
    <row r="1757" spans="6:15" x14ac:dyDescent="0.3">
      <c r="F1757">
        <f>MONTH(Table13[[#This Row],[Date  (DMY)]])</f>
        <v>1</v>
      </c>
      <c r="G1757" s="2"/>
      <c r="L1757" s="5"/>
      <c r="M1757" s="4">
        <f>M1756-Table13[[#This Row],[Debits]]+Table13[[#This Row],[Income]]</f>
        <v>2805.21</v>
      </c>
      <c r="N1757" t="str">
        <f>IF(AND(Table13[[#This Row],[Category]]="pay",NOT(Table13[[#This Row],[Debits]]=0)),"bad","good")</f>
        <v>good</v>
      </c>
      <c r="O1757" s="5"/>
    </row>
    <row r="1758" spans="6:15" x14ac:dyDescent="0.3">
      <c r="F1758">
        <f>MONTH(Table13[[#This Row],[Date  (DMY)]])</f>
        <v>1</v>
      </c>
      <c r="G1758" s="2"/>
      <c r="L1758" s="5"/>
      <c r="M1758" s="4">
        <f>M1757-Table13[[#This Row],[Debits]]+Table13[[#This Row],[Income]]</f>
        <v>2805.21</v>
      </c>
      <c r="N1758" t="str">
        <f>IF(AND(Table13[[#This Row],[Category]]="pay",NOT(Table13[[#This Row],[Debits]]=0)),"bad","good")</f>
        <v>good</v>
      </c>
      <c r="O1758" s="5"/>
    </row>
    <row r="1759" spans="6:15" x14ac:dyDescent="0.3">
      <c r="F1759">
        <f>MONTH(Table13[[#This Row],[Date  (DMY)]])</f>
        <v>1</v>
      </c>
      <c r="G1759" s="2"/>
      <c r="L1759" s="5"/>
      <c r="M1759" s="4">
        <f>M1758-Table13[[#This Row],[Debits]]+Table13[[#This Row],[Income]]</f>
        <v>2805.21</v>
      </c>
      <c r="N1759" t="str">
        <f>IF(AND(Table13[[#This Row],[Category]]="pay",NOT(Table13[[#This Row],[Debits]]=0)),"bad","good")</f>
        <v>good</v>
      </c>
      <c r="O1759" s="5"/>
    </row>
    <row r="1760" spans="6:15" x14ac:dyDescent="0.3">
      <c r="F1760">
        <f>MONTH(Table13[[#This Row],[Date  (DMY)]])</f>
        <v>1</v>
      </c>
      <c r="G1760" s="2"/>
      <c r="L1760" s="5"/>
      <c r="M1760" s="4">
        <f>M1759-Table13[[#This Row],[Debits]]+Table13[[#This Row],[Income]]</f>
        <v>2805.21</v>
      </c>
      <c r="N1760" t="str">
        <f>IF(AND(Table13[[#This Row],[Category]]="pay",NOT(Table13[[#This Row],[Debits]]=0)),"bad","good")</f>
        <v>good</v>
      </c>
      <c r="O1760" s="5"/>
    </row>
    <row r="1761" spans="6:15" x14ac:dyDescent="0.3">
      <c r="F1761">
        <f>MONTH(Table13[[#This Row],[Date  (DMY)]])</f>
        <v>1</v>
      </c>
      <c r="G1761" s="2"/>
      <c r="L1761" s="5"/>
      <c r="M1761" s="4">
        <f>M1760-Table13[[#This Row],[Debits]]+Table13[[#This Row],[Income]]</f>
        <v>2805.21</v>
      </c>
      <c r="N1761" t="str">
        <f>IF(AND(Table13[[#This Row],[Category]]="pay",NOT(Table13[[#This Row],[Debits]]=0)),"bad","good")</f>
        <v>good</v>
      </c>
      <c r="O1761" s="5"/>
    </row>
    <row r="1762" spans="6:15" x14ac:dyDescent="0.3">
      <c r="F1762">
        <f>MONTH(Table13[[#This Row],[Date  (DMY)]])</f>
        <v>1</v>
      </c>
      <c r="G1762" s="2"/>
      <c r="L1762" s="5"/>
      <c r="M1762" s="4">
        <f>M1761-Table13[[#This Row],[Debits]]+Table13[[#This Row],[Income]]</f>
        <v>2805.21</v>
      </c>
      <c r="N1762" t="str">
        <f>IF(AND(Table13[[#This Row],[Category]]="pay",NOT(Table13[[#This Row],[Debits]]=0)),"bad","good")</f>
        <v>good</v>
      </c>
      <c r="O1762" s="5"/>
    </row>
    <row r="1763" spans="6:15" x14ac:dyDescent="0.3">
      <c r="F1763">
        <f>MONTH(Table13[[#This Row],[Date  (DMY)]])</f>
        <v>1</v>
      </c>
      <c r="G1763" s="2"/>
      <c r="L1763" s="5"/>
      <c r="M1763" s="4">
        <f>M1762-Table13[[#This Row],[Debits]]+Table13[[#This Row],[Income]]</f>
        <v>2805.21</v>
      </c>
      <c r="N1763" t="str">
        <f>IF(AND(Table13[[#This Row],[Category]]="pay",NOT(Table13[[#This Row],[Debits]]=0)),"bad","good")</f>
        <v>good</v>
      </c>
      <c r="O1763" s="5"/>
    </row>
    <row r="1764" spans="6:15" x14ac:dyDescent="0.3">
      <c r="F1764">
        <f>MONTH(Table13[[#This Row],[Date  (DMY)]])</f>
        <v>1</v>
      </c>
      <c r="G1764" s="2"/>
      <c r="L1764" s="5"/>
      <c r="M1764" s="4">
        <f>M1763-Table13[[#This Row],[Debits]]+Table13[[#This Row],[Income]]</f>
        <v>2805.21</v>
      </c>
      <c r="N1764" t="str">
        <f>IF(AND(Table13[[#This Row],[Category]]="pay",NOT(Table13[[#This Row],[Debits]]=0)),"bad","good")</f>
        <v>good</v>
      </c>
      <c r="O1764" s="5"/>
    </row>
    <row r="1765" spans="6:15" x14ac:dyDescent="0.3">
      <c r="F1765">
        <f>MONTH(Table13[[#This Row],[Date  (DMY)]])</f>
        <v>1</v>
      </c>
      <c r="G1765" s="2"/>
      <c r="L1765" s="5"/>
      <c r="M1765" s="4">
        <f>M1764-Table13[[#This Row],[Debits]]+Table13[[#This Row],[Income]]</f>
        <v>2805.21</v>
      </c>
      <c r="N1765" t="str">
        <f>IF(AND(Table13[[#This Row],[Category]]="pay",NOT(Table13[[#This Row],[Debits]]=0)),"bad","good")</f>
        <v>good</v>
      </c>
      <c r="O1765" s="5"/>
    </row>
    <row r="1766" spans="6:15" x14ac:dyDescent="0.3">
      <c r="F1766">
        <f>MONTH(Table13[[#This Row],[Date  (DMY)]])</f>
        <v>1</v>
      </c>
      <c r="G1766" s="2"/>
      <c r="L1766" s="5"/>
      <c r="M1766" s="4">
        <f>M1765-Table13[[#This Row],[Debits]]+Table13[[#This Row],[Income]]</f>
        <v>2805.21</v>
      </c>
      <c r="N1766" t="str">
        <f>IF(AND(Table13[[#This Row],[Category]]="pay",NOT(Table13[[#This Row],[Debits]]=0)),"bad","good")</f>
        <v>good</v>
      </c>
      <c r="O1766" s="5"/>
    </row>
    <row r="1767" spans="6:15" x14ac:dyDescent="0.3">
      <c r="F1767">
        <f>MONTH(Table13[[#This Row],[Date  (DMY)]])</f>
        <v>1</v>
      </c>
      <c r="G1767" s="2"/>
      <c r="L1767" s="5"/>
      <c r="M1767" s="4">
        <f>M1766-Table13[[#This Row],[Debits]]+Table13[[#This Row],[Income]]</f>
        <v>2805.21</v>
      </c>
      <c r="N1767" t="str">
        <f>IF(AND(Table13[[#This Row],[Category]]="pay",NOT(Table13[[#This Row],[Debits]]=0)),"bad","good")</f>
        <v>good</v>
      </c>
      <c r="O1767" s="5"/>
    </row>
    <row r="1768" spans="6:15" x14ac:dyDescent="0.3">
      <c r="F1768">
        <f>MONTH(Table13[[#This Row],[Date  (DMY)]])</f>
        <v>1</v>
      </c>
      <c r="G1768" s="2"/>
      <c r="L1768" s="5"/>
      <c r="M1768" s="4">
        <f>M1767-Table13[[#This Row],[Debits]]+Table13[[#This Row],[Income]]</f>
        <v>2805.21</v>
      </c>
      <c r="N1768" t="str">
        <f>IF(AND(Table13[[#This Row],[Category]]="pay",NOT(Table13[[#This Row],[Debits]]=0)),"bad","good")</f>
        <v>good</v>
      </c>
      <c r="O1768" s="5"/>
    </row>
    <row r="1769" spans="6:15" x14ac:dyDescent="0.3">
      <c r="F1769">
        <f>MONTH(Table13[[#This Row],[Date  (DMY)]])</f>
        <v>1</v>
      </c>
      <c r="G1769" s="2"/>
      <c r="L1769" s="5"/>
      <c r="M1769" s="4">
        <f>M1768-Table13[[#This Row],[Debits]]+Table13[[#This Row],[Income]]</f>
        <v>2805.21</v>
      </c>
      <c r="N1769" t="str">
        <f>IF(AND(Table13[[#This Row],[Category]]="pay",NOT(Table13[[#This Row],[Debits]]=0)),"bad","good")</f>
        <v>good</v>
      </c>
      <c r="O1769" s="5"/>
    </row>
    <row r="1770" spans="6:15" x14ac:dyDescent="0.3">
      <c r="F1770">
        <f>MONTH(Table13[[#This Row],[Date  (DMY)]])</f>
        <v>1</v>
      </c>
      <c r="G1770" s="2"/>
      <c r="L1770" s="5"/>
      <c r="M1770" s="4">
        <f>M1769-Table13[[#This Row],[Debits]]+Table13[[#This Row],[Income]]</f>
        <v>2805.21</v>
      </c>
      <c r="N1770" t="str">
        <f>IF(AND(Table13[[#This Row],[Category]]="pay",NOT(Table13[[#This Row],[Debits]]=0)),"bad","good")</f>
        <v>good</v>
      </c>
      <c r="O1770" s="5"/>
    </row>
    <row r="1771" spans="6:15" x14ac:dyDescent="0.3">
      <c r="F1771">
        <f>MONTH(Table13[[#This Row],[Date  (DMY)]])</f>
        <v>1</v>
      </c>
      <c r="G1771" s="2"/>
      <c r="L1771" s="5"/>
      <c r="M1771" s="4">
        <f>M1770-Table13[[#This Row],[Debits]]+Table13[[#This Row],[Income]]</f>
        <v>2805.21</v>
      </c>
      <c r="N1771" t="str">
        <f>IF(AND(Table13[[#This Row],[Category]]="pay",NOT(Table13[[#This Row],[Debits]]=0)),"bad","good")</f>
        <v>good</v>
      </c>
      <c r="O1771" s="5"/>
    </row>
    <row r="1772" spans="6:15" x14ac:dyDescent="0.3">
      <c r="F1772">
        <f>MONTH(Table13[[#This Row],[Date  (DMY)]])</f>
        <v>1</v>
      </c>
      <c r="G1772" s="2"/>
      <c r="L1772" s="5"/>
      <c r="M1772" s="4">
        <f>M1771-Table13[[#This Row],[Debits]]+Table13[[#This Row],[Income]]</f>
        <v>2805.21</v>
      </c>
      <c r="N1772" t="str">
        <f>IF(AND(Table13[[#This Row],[Category]]="pay",NOT(Table13[[#This Row],[Debits]]=0)),"bad","good")</f>
        <v>good</v>
      </c>
      <c r="O1772" s="5"/>
    </row>
    <row r="1773" spans="6:15" x14ac:dyDescent="0.3">
      <c r="F1773">
        <f>MONTH(Table13[[#This Row],[Date  (DMY)]])</f>
        <v>1</v>
      </c>
      <c r="G1773" s="2"/>
      <c r="L1773" s="5"/>
      <c r="M1773" s="4">
        <f>M1772-Table13[[#This Row],[Debits]]+Table13[[#This Row],[Income]]</f>
        <v>2805.21</v>
      </c>
      <c r="N1773" t="str">
        <f>IF(AND(Table13[[#This Row],[Category]]="pay",NOT(Table13[[#This Row],[Debits]]=0)),"bad","good")</f>
        <v>good</v>
      </c>
      <c r="O1773" s="5"/>
    </row>
    <row r="1774" spans="6:15" x14ac:dyDescent="0.3">
      <c r="F1774">
        <f>MONTH(Table13[[#This Row],[Date  (DMY)]])</f>
        <v>1</v>
      </c>
      <c r="G1774" s="2"/>
      <c r="L1774" s="5"/>
      <c r="M1774" s="4">
        <f>M1773-Table13[[#This Row],[Debits]]+Table13[[#This Row],[Income]]</f>
        <v>2805.21</v>
      </c>
      <c r="N1774" t="str">
        <f>IF(AND(Table13[[#This Row],[Category]]="pay",NOT(Table13[[#This Row],[Debits]]=0)),"bad","good")</f>
        <v>good</v>
      </c>
      <c r="O1774" s="5"/>
    </row>
    <row r="1775" spans="6:15" x14ac:dyDescent="0.3">
      <c r="F1775">
        <f>MONTH(Table13[[#This Row],[Date  (DMY)]])</f>
        <v>1</v>
      </c>
      <c r="G1775" s="2"/>
      <c r="L1775" s="5"/>
      <c r="M1775" s="4">
        <f>M1774-Table13[[#This Row],[Debits]]+Table13[[#This Row],[Income]]</f>
        <v>2805.21</v>
      </c>
      <c r="N1775" t="str">
        <f>IF(AND(Table13[[#This Row],[Category]]="pay",NOT(Table13[[#This Row],[Debits]]=0)),"bad","good")</f>
        <v>good</v>
      </c>
      <c r="O1775" s="5"/>
    </row>
    <row r="1776" spans="6:15" x14ac:dyDescent="0.3">
      <c r="F1776">
        <f>MONTH(Table13[[#This Row],[Date  (DMY)]])</f>
        <v>1</v>
      </c>
      <c r="G1776" s="2"/>
      <c r="L1776" s="5"/>
      <c r="M1776" s="4">
        <f>M1775-Table13[[#This Row],[Debits]]+Table13[[#This Row],[Income]]</f>
        <v>2805.21</v>
      </c>
      <c r="N1776" t="str">
        <f>IF(AND(Table13[[#This Row],[Category]]="pay",NOT(Table13[[#This Row],[Debits]]=0)),"bad","good")</f>
        <v>good</v>
      </c>
      <c r="O1776" s="5"/>
    </row>
    <row r="1777" spans="6:15" x14ac:dyDescent="0.3">
      <c r="F1777">
        <f>MONTH(Table13[[#This Row],[Date  (DMY)]])</f>
        <v>1</v>
      </c>
      <c r="G1777" s="2"/>
      <c r="L1777" s="5"/>
      <c r="M1777" s="4">
        <f>M1776-Table13[[#This Row],[Debits]]+Table13[[#This Row],[Income]]</f>
        <v>2805.21</v>
      </c>
      <c r="N1777" t="str">
        <f>IF(AND(Table13[[#This Row],[Category]]="pay",NOT(Table13[[#This Row],[Debits]]=0)),"bad","good")</f>
        <v>good</v>
      </c>
      <c r="O1777" s="5"/>
    </row>
    <row r="1778" spans="6:15" x14ac:dyDescent="0.3">
      <c r="F1778">
        <f>MONTH(Table13[[#This Row],[Date  (DMY)]])</f>
        <v>1</v>
      </c>
      <c r="G1778" s="2"/>
      <c r="L1778" s="5"/>
      <c r="M1778" s="4">
        <f>M1777-Table13[[#This Row],[Debits]]+Table13[[#This Row],[Income]]</f>
        <v>2805.21</v>
      </c>
      <c r="N1778" t="str">
        <f>IF(AND(Table13[[#This Row],[Category]]="pay",NOT(Table13[[#This Row],[Debits]]=0)),"bad","good")</f>
        <v>good</v>
      </c>
      <c r="O1778" s="5"/>
    </row>
    <row r="1779" spans="6:15" x14ac:dyDescent="0.3">
      <c r="F1779">
        <f>MONTH(Table13[[#This Row],[Date  (DMY)]])</f>
        <v>1</v>
      </c>
      <c r="G1779" s="2"/>
      <c r="L1779" s="5"/>
      <c r="M1779" s="4">
        <f>M1778-Table13[[#This Row],[Debits]]+Table13[[#This Row],[Income]]</f>
        <v>2805.21</v>
      </c>
      <c r="N1779" t="str">
        <f>IF(AND(Table13[[#This Row],[Category]]="pay",NOT(Table13[[#This Row],[Debits]]=0)),"bad","good")</f>
        <v>good</v>
      </c>
      <c r="O1779" s="5"/>
    </row>
    <row r="1780" spans="6:15" x14ac:dyDescent="0.3">
      <c r="F1780">
        <f>MONTH(Table13[[#This Row],[Date  (DMY)]])</f>
        <v>1</v>
      </c>
      <c r="G1780" s="2"/>
      <c r="L1780" s="5"/>
      <c r="M1780" s="4">
        <f>M1779-Table13[[#This Row],[Debits]]+Table13[[#This Row],[Income]]</f>
        <v>2805.21</v>
      </c>
      <c r="N1780" t="str">
        <f>IF(AND(Table13[[#This Row],[Category]]="pay",NOT(Table13[[#This Row],[Debits]]=0)),"bad","good")</f>
        <v>good</v>
      </c>
      <c r="O1780" s="5"/>
    </row>
    <row r="1781" spans="6:15" x14ac:dyDescent="0.3">
      <c r="F1781">
        <f>MONTH(Table13[[#This Row],[Date  (DMY)]])</f>
        <v>1</v>
      </c>
      <c r="G1781" s="2"/>
      <c r="L1781" s="5"/>
      <c r="M1781" s="4">
        <f>M1780-Table13[[#This Row],[Debits]]+Table13[[#This Row],[Income]]</f>
        <v>2805.21</v>
      </c>
      <c r="N1781" t="str">
        <f>IF(AND(Table13[[#This Row],[Category]]="pay",NOT(Table13[[#This Row],[Debits]]=0)),"bad","good")</f>
        <v>good</v>
      </c>
      <c r="O1781" s="5"/>
    </row>
    <row r="1782" spans="6:15" x14ac:dyDescent="0.3">
      <c r="F1782">
        <f>MONTH(Table13[[#This Row],[Date  (DMY)]])</f>
        <v>1</v>
      </c>
      <c r="G1782" s="2"/>
      <c r="L1782" s="5"/>
      <c r="M1782" s="4">
        <f>M1781-Table13[[#This Row],[Debits]]+Table13[[#This Row],[Income]]</f>
        <v>2805.21</v>
      </c>
      <c r="N1782" t="str">
        <f>IF(AND(Table13[[#This Row],[Category]]="pay",NOT(Table13[[#This Row],[Debits]]=0)),"bad","good")</f>
        <v>good</v>
      </c>
      <c r="O1782" s="5"/>
    </row>
    <row r="1783" spans="6:15" x14ac:dyDescent="0.3">
      <c r="F1783">
        <f>MONTH(Table13[[#This Row],[Date  (DMY)]])</f>
        <v>1</v>
      </c>
      <c r="G1783" s="2"/>
      <c r="L1783" s="5"/>
      <c r="M1783" s="4">
        <f>M1782-Table13[[#This Row],[Debits]]+Table13[[#This Row],[Income]]</f>
        <v>2805.21</v>
      </c>
      <c r="N1783" t="str">
        <f>IF(AND(Table13[[#This Row],[Category]]="pay",NOT(Table13[[#This Row],[Debits]]=0)),"bad","good")</f>
        <v>good</v>
      </c>
      <c r="O1783" s="5"/>
    </row>
    <row r="1784" spans="6:15" x14ac:dyDescent="0.3">
      <c r="F1784">
        <f>MONTH(Table13[[#This Row],[Date  (DMY)]])</f>
        <v>1</v>
      </c>
      <c r="G1784" s="2"/>
      <c r="L1784" s="5"/>
      <c r="M1784" s="4">
        <f>M1783-Table13[[#This Row],[Debits]]+Table13[[#This Row],[Income]]</f>
        <v>2805.21</v>
      </c>
      <c r="N1784" t="str">
        <f>IF(AND(Table13[[#This Row],[Category]]="pay",NOT(Table13[[#This Row],[Debits]]=0)),"bad","good")</f>
        <v>good</v>
      </c>
      <c r="O1784" s="5"/>
    </row>
    <row r="1785" spans="6:15" x14ac:dyDescent="0.3">
      <c r="F1785">
        <f>MONTH(Table13[[#This Row],[Date  (DMY)]])</f>
        <v>1</v>
      </c>
      <c r="G1785" s="2"/>
      <c r="L1785" s="5"/>
      <c r="M1785" s="4">
        <f>M1784-Table13[[#This Row],[Debits]]+Table13[[#This Row],[Income]]</f>
        <v>2805.21</v>
      </c>
      <c r="N1785" t="str">
        <f>IF(AND(Table13[[#This Row],[Category]]="pay",NOT(Table13[[#This Row],[Debits]]=0)),"bad","good")</f>
        <v>good</v>
      </c>
      <c r="O1785" s="5"/>
    </row>
    <row r="1786" spans="6:15" x14ac:dyDescent="0.3">
      <c r="F1786">
        <f>MONTH(Table13[[#This Row],[Date  (DMY)]])</f>
        <v>1</v>
      </c>
      <c r="G1786" s="2"/>
      <c r="L1786" s="5"/>
      <c r="M1786" s="4">
        <f>M1785-Table13[[#This Row],[Debits]]+Table13[[#This Row],[Income]]</f>
        <v>2805.21</v>
      </c>
      <c r="N1786" t="str">
        <f>IF(AND(Table13[[#This Row],[Category]]="pay",NOT(Table13[[#This Row],[Debits]]=0)),"bad","good")</f>
        <v>good</v>
      </c>
      <c r="O1786" s="5"/>
    </row>
    <row r="1787" spans="6:15" x14ac:dyDescent="0.3">
      <c r="F1787">
        <f>MONTH(Table13[[#This Row],[Date  (DMY)]])</f>
        <v>1</v>
      </c>
      <c r="G1787" s="2"/>
      <c r="L1787" s="5"/>
      <c r="M1787" s="4">
        <f>M1786-Table13[[#This Row],[Debits]]+Table13[[#This Row],[Income]]</f>
        <v>2805.21</v>
      </c>
      <c r="N1787" t="str">
        <f>IF(AND(Table13[[#This Row],[Category]]="pay",NOT(Table13[[#This Row],[Debits]]=0)),"bad","good")</f>
        <v>good</v>
      </c>
      <c r="O1787" s="5"/>
    </row>
    <row r="1788" spans="6:15" x14ac:dyDescent="0.3">
      <c r="F1788">
        <f>MONTH(Table13[[#This Row],[Date  (DMY)]])</f>
        <v>1</v>
      </c>
      <c r="G1788" s="2"/>
      <c r="L1788" s="5"/>
      <c r="M1788" s="4">
        <f>M1787-Table13[[#This Row],[Debits]]+Table13[[#This Row],[Income]]</f>
        <v>2805.21</v>
      </c>
      <c r="N1788" t="str">
        <f>IF(AND(Table13[[#This Row],[Category]]="pay",NOT(Table13[[#This Row],[Debits]]=0)),"bad","good")</f>
        <v>good</v>
      </c>
      <c r="O1788" s="5"/>
    </row>
    <row r="1789" spans="6:15" x14ac:dyDescent="0.3">
      <c r="F1789">
        <f>MONTH(Table13[[#This Row],[Date  (DMY)]])</f>
        <v>1</v>
      </c>
      <c r="G1789" s="2"/>
      <c r="L1789" s="5"/>
      <c r="M1789" s="4">
        <f>M1788-Table13[[#This Row],[Debits]]+Table13[[#This Row],[Income]]</f>
        <v>2805.21</v>
      </c>
      <c r="N1789" t="str">
        <f>IF(AND(Table13[[#This Row],[Category]]="pay",NOT(Table13[[#This Row],[Debits]]=0)),"bad","good")</f>
        <v>good</v>
      </c>
      <c r="O1789" s="5"/>
    </row>
    <row r="1790" spans="6:15" x14ac:dyDescent="0.3">
      <c r="F1790">
        <f>MONTH(Table13[[#This Row],[Date  (DMY)]])</f>
        <v>1</v>
      </c>
      <c r="G1790" s="2"/>
      <c r="L1790" s="5"/>
      <c r="M1790" s="4">
        <f>M1789-Table13[[#This Row],[Debits]]+Table13[[#This Row],[Income]]</f>
        <v>2805.21</v>
      </c>
      <c r="N1790" t="str">
        <f>IF(AND(Table13[[#This Row],[Category]]="pay",NOT(Table13[[#This Row],[Debits]]=0)),"bad","good")</f>
        <v>good</v>
      </c>
      <c r="O1790" s="5"/>
    </row>
    <row r="1791" spans="6:15" x14ac:dyDescent="0.3">
      <c r="F1791">
        <f>MONTH(Table13[[#This Row],[Date  (DMY)]])</f>
        <v>1</v>
      </c>
      <c r="G1791" s="2"/>
      <c r="L1791" s="5"/>
      <c r="M1791" s="4">
        <f>M1790-Table13[[#This Row],[Debits]]+Table13[[#This Row],[Income]]</f>
        <v>2805.21</v>
      </c>
      <c r="N1791" t="str">
        <f>IF(AND(Table13[[#This Row],[Category]]="pay",NOT(Table13[[#This Row],[Debits]]=0)),"bad","good")</f>
        <v>good</v>
      </c>
      <c r="O1791" s="5"/>
    </row>
    <row r="1792" spans="6:15" x14ac:dyDescent="0.3">
      <c r="F1792">
        <f>MONTH(Table13[[#This Row],[Date  (DMY)]])</f>
        <v>1</v>
      </c>
      <c r="G1792" s="2"/>
      <c r="L1792" s="5"/>
      <c r="M1792" s="4">
        <f>M1791-Table13[[#This Row],[Debits]]+Table13[[#This Row],[Income]]</f>
        <v>2805.21</v>
      </c>
      <c r="N1792" t="str">
        <f>IF(AND(Table13[[#This Row],[Category]]="pay",NOT(Table13[[#This Row],[Debits]]=0)),"bad","good")</f>
        <v>good</v>
      </c>
      <c r="O1792" s="5"/>
    </row>
    <row r="1793" spans="6:15" x14ac:dyDescent="0.3">
      <c r="F1793">
        <f>MONTH(Table13[[#This Row],[Date  (DMY)]])</f>
        <v>1</v>
      </c>
      <c r="G1793" s="2"/>
      <c r="L1793" s="5"/>
      <c r="M1793" s="4">
        <f>M1792-Table13[[#This Row],[Debits]]+Table13[[#This Row],[Income]]</f>
        <v>2805.21</v>
      </c>
      <c r="N1793" t="str">
        <f>IF(AND(Table13[[#This Row],[Category]]="pay",NOT(Table13[[#This Row],[Debits]]=0)),"bad","good")</f>
        <v>good</v>
      </c>
      <c r="O1793" s="5"/>
    </row>
    <row r="1794" spans="6:15" x14ac:dyDescent="0.3">
      <c r="F1794">
        <f>MONTH(Table13[[#This Row],[Date  (DMY)]])</f>
        <v>1</v>
      </c>
      <c r="G1794" s="2"/>
      <c r="L1794" s="5"/>
      <c r="M1794" s="4">
        <f>M1793-Table13[[#This Row],[Debits]]+Table13[[#This Row],[Income]]</f>
        <v>2805.21</v>
      </c>
      <c r="N1794" t="str">
        <f>IF(AND(Table13[[#This Row],[Category]]="pay",NOT(Table13[[#This Row],[Debits]]=0)),"bad","good")</f>
        <v>good</v>
      </c>
      <c r="O1794" s="5"/>
    </row>
    <row r="1795" spans="6:15" x14ac:dyDescent="0.3">
      <c r="F1795">
        <f>MONTH(Table13[[#This Row],[Date  (DMY)]])</f>
        <v>1</v>
      </c>
      <c r="G1795" s="2"/>
      <c r="L1795" s="5"/>
      <c r="M1795" s="4">
        <f>M1794-Table13[[#This Row],[Debits]]+Table13[[#This Row],[Income]]</f>
        <v>2805.21</v>
      </c>
      <c r="N1795" t="str">
        <f>IF(AND(Table13[[#This Row],[Category]]="pay",NOT(Table13[[#This Row],[Debits]]=0)),"bad","good")</f>
        <v>good</v>
      </c>
      <c r="O1795" s="5"/>
    </row>
    <row r="1796" spans="6:15" x14ac:dyDescent="0.3">
      <c r="F1796">
        <f>MONTH(Table13[[#This Row],[Date  (DMY)]])</f>
        <v>1</v>
      </c>
      <c r="G1796" s="2"/>
      <c r="L1796" s="5"/>
      <c r="M1796" s="4">
        <f>M1795-Table13[[#This Row],[Debits]]+Table13[[#This Row],[Income]]</f>
        <v>2805.21</v>
      </c>
      <c r="N1796" t="str">
        <f>IF(AND(Table13[[#This Row],[Category]]="pay",NOT(Table13[[#This Row],[Debits]]=0)),"bad","good")</f>
        <v>good</v>
      </c>
      <c r="O1796" s="5"/>
    </row>
    <row r="1797" spans="6:15" x14ac:dyDescent="0.3">
      <c r="F1797">
        <f>MONTH(Table13[[#This Row],[Date  (DMY)]])</f>
        <v>1</v>
      </c>
      <c r="G1797" s="2"/>
      <c r="L1797" s="5"/>
      <c r="M1797" s="4">
        <f>M1796-Table13[[#This Row],[Debits]]+Table13[[#This Row],[Income]]</f>
        <v>2805.21</v>
      </c>
      <c r="N1797" t="str">
        <f>IF(AND(Table13[[#This Row],[Category]]="pay",NOT(Table13[[#This Row],[Debits]]=0)),"bad","good")</f>
        <v>good</v>
      </c>
      <c r="O1797" s="5"/>
    </row>
    <row r="1798" spans="6:15" x14ac:dyDescent="0.3">
      <c r="F1798">
        <f>MONTH(Table13[[#This Row],[Date  (DMY)]])</f>
        <v>1</v>
      </c>
      <c r="G1798" s="2"/>
      <c r="L1798" s="5"/>
      <c r="M1798" s="4">
        <f>M1797-Table13[[#This Row],[Debits]]+Table13[[#This Row],[Income]]</f>
        <v>2805.21</v>
      </c>
      <c r="N1798" t="str">
        <f>IF(AND(Table13[[#This Row],[Category]]="pay",NOT(Table13[[#This Row],[Debits]]=0)),"bad","good")</f>
        <v>good</v>
      </c>
      <c r="O1798" s="5"/>
    </row>
    <row r="1799" spans="6:15" x14ac:dyDescent="0.3">
      <c r="F1799">
        <f>MONTH(Table13[[#This Row],[Date  (DMY)]])</f>
        <v>1</v>
      </c>
      <c r="G1799" s="2"/>
      <c r="L1799" s="5"/>
      <c r="M1799" s="4">
        <f>M1798-Table13[[#This Row],[Debits]]+Table13[[#This Row],[Income]]</f>
        <v>2805.21</v>
      </c>
      <c r="N1799" t="str">
        <f>IF(AND(Table13[[#This Row],[Category]]="pay",NOT(Table13[[#This Row],[Debits]]=0)),"bad","good")</f>
        <v>good</v>
      </c>
      <c r="O1799" s="5"/>
    </row>
    <row r="1800" spans="6:15" x14ac:dyDescent="0.3">
      <c r="F1800">
        <f>MONTH(Table13[[#This Row],[Date  (DMY)]])</f>
        <v>1</v>
      </c>
      <c r="G1800" s="2"/>
      <c r="L1800" s="5"/>
      <c r="M1800" s="4">
        <f>M1799-Table13[[#This Row],[Debits]]+Table13[[#This Row],[Income]]</f>
        <v>2805.21</v>
      </c>
      <c r="N1800" t="str">
        <f>IF(AND(Table13[[#This Row],[Category]]="pay",NOT(Table13[[#This Row],[Debits]]=0)),"bad","good")</f>
        <v>good</v>
      </c>
      <c r="O1800" s="5"/>
    </row>
    <row r="1801" spans="6:15" x14ac:dyDescent="0.3">
      <c r="F1801">
        <f>MONTH(Table13[[#This Row],[Date  (DMY)]])</f>
        <v>1</v>
      </c>
      <c r="G1801" s="2"/>
      <c r="L1801" s="5"/>
      <c r="M1801" s="4">
        <f>M1800-Table13[[#This Row],[Debits]]+Table13[[#This Row],[Income]]</f>
        <v>2805.21</v>
      </c>
      <c r="N1801" t="str">
        <f>IF(AND(Table13[[#This Row],[Category]]="pay",NOT(Table13[[#This Row],[Debits]]=0)),"bad","good")</f>
        <v>good</v>
      </c>
      <c r="O1801" s="5"/>
    </row>
    <row r="1802" spans="6:15" x14ac:dyDescent="0.3">
      <c r="F1802">
        <f>MONTH(Table13[[#This Row],[Date  (DMY)]])</f>
        <v>1</v>
      </c>
      <c r="G1802" s="2"/>
      <c r="L1802" s="5"/>
      <c r="M1802" s="4">
        <f>M1801-Table13[[#This Row],[Debits]]+Table13[[#This Row],[Income]]</f>
        <v>2805.21</v>
      </c>
      <c r="N1802" t="str">
        <f>IF(AND(Table13[[#This Row],[Category]]="pay",NOT(Table13[[#This Row],[Debits]]=0)),"bad","good")</f>
        <v>good</v>
      </c>
      <c r="O1802" s="5"/>
    </row>
    <row r="1803" spans="6:15" x14ac:dyDescent="0.3">
      <c r="F1803">
        <f>MONTH(Table13[[#This Row],[Date  (DMY)]])</f>
        <v>1</v>
      </c>
      <c r="G1803" s="2"/>
      <c r="L1803" s="5"/>
      <c r="M1803" s="4">
        <f>M1802-Table13[[#This Row],[Debits]]+Table13[[#This Row],[Income]]</f>
        <v>2805.21</v>
      </c>
      <c r="N1803" t="str">
        <f>IF(AND(Table13[[#This Row],[Category]]="pay",NOT(Table13[[#This Row],[Debits]]=0)),"bad","good")</f>
        <v>good</v>
      </c>
      <c r="O1803" s="5"/>
    </row>
    <row r="1804" spans="6:15" x14ac:dyDescent="0.3">
      <c r="F1804">
        <f>MONTH(Table13[[#This Row],[Date  (DMY)]])</f>
        <v>1</v>
      </c>
      <c r="G1804" s="2"/>
      <c r="L1804" s="5"/>
      <c r="M1804" s="4">
        <f>M1803-Table13[[#This Row],[Debits]]+Table13[[#This Row],[Income]]</f>
        <v>2805.21</v>
      </c>
      <c r="N1804" t="str">
        <f>IF(AND(Table13[[#This Row],[Category]]="pay",NOT(Table13[[#This Row],[Debits]]=0)),"bad","good")</f>
        <v>good</v>
      </c>
      <c r="O1804" s="5"/>
    </row>
    <row r="1805" spans="6:15" x14ac:dyDescent="0.3">
      <c r="F1805">
        <f>MONTH(Table13[[#This Row],[Date  (DMY)]])</f>
        <v>1</v>
      </c>
      <c r="G1805" s="2"/>
      <c r="L1805" s="5"/>
      <c r="M1805" s="4">
        <f>M1804-Table13[[#This Row],[Debits]]+Table13[[#This Row],[Income]]</f>
        <v>2805.21</v>
      </c>
      <c r="N1805" t="str">
        <f>IF(AND(Table13[[#This Row],[Category]]="pay",NOT(Table13[[#This Row],[Debits]]=0)),"bad","good")</f>
        <v>good</v>
      </c>
      <c r="O1805" s="5"/>
    </row>
    <row r="1806" spans="6:15" x14ac:dyDescent="0.3">
      <c r="F1806">
        <f>MONTH(Table13[[#This Row],[Date  (DMY)]])</f>
        <v>1</v>
      </c>
      <c r="G1806" s="2"/>
      <c r="L1806" s="5"/>
      <c r="M1806" s="4">
        <f>M1805-Table13[[#This Row],[Debits]]+Table13[[#This Row],[Income]]</f>
        <v>2805.21</v>
      </c>
      <c r="N1806" t="str">
        <f>IF(AND(Table13[[#This Row],[Category]]="pay",NOT(Table13[[#This Row],[Debits]]=0)),"bad","good")</f>
        <v>good</v>
      </c>
      <c r="O1806" s="5"/>
    </row>
    <row r="1807" spans="6:15" x14ac:dyDescent="0.3">
      <c r="F1807">
        <f>MONTH(Table13[[#This Row],[Date  (DMY)]])</f>
        <v>1</v>
      </c>
      <c r="G1807" s="2"/>
      <c r="L1807" s="5"/>
      <c r="M1807" s="4">
        <f>M1806-Table13[[#This Row],[Debits]]+Table13[[#This Row],[Income]]</f>
        <v>2805.21</v>
      </c>
      <c r="N1807" t="str">
        <f>IF(AND(Table13[[#This Row],[Category]]="pay",NOT(Table13[[#This Row],[Debits]]=0)),"bad","good")</f>
        <v>good</v>
      </c>
      <c r="O1807" s="5"/>
    </row>
    <row r="1808" spans="6:15" x14ac:dyDescent="0.3">
      <c r="F1808">
        <f>MONTH(Table13[[#This Row],[Date  (DMY)]])</f>
        <v>1</v>
      </c>
      <c r="G1808" s="2"/>
      <c r="L1808" s="5"/>
      <c r="M1808" s="4">
        <f>M1807-Table13[[#This Row],[Debits]]+Table13[[#This Row],[Income]]</f>
        <v>2805.21</v>
      </c>
      <c r="N1808" t="str">
        <f>IF(AND(Table13[[#This Row],[Category]]="pay",NOT(Table13[[#This Row],[Debits]]=0)),"bad","good")</f>
        <v>good</v>
      </c>
      <c r="O1808" s="5"/>
    </row>
    <row r="1809" spans="6:15" x14ac:dyDescent="0.3">
      <c r="F1809">
        <f>MONTH(Table13[[#This Row],[Date  (DMY)]])</f>
        <v>1</v>
      </c>
      <c r="G1809" s="2"/>
      <c r="L1809" s="5"/>
      <c r="M1809" s="4">
        <f>M1808-Table13[[#This Row],[Debits]]+Table13[[#This Row],[Income]]</f>
        <v>2805.21</v>
      </c>
      <c r="N1809" t="str">
        <f>IF(AND(Table13[[#This Row],[Category]]="pay",NOT(Table13[[#This Row],[Debits]]=0)),"bad","good")</f>
        <v>good</v>
      </c>
      <c r="O1809" s="5"/>
    </row>
    <row r="1810" spans="6:15" x14ac:dyDescent="0.3">
      <c r="F1810">
        <f>MONTH(Table13[[#This Row],[Date  (DMY)]])</f>
        <v>1</v>
      </c>
      <c r="G1810" s="2"/>
      <c r="L1810" s="5"/>
      <c r="M1810" s="4">
        <f>M1809-Table13[[#This Row],[Debits]]+Table13[[#This Row],[Income]]</f>
        <v>2805.21</v>
      </c>
      <c r="N1810" t="str">
        <f>IF(AND(Table13[[#This Row],[Category]]="pay",NOT(Table13[[#This Row],[Debits]]=0)),"bad","good")</f>
        <v>good</v>
      </c>
      <c r="O1810" s="5"/>
    </row>
    <row r="1811" spans="6:15" x14ac:dyDescent="0.3">
      <c r="F1811">
        <f>MONTH(Table13[[#This Row],[Date  (DMY)]])</f>
        <v>1</v>
      </c>
      <c r="G1811" s="2"/>
      <c r="L1811" s="5"/>
      <c r="M1811" s="4">
        <f>M1810-Table13[[#This Row],[Debits]]+Table13[[#This Row],[Income]]</f>
        <v>2805.21</v>
      </c>
      <c r="N1811" t="str">
        <f>IF(AND(Table13[[#This Row],[Category]]="pay",NOT(Table13[[#This Row],[Debits]]=0)),"bad","good")</f>
        <v>good</v>
      </c>
      <c r="O1811" s="5"/>
    </row>
    <row r="1812" spans="6:15" x14ac:dyDescent="0.3">
      <c r="F1812">
        <f>MONTH(Table13[[#This Row],[Date  (DMY)]])</f>
        <v>1</v>
      </c>
      <c r="G1812" s="2"/>
      <c r="L1812" s="5"/>
      <c r="M1812" s="4">
        <f>M1811-Table13[[#This Row],[Debits]]+Table13[[#This Row],[Income]]</f>
        <v>2805.21</v>
      </c>
      <c r="N1812" t="str">
        <f>IF(AND(Table13[[#This Row],[Category]]="pay",NOT(Table13[[#This Row],[Debits]]=0)),"bad","good")</f>
        <v>good</v>
      </c>
      <c r="O1812" s="5"/>
    </row>
    <row r="1813" spans="6:15" x14ac:dyDescent="0.3">
      <c r="F1813">
        <f>MONTH(Table13[[#This Row],[Date  (DMY)]])</f>
        <v>1</v>
      </c>
      <c r="G1813" s="2"/>
      <c r="L1813" s="5"/>
      <c r="M1813" s="4">
        <f>M1812-Table13[[#This Row],[Debits]]+Table13[[#This Row],[Income]]</f>
        <v>2805.21</v>
      </c>
      <c r="N1813" t="str">
        <f>IF(AND(Table13[[#This Row],[Category]]="pay",NOT(Table13[[#This Row],[Debits]]=0)),"bad","good")</f>
        <v>good</v>
      </c>
      <c r="O1813" s="5"/>
    </row>
    <row r="1814" spans="6:15" x14ac:dyDescent="0.3">
      <c r="F1814">
        <f>MONTH(Table13[[#This Row],[Date  (DMY)]])</f>
        <v>1</v>
      </c>
      <c r="G1814" s="2"/>
      <c r="L1814" s="5"/>
      <c r="M1814" s="4">
        <f>M1813-Table13[[#This Row],[Debits]]+Table13[[#This Row],[Income]]</f>
        <v>2805.21</v>
      </c>
      <c r="N1814" t="str">
        <f>IF(AND(Table13[[#This Row],[Category]]="pay",NOT(Table13[[#This Row],[Debits]]=0)),"bad","good")</f>
        <v>good</v>
      </c>
      <c r="O1814" s="5"/>
    </row>
    <row r="1815" spans="6:15" x14ac:dyDescent="0.3">
      <c r="F1815">
        <f>MONTH(Table13[[#This Row],[Date  (DMY)]])</f>
        <v>1</v>
      </c>
      <c r="G1815" s="2"/>
      <c r="L1815" s="5"/>
      <c r="M1815" s="4">
        <f>M1814-Table13[[#This Row],[Debits]]+Table13[[#This Row],[Income]]</f>
        <v>2805.21</v>
      </c>
      <c r="N1815" t="str">
        <f>IF(AND(Table13[[#This Row],[Category]]="pay",NOT(Table13[[#This Row],[Debits]]=0)),"bad","good")</f>
        <v>good</v>
      </c>
      <c r="O1815" s="5"/>
    </row>
    <row r="1816" spans="6:15" x14ac:dyDescent="0.3">
      <c r="F1816">
        <f>MONTH(Table13[[#This Row],[Date  (DMY)]])</f>
        <v>1</v>
      </c>
      <c r="G1816" s="2"/>
      <c r="L1816" s="5"/>
      <c r="M1816" s="4">
        <f>M1815-Table13[[#This Row],[Debits]]+Table13[[#This Row],[Income]]</f>
        <v>2805.21</v>
      </c>
      <c r="N1816" t="str">
        <f>IF(AND(Table13[[#This Row],[Category]]="pay",NOT(Table13[[#This Row],[Debits]]=0)),"bad","good")</f>
        <v>good</v>
      </c>
      <c r="O1816" s="5"/>
    </row>
    <row r="1817" spans="6:15" x14ac:dyDescent="0.3">
      <c r="F1817">
        <f>MONTH(Table13[[#This Row],[Date  (DMY)]])</f>
        <v>1</v>
      </c>
      <c r="G1817" s="2"/>
      <c r="L1817" s="5"/>
      <c r="M1817" s="4">
        <f>M1816-Table13[[#This Row],[Debits]]+Table13[[#This Row],[Income]]</f>
        <v>2805.21</v>
      </c>
      <c r="N1817" t="str">
        <f>IF(AND(Table13[[#This Row],[Category]]="pay",NOT(Table13[[#This Row],[Debits]]=0)),"bad","good")</f>
        <v>good</v>
      </c>
      <c r="O1817" s="5"/>
    </row>
    <row r="1818" spans="6:15" x14ac:dyDescent="0.3">
      <c r="F1818">
        <f>MONTH(Table13[[#This Row],[Date  (DMY)]])</f>
        <v>1</v>
      </c>
      <c r="G1818" s="2"/>
      <c r="L1818" s="5"/>
      <c r="M1818" s="4">
        <f>M1817-Table13[[#This Row],[Debits]]+Table13[[#This Row],[Income]]</f>
        <v>2805.21</v>
      </c>
      <c r="N1818" t="str">
        <f>IF(AND(Table13[[#This Row],[Category]]="pay",NOT(Table13[[#This Row],[Debits]]=0)),"bad","good")</f>
        <v>good</v>
      </c>
      <c r="O1818" s="5"/>
    </row>
    <row r="1819" spans="6:15" x14ac:dyDescent="0.3">
      <c r="F1819">
        <f>MONTH(Table13[[#This Row],[Date  (DMY)]])</f>
        <v>1</v>
      </c>
      <c r="G1819" s="2"/>
      <c r="L1819" s="5"/>
      <c r="M1819" s="4">
        <f>M1818-Table13[[#This Row],[Debits]]+Table13[[#This Row],[Income]]</f>
        <v>2805.21</v>
      </c>
      <c r="N1819" t="str">
        <f>IF(AND(Table13[[#This Row],[Category]]="pay",NOT(Table13[[#This Row],[Debits]]=0)),"bad","good")</f>
        <v>good</v>
      </c>
      <c r="O1819" s="5"/>
    </row>
    <row r="1820" spans="6:15" x14ac:dyDescent="0.3">
      <c r="F1820">
        <f>MONTH(Table13[[#This Row],[Date  (DMY)]])</f>
        <v>1</v>
      </c>
      <c r="G1820" s="2"/>
      <c r="L1820" s="5"/>
      <c r="M1820" s="4">
        <f>M1819-Table13[[#This Row],[Debits]]+Table13[[#This Row],[Income]]</f>
        <v>2805.21</v>
      </c>
      <c r="N1820" t="str">
        <f>IF(AND(Table13[[#This Row],[Category]]="pay",NOT(Table13[[#This Row],[Debits]]=0)),"bad","good")</f>
        <v>good</v>
      </c>
      <c r="O1820" s="5"/>
    </row>
    <row r="1821" spans="6:15" x14ac:dyDescent="0.3">
      <c r="F1821">
        <f>MONTH(Table13[[#This Row],[Date  (DMY)]])</f>
        <v>1</v>
      </c>
      <c r="G1821" s="2"/>
      <c r="L1821" s="5"/>
      <c r="M1821" s="4">
        <f>M1820-Table13[[#This Row],[Debits]]+Table13[[#This Row],[Income]]</f>
        <v>2805.21</v>
      </c>
      <c r="N1821" t="str">
        <f>IF(AND(Table13[[#This Row],[Category]]="pay",NOT(Table13[[#This Row],[Debits]]=0)),"bad","good")</f>
        <v>good</v>
      </c>
      <c r="O1821" s="5"/>
    </row>
    <row r="1822" spans="6:15" x14ac:dyDescent="0.3">
      <c r="F1822">
        <f>MONTH(Table13[[#This Row],[Date  (DMY)]])</f>
        <v>1</v>
      </c>
      <c r="G1822" s="2"/>
      <c r="L1822" s="5"/>
      <c r="M1822" s="4">
        <f>M1821-Table13[[#This Row],[Debits]]+Table13[[#This Row],[Income]]</f>
        <v>2805.21</v>
      </c>
      <c r="N1822" t="str">
        <f>IF(AND(Table13[[#This Row],[Category]]="pay",NOT(Table13[[#This Row],[Debits]]=0)),"bad","good")</f>
        <v>good</v>
      </c>
      <c r="O1822" s="5"/>
    </row>
    <row r="1823" spans="6:15" x14ac:dyDescent="0.3">
      <c r="F1823">
        <f>MONTH(Table13[[#This Row],[Date  (DMY)]])</f>
        <v>1</v>
      </c>
      <c r="G1823" s="2"/>
      <c r="L1823" s="5"/>
      <c r="M1823" s="4">
        <f>M1822-Table13[[#This Row],[Debits]]+Table13[[#This Row],[Income]]</f>
        <v>2805.21</v>
      </c>
      <c r="N1823" t="str">
        <f>IF(AND(Table13[[#This Row],[Category]]="pay",NOT(Table13[[#This Row],[Debits]]=0)),"bad","good")</f>
        <v>good</v>
      </c>
      <c r="O1823" s="5"/>
    </row>
    <row r="1824" spans="6:15" x14ac:dyDescent="0.3">
      <c r="F1824">
        <f>MONTH(Table13[[#This Row],[Date  (DMY)]])</f>
        <v>1</v>
      </c>
      <c r="G1824" s="2"/>
      <c r="L1824" s="5"/>
      <c r="M1824" s="4">
        <f>M1823-Table13[[#This Row],[Debits]]+Table13[[#This Row],[Income]]</f>
        <v>2805.21</v>
      </c>
      <c r="N1824" t="str">
        <f>IF(AND(Table13[[#This Row],[Category]]="pay",NOT(Table13[[#This Row],[Debits]]=0)),"bad","good")</f>
        <v>good</v>
      </c>
      <c r="O1824" s="5"/>
    </row>
    <row r="1825" spans="6:15" x14ac:dyDescent="0.3">
      <c r="F1825">
        <f>MONTH(Table13[[#This Row],[Date  (DMY)]])</f>
        <v>1</v>
      </c>
      <c r="G1825" s="2"/>
      <c r="L1825" s="5"/>
      <c r="M1825" s="4">
        <f>M1824-Table13[[#This Row],[Debits]]+Table13[[#This Row],[Income]]</f>
        <v>2805.21</v>
      </c>
      <c r="N1825" t="str">
        <f>IF(AND(Table13[[#This Row],[Category]]="pay",NOT(Table13[[#This Row],[Debits]]=0)),"bad","good")</f>
        <v>good</v>
      </c>
      <c r="O1825" s="5"/>
    </row>
    <row r="1826" spans="6:15" x14ac:dyDescent="0.3">
      <c r="F1826">
        <f>MONTH(Table13[[#This Row],[Date  (DMY)]])</f>
        <v>1</v>
      </c>
      <c r="G1826" s="2"/>
      <c r="L1826" s="5"/>
      <c r="M1826" s="4">
        <f>M1825-Table13[[#This Row],[Debits]]+Table13[[#This Row],[Income]]</f>
        <v>2805.21</v>
      </c>
      <c r="N1826" t="str">
        <f>IF(AND(Table13[[#This Row],[Category]]="pay",NOT(Table13[[#This Row],[Debits]]=0)),"bad","good")</f>
        <v>good</v>
      </c>
      <c r="O1826" s="5"/>
    </row>
    <row r="1827" spans="6:15" x14ac:dyDescent="0.3">
      <c r="F1827">
        <f>MONTH(Table13[[#This Row],[Date  (DMY)]])</f>
        <v>1</v>
      </c>
      <c r="G1827" s="2"/>
      <c r="L1827" s="5"/>
      <c r="M1827" s="4">
        <f>M1826-Table13[[#This Row],[Debits]]+Table13[[#This Row],[Income]]</f>
        <v>2805.21</v>
      </c>
      <c r="N1827" t="str">
        <f>IF(AND(Table13[[#This Row],[Category]]="pay",NOT(Table13[[#This Row],[Debits]]=0)),"bad","good")</f>
        <v>good</v>
      </c>
      <c r="O1827" s="5"/>
    </row>
    <row r="1828" spans="6:15" x14ac:dyDescent="0.3">
      <c r="F1828">
        <f>MONTH(Table13[[#This Row],[Date  (DMY)]])</f>
        <v>1</v>
      </c>
      <c r="G1828" s="2"/>
      <c r="L1828" s="5"/>
      <c r="M1828" s="4">
        <f>M1827-Table13[[#This Row],[Debits]]+Table13[[#This Row],[Income]]</f>
        <v>2805.21</v>
      </c>
      <c r="N1828" t="str">
        <f>IF(AND(Table13[[#This Row],[Category]]="pay",NOT(Table13[[#This Row],[Debits]]=0)),"bad","good")</f>
        <v>good</v>
      </c>
      <c r="O1828" s="5"/>
    </row>
    <row r="1829" spans="6:15" x14ac:dyDescent="0.3">
      <c r="F1829">
        <f>MONTH(Table13[[#This Row],[Date  (DMY)]])</f>
        <v>1</v>
      </c>
      <c r="G1829" s="2"/>
      <c r="L1829" s="5"/>
      <c r="M1829" s="4">
        <f>M1828-Table13[[#This Row],[Debits]]+Table13[[#This Row],[Income]]</f>
        <v>2805.21</v>
      </c>
      <c r="N1829" t="str">
        <f>IF(AND(Table13[[#This Row],[Category]]="pay",NOT(Table13[[#This Row],[Debits]]=0)),"bad","good")</f>
        <v>good</v>
      </c>
      <c r="O1829" s="5"/>
    </row>
    <row r="1830" spans="6:15" x14ac:dyDescent="0.3">
      <c r="F1830">
        <f>MONTH(Table13[[#This Row],[Date  (DMY)]])</f>
        <v>1</v>
      </c>
      <c r="G1830" s="2"/>
      <c r="L1830" s="5"/>
      <c r="M1830" s="4">
        <f>M1829-Table13[[#This Row],[Debits]]+Table13[[#This Row],[Income]]</f>
        <v>2805.21</v>
      </c>
      <c r="N1830" t="str">
        <f>IF(AND(Table13[[#This Row],[Category]]="pay",NOT(Table13[[#This Row],[Debits]]=0)),"bad","good")</f>
        <v>good</v>
      </c>
      <c r="O1830" s="5"/>
    </row>
    <row r="1831" spans="6:15" x14ac:dyDescent="0.3">
      <c r="F1831">
        <f>MONTH(Table13[[#This Row],[Date  (DMY)]])</f>
        <v>1</v>
      </c>
      <c r="G1831" s="2"/>
      <c r="L1831" s="5"/>
      <c r="M1831" s="4">
        <f>M1830-Table13[[#This Row],[Debits]]+Table13[[#This Row],[Income]]</f>
        <v>2805.21</v>
      </c>
      <c r="N1831" t="str">
        <f>IF(AND(Table13[[#This Row],[Category]]="pay",NOT(Table13[[#This Row],[Debits]]=0)),"bad","good")</f>
        <v>good</v>
      </c>
      <c r="O1831" s="5"/>
    </row>
    <row r="1832" spans="6:15" x14ac:dyDescent="0.3">
      <c r="F1832">
        <f>MONTH(Table13[[#This Row],[Date  (DMY)]])</f>
        <v>1</v>
      </c>
      <c r="G1832" s="2"/>
      <c r="L1832" s="5"/>
      <c r="M1832" s="4">
        <f>M1831-Table13[[#This Row],[Debits]]+Table13[[#This Row],[Income]]</f>
        <v>2805.21</v>
      </c>
      <c r="N1832" t="str">
        <f>IF(AND(Table13[[#This Row],[Category]]="pay",NOT(Table13[[#This Row],[Debits]]=0)),"bad","good")</f>
        <v>good</v>
      </c>
      <c r="O1832" s="5"/>
    </row>
    <row r="1833" spans="6:15" x14ac:dyDescent="0.3">
      <c r="F1833">
        <f>MONTH(Table13[[#This Row],[Date  (DMY)]])</f>
        <v>1</v>
      </c>
      <c r="G1833" s="2"/>
      <c r="L1833" s="5"/>
      <c r="M1833" s="4">
        <f>M1832-Table13[[#This Row],[Debits]]+Table13[[#This Row],[Income]]</f>
        <v>2805.21</v>
      </c>
      <c r="N1833" t="str">
        <f>IF(AND(Table13[[#This Row],[Category]]="pay",NOT(Table13[[#This Row],[Debits]]=0)),"bad","good")</f>
        <v>good</v>
      </c>
      <c r="O1833" s="5"/>
    </row>
    <row r="1834" spans="6:15" x14ac:dyDescent="0.3">
      <c r="F1834">
        <f>MONTH(Table13[[#This Row],[Date  (DMY)]])</f>
        <v>1</v>
      </c>
      <c r="G1834" s="2"/>
      <c r="L1834" s="5"/>
      <c r="M1834" s="4">
        <f>M1833-Table13[[#This Row],[Debits]]+Table13[[#This Row],[Income]]</f>
        <v>2805.21</v>
      </c>
      <c r="N1834" t="str">
        <f>IF(AND(Table13[[#This Row],[Category]]="pay",NOT(Table13[[#This Row],[Debits]]=0)),"bad","good")</f>
        <v>good</v>
      </c>
      <c r="O1834" s="5"/>
    </row>
    <row r="1835" spans="6:15" x14ac:dyDescent="0.3">
      <c r="F1835">
        <f>MONTH(Table13[[#This Row],[Date  (DMY)]])</f>
        <v>1</v>
      </c>
      <c r="G1835" s="2"/>
      <c r="L1835" s="5"/>
      <c r="M1835" s="4">
        <f>M1834-Table13[[#This Row],[Debits]]+Table13[[#This Row],[Income]]</f>
        <v>2805.21</v>
      </c>
      <c r="N1835" t="str">
        <f>IF(AND(Table13[[#This Row],[Category]]="pay",NOT(Table13[[#This Row],[Debits]]=0)),"bad","good")</f>
        <v>good</v>
      </c>
      <c r="O1835" s="5"/>
    </row>
    <row r="1836" spans="6:15" x14ac:dyDescent="0.3">
      <c r="F1836">
        <f>MONTH(Table13[[#This Row],[Date  (DMY)]])</f>
        <v>1</v>
      </c>
      <c r="G1836" s="2"/>
      <c r="L1836" s="5"/>
      <c r="M1836" s="4">
        <f>M1835-Table13[[#This Row],[Debits]]+Table13[[#This Row],[Income]]</f>
        <v>2805.21</v>
      </c>
      <c r="N1836" t="str">
        <f>IF(AND(Table13[[#This Row],[Category]]="pay",NOT(Table13[[#This Row],[Debits]]=0)),"bad","good")</f>
        <v>good</v>
      </c>
      <c r="O1836" s="5"/>
    </row>
    <row r="1837" spans="6:15" x14ac:dyDescent="0.3">
      <c r="F1837">
        <f>MONTH(Table13[[#This Row],[Date  (DMY)]])</f>
        <v>1</v>
      </c>
      <c r="G1837" s="2"/>
      <c r="L1837" s="5"/>
      <c r="M1837" s="4">
        <f>M1836-Table13[[#This Row],[Debits]]+Table13[[#This Row],[Income]]</f>
        <v>2805.21</v>
      </c>
      <c r="N1837" t="str">
        <f>IF(AND(Table13[[#This Row],[Category]]="pay",NOT(Table13[[#This Row],[Debits]]=0)),"bad","good")</f>
        <v>good</v>
      </c>
      <c r="O1837" s="5"/>
    </row>
    <row r="1838" spans="6:15" x14ac:dyDescent="0.3">
      <c r="F1838">
        <f>MONTH(Table13[[#This Row],[Date  (DMY)]])</f>
        <v>1</v>
      </c>
      <c r="G1838" s="2"/>
      <c r="L1838" s="5"/>
      <c r="M1838" s="4">
        <f>M1837-Table13[[#This Row],[Debits]]+Table13[[#This Row],[Income]]</f>
        <v>2805.21</v>
      </c>
      <c r="N1838" t="str">
        <f>IF(AND(Table13[[#This Row],[Category]]="pay",NOT(Table13[[#This Row],[Debits]]=0)),"bad","good")</f>
        <v>good</v>
      </c>
      <c r="O1838" s="5"/>
    </row>
    <row r="1839" spans="6:15" x14ac:dyDescent="0.3">
      <c r="F1839">
        <f>MONTH(Table13[[#This Row],[Date  (DMY)]])</f>
        <v>1</v>
      </c>
      <c r="G1839" s="2"/>
      <c r="L1839" s="5"/>
      <c r="M1839" s="4">
        <f>M1838-Table13[[#This Row],[Debits]]+Table13[[#This Row],[Income]]</f>
        <v>2805.21</v>
      </c>
      <c r="N1839" t="str">
        <f>IF(AND(Table13[[#This Row],[Category]]="pay",NOT(Table13[[#This Row],[Debits]]=0)),"bad","good")</f>
        <v>good</v>
      </c>
      <c r="O1839" s="5"/>
    </row>
    <row r="1840" spans="6:15" x14ac:dyDescent="0.3">
      <c r="F1840">
        <f>MONTH(Table13[[#This Row],[Date  (DMY)]])</f>
        <v>1</v>
      </c>
      <c r="G1840" s="2"/>
      <c r="L1840" s="5"/>
      <c r="M1840" s="4">
        <f>M1839-Table13[[#This Row],[Debits]]+Table13[[#This Row],[Income]]</f>
        <v>2805.21</v>
      </c>
      <c r="N1840" t="str">
        <f>IF(AND(Table13[[#This Row],[Category]]="pay",NOT(Table13[[#This Row],[Debits]]=0)),"bad","good")</f>
        <v>good</v>
      </c>
      <c r="O1840" s="5"/>
    </row>
    <row r="1841" spans="6:15" x14ac:dyDescent="0.3">
      <c r="F1841">
        <f>MONTH(Table13[[#This Row],[Date  (DMY)]])</f>
        <v>1</v>
      </c>
      <c r="G1841" s="2"/>
      <c r="L1841" s="5"/>
      <c r="M1841" s="4">
        <f>M1840-Table13[[#This Row],[Debits]]+Table13[[#This Row],[Income]]</f>
        <v>2805.21</v>
      </c>
      <c r="N1841" t="str">
        <f>IF(AND(Table13[[#This Row],[Category]]="pay",NOT(Table13[[#This Row],[Debits]]=0)),"bad","good")</f>
        <v>good</v>
      </c>
      <c r="O1841" s="5"/>
    </row>
    <row r="1842" spans="6:15" x14ac:dyDescent="0.3">
      <c r="F1842">
        <f>MONTH(Table13[[#This Row],[Date  (DMY)]])</f>
        <v>1</v>
      </c>
      <c r="G1842" s="2"/>
      <c r="L1842" s="5"/>
      <c r="M1842" s="4">
        <f>M1841-Table13[[#This Row],[Debits]]+Table13[[#This Row],[Income]]</f>
        <v>2805.21</v>
      </c>
      <c r="N1842" t="str">
        <f>IF(AND(Table13[[#This Row],[Category]]="pay",NOT(Table13[[#This Row],[Debits]]=0)),"bad","good")</f>
        <v>good</v>
      </c>
      <c r="O1842" s="5"/>
    </row>
    <row r="1843" spans="6:15" x14ac:dyDescent="0.3">
      <c r="F1843">
        <f>MONTH(Table13[[#This Row],[Date  (DMY)]])</f>
        <v>1</v>
      </c>
      <c r="G1843" s="2"/>
      <c r="L1843" s="5"/>
      <c r="M1843" s="4">
        <f>M1842-Table13[[#This Row],[Debits]]+Table13[[#This Row],[Income]]</f>
        <v>2805.21</v>
      </c>
      <c r="N1843" t="str">
        <f>IF(AND(Table13[[#This Row],[Category]]="pay",NOT(Table13[[#This Row],[Debits]]=0)),"bad","good")</f>
        <v>good</v>
      </c>
      <c r="O1843" s="5"/>
    </row>
    <row r="1844" spans="6:15" x14ac:dyDescent="0.3">
      <c r="F1844">
        <f>MONTH(Table13[[#This Row],[Date  (DMY)]])</f>
        <v>1</v>
      </c>
      <c r="G1844" s="2"/>
      <c r="L1844" s="5"/>
      <c r="M1844" s="4">
        <f>M1843-Table13[[#This Row],[Debits]]+Table13[[#This Row],[Income]]</f>
        <v>2805.21</v>
      </c>
      <c r="N1844" t="str">
        <f>IF(AND(Table13[[#This Row],[Category]]="pay",NOT(Table13[[#This Row],[Debits]]=0)),"bad","good")</f>
        <v>good</v>
      </c>
      <c r="O1844" s="5"/>
    </row>
    <row r="1845" spans="6:15" x14ac:dyDescent="0.3">
      <c r="F1845">
        <f>MONTH(Table13[[#This Row],[Date  (DMY)]])</f>
        <v>1</v>
      </c>
      <c r="G1845" s="2"/>
      <c r="L1845" s="5"/>
      <c r="M1845" s="4">
        <f>M1844-Table13[[#This Row],[Debits]]+Table13[[#This Row],[Income]]</f>
        <v>2805.21</v>
      </c>
      <c r="N1845" t="str">
        <f>IF(AND(Table13[[#This Row],[Category]]="pay",NOT(Table13[[#This Row],[Debits]]=0)),"bad","good")</f>
        <v>good</v>
      </c>
      <c r="O1845" s="5"/>
    </row>
    <row r="1846" spans="6:15" x14ac:dyDescent="0.3">
      <c r="F1846">
        <f>MONTH(Table13[[#This Row],[Date  (DMY)]])</f>
        <v>1</v>
      </c>
      <c r="G1846" s="2"/>
      <c r="L1846" s="5"/>
      <c r="M1846" s="4">
        <f>M1845-Table13[[#This Row],[Debits]]+Table13[[#This Row],[Income]]</f>
        <v>2805.21</v>
      </c>
      <c r="N1846" t="str">
        <f>IF(AND(Table13[[#This Row],[Category]]="pay",NOT(Table13[[#This Row],[Debits]]=0)),"bad","good")</f>
        <v>good</v>
      </c>
      <c r="O1846" s="5"/>
    </row>
    <row r="1847" spans="6:15" x14ac:dyDescent="0.3">
      <c r="F1847">
        <f>MONTH(Table13[[#This Row],[Date  (DMY)]])</f>
        <v>1</v>
      </c>
      <c r="G1847" s="2"/>
      <c r="L1847" s="5"/>
      <c r="M1847" s="4">
        <f>M1846-Table13[[#This Row],[Debits]]+Table13[[#This Row],[Income]]</f>
        <v>2805.21</v>
      </c>
      <c r="N1847" t="str">
        <f>IF(AND(Table13[[#This Row],[Category]]="pay",NOT(Table13[[#This Row],[Debits]]=0)),"bad","good")</f>
        <v>good</v>
      </c>
      <c r="O1847" s="5"/>
    </row>
    <row r="1848" spans="6:15" x14ac:dyDescent="0.3">
      <c r="F1848">
        <f>MONTH(Table13[[#This Row],[Date  (DMY)]])</f>
        <v>1</v>
      </c>
      <c r="G1848" s="2"/>
      <c r="L1848" s="5"/>
      <c r="M1848" s="4">
        <f>M1847-Table13[[#This Row],[Debits]]+Table13[[#This Row],[Income]]</f>
        <v>2805.21</v>
      </c>
      <c r="N1848" t="str">
        <f>IF(AND(Table13[[#This Row],[Category]]="pay",NOT(Table13[[#This Row],[Debits]]=0)),"bad","good")</f>
        <v>good</v>
      </c>
      <c r="O1848" s="5"/>
    </row>
    <row r="1849" spans="6:15" x14ac:dyDescent="0.3">
      <c r="F1849">
        <f>MONTH(Table13[[#This Row],[Date  (DMY)]])</f>
        <v>1</v>
      </c>
      <c r="G1849" s="2"/>
      <c r="L1849" s="5"/>
      <c r="M1849" s="4">
        <f>M1848-Table13[[#This Row],[Debits]]+Table13[[#This Row],[Income]]</f>
        <v>2805.21</v>
      </c>
      <c r="N1849" t="str">
        <f>IF(AND(Table13[[#This Row],[Category]]="pay",NOT(Table13[[#This Row],[Debits]]=0)),"bad","good")</f>
        <v>good</v>
      </c>
      <c r="O1849" s="5"/>
    </row>
    <row r="1850" spans="6:15" x14ac:dyDescent="0.3">
      <c r="F1850">
        <f>MONTH(Table13[[#This Row],[Date  (DMY)]])</f>
        <v>1</v>
      </c>
      <c r="G1850" s="2"/>
      <c r="L1850" s="5"/>
      <c r="M1850" s="4">
        <f>M1849-Table13[[#This Row],[Debits]]+Table13[[#This Row],[Income]]</f>
        <v>2805.21</v>
      </c>
      <c r="N1850" t="str">
        <f>IF(AND(Table13[[#This Row],[Category]]="pay",NOT(Table13[[#This Row],[Debits]]=0)),"bad","good")</f>
        <v>good</v>
      </c>
      <c r="O1850" s="5"/>
    </row>
    <row r="1851" spans="6:15" x14ac:dyDescent="0.3">
      <c r="F1851">
        <f>MONTH(Table13[[#This Row],[Date  (DMY)]])</f>
        <v>1</v>
      </c>
      <c r="G1851" s="2"/>
      <c r="L1851" s="5"/>
      <c r="M1851" s="4">
        <f>M1850-Table13[[#This Row],[Debits]]+Table13[[#This Row],[Income]]</f>
        <v>2805.21</v>
      </c>
      <c r="N1851" t="str">
        <f>IF(AND(Table13[[#This Row],[Category]]="pay",NOT(Table13[[#This Row],[Debits]]=0)),"bad","good")</f>
        <v>good</v>
      </c>
      <c r="O1851" s="5"/>
    </row>
    <row r="1852" spans="6:15" x14ac:dyDescent="0.3">
      <c r="F1852">
        <f>MONTH(Table13[[#This Row],[Date  (DMY)]])</f>
        <v>1</v>
      </c>
      <c r="G1852" s="2"/>
      <c r="L1852" s="5"/>
      <c r="M1852" s="4">
        <f>M1851-Table13[[#This Row],[Debits]]+Table13[[#This Row],[Income]]</f>
        <v>2805.21</v>
      </c>
      <c r="N1852" t="str">
        <f>IF(AND(Table13[[#This Row],[Category]]="pay",NOT(Table13[[#This Row],[Debits]]=0)),"bad","good")</f>
        <v>good</v>
      </c>
      <c r="O1852" s="5"/>
    </row>
    <row r="1853" spans="6:15" x14ac:dyDescent="0.3">
      <c r="F1853">
        <f>MONTH(Table13[[#This Row],[Date  (DMY)]])</f>
        <v>1</v>
      </c>
      <c r="G1853" s="2"/>
      <c r="L1853" s="5"/>
      <c r="M1853" s="4">
        <f>M1852-Table13[[#This Row],[Debits]]+Table13[[#This Row],[Income]]</f>
        <v>2805.21</v>
      </c>
      <c r="N1853" t="str">
        <f>IF(AND(Table13[[#This Row],[Category]]="pay",NOT(Table13[[#This Row],[Debits]]=0)),"bad","good")</f>
        <v>good</v>
      </c>
      <c r="O1853" s="5"/>
    </row>
    <row r="1854" spans="6:15" x14ac:dyDescent="0.3">
      <c r="F1854">
        <f>MONTH(Table13[[#This Row],[Date  (DMY)]])</f>
        <v>1</v>
      </c>
      <c r="G1854" s="2"/>
      <c r="L1854" s="5"/>
      <c r="M1854" s="4">
        <f>M1853-Table13[[#This Row],[Debits]]+Table13[[#This Row],[Income]]</f>
        <v>2805.21</v>
      </c>
      <c r="N1854" t="str">
        <f>IF(AND(Table13[[#This Row],[Category]]="pay",NOT(Table13[[#This Row],[Debits]]=0)),"bad","good")</f>
        <v>good</v>
      </c>
      <c r="O1854" s="5"/>
    </row>
    <row r="1855" spans="6:15" x14ac:dyDescent="0.3">
      <c r="F1855">
        <f>MONTH(Table13[[#This Row],[Date  (DMY)]])</f>
        <v>1</v>
      </c>
      <c r="G1855" s="2"/>
      <c r="L1855" s="5"/>
      <c r="M1855" s="4">
        <f>M1854-Table13[[#This Row],[Debits]]+Table13[[#This Row],[Income]]</f>
        <v>2805.21</v>
      </c>
      <c r="N1855" t="str">
        <f>IF(AND(Table13[[#This Row],[Category]]="pay",NOT(Table13[[#This Row],[Debits]]=0)),"bad","good")</f>
        <v>good</v>
      </c>
      <c r="O1855" s="5"/>
    </row>
    <row r="1856" spans="6:15" x14ac:dyDescent="0.3">
      <c r="F1856">
        <f>MONTH(Table13[[#This Row],[Date  (DMY)]])</f>
        <v>1</v>
      </c>
      <c r="G1856" s="2"/>
      <c r="L1856" s="5"/>
      <c r="M1856" s="4">
        <f>M1855-Table13[[#This Row],[Debits]]+Table13[[#This Row],[Income]]</f>
        <v>2805.21</v>
      </c>
      <c r="N1856" t="str">
        <f>IF(AND(Table13[[#This Row],[Category]]="pay",NOT(Table13[[#This Row],[Debits]]=0)),"bad","good")</f>
        <v>good</v>
      </c>
      <c r="O1856" s="5"/>
    </row>
    <row r="1857" spans="6:15" x14ac:dyDescent="0.3">
      <c r="F1857">
        <f>MONTH(Table13[[#This Row],[Date  (DMY)]])</f>
        <v>1</v>
      </c>
      <c r="G1857" s="2"/>
      <c r="L1857" s="5"/>
      <c r="M1857" s="4">
        <f>M1856-Table13[[#This Row],[Debits]]+Table13[[#This Row],[Income]]</f>
        <v>2805.21</v>
      </c>
      <c r="N1857" t="str">
        <f>IF(AND(Table13[[#This Row],[Category]]="pay",NOT(Table13[[#This Row],[Debits]]=0)),"bad","good")</f>
        <v>good</v>
      </c>
      <c r="O1857" s="5"/>
    </row>
    <row r="1858" spans="6:15" x14ac:dyDescent="0.3">
      <c r="F1858">
        <f>MONTH(Table13[[#This Row],[Date  (DMY)]])</f>
        <v>1</v>
      </c>
      <c r="G1858" s="2"/>
      <c r="L1858" s="5"/>
      <c r="M1858" s="4">
        <f>M1857-Table13[[#This Row],[Debits]]+Table13[[#This Row],[Income]]</f>
        <v>2805.21</v>
      </c>
      <c r="N1858" t="str">
        <f>IF(AND(Table13[[#This Row],[Category]]="pay",NOT(Table13[[#This Row],[Debits]]=0)),"bad","good")</f>
        <v>good</v>
      </c>
      <c r="O1858" s="5"/>
    </row>
    <row r="1859" spans="6:15" x14ac:dyDescent="0.3">
      <c r="F1859">
        <f>MONTH(Table13[[#This Row],[Date  (DMY)]])</f>
        <v>1</v>
      </c>
      <c r="G1859" s="2"/>
      <c r="L1859" s="5"/>
      <c r="M1859" s="4">
        <f>M1858-Table13[[#This Row],[Debits]]+Table13[[#This Row],[Income]]</f>
        <v>2805.21</v>
      </c>
      <c r="N1859" t="str">
        <f>IF(AND(Table13[[#This Row],[Category]]="pay",NOT(Table13[[#This Row],[Debits]]=0)),"bad","good")</f>
        <v>good</v>
      </c>
      <c r="O1859" s="5"/>
    </row>
    <row r="1860" spans="6:15" x14ac:dyDescent="0.3">
      <c r="F1860">
        <f>MONTH(Table13[[#This Row],[Date  (DMY)]])</f>
        <v>1</v>
      </c>
      <c r="G1860" s="2"/>
      <c r="L1860" s="5"/>
      <c r="M1860" s="4">
        <f>M1859-Table13[[#This Row],[Debits]]+Table13[[#This Row],[Income]]</f>
        <v>2805.21</v>
      </c>
      <c r="N1860" t="str">
        <f>IF(AND(Table13[[#This Row],[Category]]="pay",NOT(Table13[[#This Row],[Debits]]=0)),"bad","good")</f>
        <v>good</v>
      </c>
      <c r="O1860" s="5"/>
    </row>
    <row r="1861" spans="6:15" x14ac:dyDescent="0.3">
      <c r="F1861">
        <f>MONTH(Table13[[#This Row],[Date  (DMY)]])</f>
        <v>1</v>
      </c>
      <c r="G1861" s="2"/>
      <c r="L1861" s="5"/>
      <c r="M1861" s="4">
        <f>M1860-Table13[[#This Row],[Debits]]+Table13[[#This Row],[Income]]</f>
        <v>2805.21</v>
      </c>
      <c r="N1861" t="str">
        <f>IF(AND(Table13[[#This Row],[Category]]="pay",NOT(Table13[[#This Row],[Debits]]=0)),"bad","good")</f>
        <v>good</v>
      </c>
      <c r="O1861" s="5"/>
    </row>
    <row r="1862" spans="6:15" x14ac:dyDescent="0.3">
      <c r="F1862">
        <f>MONTH(Table13[[#This Row],[Date  (DMY)]])</f>
        <v>1</v>
      </c>
      <c r="G1862" s="2"/>
      <c r="L1862" s="5"/>
      <c r="M1862" s="4">
        <f>M1861-Table13[[#This Row],[Debits]]+Table13[[#This Row],[Income]]</f>
        <v>2805.21</v>
      </c>
      <c r="N1862" t="str">
        <f>IF(AND(Table13[[#This Row],[Category]]="pay",NOT(Table13[[#This Row],[Debits]]=0)),"bad","good")</f>
        <v>good</v>
      </c>
      <c r="O1862" s="5"/>
    </row>
    <row r="1863" spans="6:15" x14ac:dyDescent="0.3">
      <c r="F1863">
        <f>MONTH(Table13[[#This Row],[Date  (DMY)]])</f>
        <v>1</v>
      </c>
      <c r="G1863" s="2"/>
      <c r="L1863" s="5"/>
      <c r="M1863" s="4">
        <f>M1862-Table13[[#This Row],[Debits]]+Table13[[#This Row],[Income]]</f>
        <v>2805.21</v>
      </c>
      <c r="N1863" t="str">
        <f>IF(AND(Table13[[#This Row],[Category]]="pay",NOT(Table13[[#This Row],[Debits]]=0)),"bad","good")</f>
        <v>good</v>
      </c>
      <c r="O1863" s="5"/>
    </row>
    <row r="1864" spans="6:15" x14ac:dyDescent="0.3">
      <c r="F1864">
        <f>MONTH(Table13[[#This Row],[Date  (DMY)]])</f>
        <v>1</v>
      </c>
      <c r="G1864" s="2"/>
      <c r="L1864" s="5"/>
      <c r="M1864" s="4">
        <f>M1863-Table13[[#This Row],[Debits]]+Table13[[#This Row],[Income]]</f>
        <v>2805.21</v>
      </c>
      <c r="N1864" t="str">
        <f>IF(AND(Table13[[#This Row],[Category]]="pay",NOT(Table13[[#This Row],[Debits]]=0)),"bad","good")</f>
        <v>good</v>
      </c>
      <c r="O1864" s="5"/>
    </row>
    <row r="1865" spans="6:15" x14ac:dyDescent="0.3">
      <c r="F1865">
        <f>MONTH(Table13[[#This Row],[Date  (DMY)]])</f>
        <v>1</v>
      </c>
      <c r="G1865" s="2"/>
      <c r="L1865" s="5"/>
      <c r="M1865" s="4">
        <f>M1864-Table13[[#This Row],[Debits]]+Table13[[#This Row],[Income]]</f>
        <v>2805.21</v>
      </c>
      <c r="N1865" t="str">
        <f>IF(AND(Table13[[#This Row],[Category]]="pay",NOT(Table13[[#This Row],[Debits]]=0)),"bad","good")</f>
        <v>good</v>
      </c>
      <c r="O1865" s="5"/>
    </row>
    <row r="1866" spans="6:15" x14ac:dyDescent="0.3">
      <c r="F1866">
        <f>MONTH(Table13[[#This Row],[Date  (DMY)]])</f>
        <v>1</v>
      </c>
      <c r="G1866" s="2"/>
      <c r="L1866" s="5"/>
      <c r="M1866" s="4">
        <f>M1865-Table13[[#This Row],[Debits]]+Table13[[#This Row],[Income]]</f>
        <v>2805.21</v>
      </c>
      <c r="N1866" t="str">
        <f>IF(AND(Table13[[#This Row],[Category]]="pay",NOT(Table13[[#This Row],[Debits]]=0)),"bad","good")</f>
        <v>good</v>
      </c>
      <c r="O1866" s="5"/>
    </row>
    <row r="1867" spans="6:15" x14ac:dyDescent="0.3">
      <c r="F1867">
        <f>MONTH(Table13[[#This Row],[Date  (DMY)]])</f>
        <v>1</v>
      </c>
      <c r="G1867" s="2"/>
      <c r="L1867" s="5"/>
      <c r="M1867" s="4">
        <f>M1866-Table13[[#This Row],[Debits]]+Table13[[#This Row],[Income]]</f>
        <v>2805.21</v>
      </c>
      <c r="N1867" t="str">
        <f>IF(AND(Table13[[#This Row],[Category]]="pay",NOT(Table13[[#This Row],[Debits]]=0)),"bad","good")</f>
        <v>good</v>
      </c>
      <c r="O1867" s="5"/>
    </row>
    <row r="1868" spans="6:15" x14ac:dyDescent="0.3">
      <c r="F1868">
        <f>MONTH(Table13[[#This Row],[Date  (DMY)]])</f>
        <v>1</v>
      </c>
      <c r="G1868" s="2"/>
      <c r="L1868" s="5"/>
      <c r="M1868" s="4">
        <f>M1867-Table13[[#This Row],[Debits]]+Table13[[#This Row],[Income]]</f>
        <v>2805.21</v>
      </c>
      <c r="N1868" t="str">
        <f>IF(AND(Table13[[#This Row],[Category]]="pay",NOT(Table13[[#This Row],[Debits]]=0)),"bad","good")</f>
        <v>good</v>
      </c>
      <c r="O1868" s="5"/>
    </row>
    <row r="1869" spans="6:15" x14ac:dyDescent="0.3">
      <c r="F1869">
        <f>MONTH(Table13[[#This Row],[Date  (DMY)]])</f>
        <v>1</v>
      </c>
      <c r="G1869" s="2"/>
      <c r="L1869" s="5"/>
      <c r="M1869" s="4">
        <f>M1868-Table13[[#This Row],[Debits]]+Table13[[#This Row],[Income]]</f>
        <v>2805.21</v>
      </c>
      <c r="N1869" t="str">
        <f>IF(AND(Table13[[#This Row],[Category]]="pay",NOT(Table13[[#This Row],[Debits]]=0)),"bad","good")</f>
        <v>good</v>
      </c>
      <c r="O1869" s="5"/>
    </row>
    <row r="1870" spans="6:15" x14ac:dyDescent="0.3">
      <c r="F1870">
        <f>MONTH(Table13[[#This Row],[Date  (DMY)]])</f>
        <v>1</v>
      </c>
      <c r="G1870" s="2"/>
      <c r="L1870" s="5"/>
      <c r="M1870" s="4">
        <f>M1869-Table13[[#This Row],[Debits]]+Table13[[#This Row],[Income]]</f>
        <v>2805.21</v>
      </c>
      <c r="N1870" t="str">
        <f>IF(AND(Table13[[#This Row],[Category]]="pay",NOT(Table13[[#This Row],[Debits]]=0)),"bad","good")</f>
        <v>good</v>
      </c>
      <c r="O1870" s="5"/>
    </row>
    <row r="1871" spans="6:15" x14ac:dyDescent="0.3">
      <c r="F1871">
        <f>MONTH(Table13[[#This Row],[Date  (DMY)]])</f>
        <v>1</v>
      </c>
      <c r="G1871" s="2"/>
      <c r="L1871" s="5"/>
      <c r="M1871" s="4">
        <f>M1870-Table13[[#This Row],[Debits]]+Table13[[#This Row],[Income]]</f>
        <v>2805.21</v>
      </c>
      <c r="N1871" t="str">
        <f>IF(AND(Table13[[#This Row],[Category]]="pay",NOT(Table13[[#This Row],[Debits]]=0)),"bad","good")</f>
        <v>good</v>
      </c>
      <c r="O1871" s="5"/>
    </row>
    <row r="1872" spans="6:15" x14ac:dyDescent="0.3">
      <c r="F1872">
        <f>MONTH(Table13[[#This Row],[Date  (DMY)]])</f>
        <v>1</v>
      </c>
      <c r="G1872" s="2"/>
      <c r="L1872" s="5"/>
      <c r="M1872" s="4">
        <f>M1871-Table13[[#This Row],[Debits]]+Table13[[#This Row],[Income]]</f>
        <v>2805.21</v>
      </c>
      <c r="N1872" t="str">
        <f>IF(AND(Table13[[#This Row],[Category]]="pay",NOT(Table13[[#This Row],[Debits]]=0)),"bad","good")</f>
        <v>good</v>
      </c>
      <c r="O1872" s="5"/>
    </row>
    <row r="1873" spans="6:15" x14ac:dyDescent="0.3">
      <c r="F1873">
        <f>MONTH(Table13[[#This Row],[Date  (DMY)]])</f>
        <v>1</v>
      </c>
      <c r="G1873" s="2"/>
      <c r="L1873" s="5"/>
      <c r="M1873" s="4">
        <f>M1872-Table13[[#This Row],[Debits]]+Table13[[#This Row],[Income]]</f>
        <v>2805.21</v>
      </c>
      <c r="N1873" t="str">
        <f>IF(AND(Table13[[#This Row],[Category]]="pay",NOT(Table13[[#This Row],[Debits]]=0)),"bad","good")</f>
        <v>good</v>
      </c>
      <c r="O1873" s="5"/>
    </row>
    <row r="1874" spans="6:15" x14ac:dyDescent="0.3">
      <c r="F1874">
        <f>MONTH(Table13[[#This Row],[Date  (DMY)]])</f>
        <v>1</v>
      </c>
      <c r="G1874" s="2"/>
      <c r="L1874" s="5"/>
      <c r="M1874" s="4">
        <f>M1873-Table13[[#This Row],[Debits]]+Table13[[#This Row],[Income]]</f>
        <v>2805.21</v>
      </c>
      <c r="N1874" t="str">
        <f>IF(AND(Table13[[#This Row],[Category]]="pay",NOT(Table13[[#This Row],[Debits]]=0)),"bad","good")</f>
        <v>good</v>
      </c>
      <c r="O1874" s="5"/>
    </row>
    <row r="1875" spans="6:15" x14ac:dyDescent="0.3">
      <c r="F1875">
        <f>MONTH(Table13[[#This Row],[Date  (DMY)]])</f>
        <v>1</v>
      </c>
      <c r="G1875" s="2"/>
      <c r="L1875" s="5"/>
      <c r="M1875" s="4">
        <f>M1874-Table13[[#This Row],[Debits]]+Table13[[#This Row],[Income]]</f>
        <v>2805.21</v>
      </c>
      <c r="N1875" t="str">
        <f>IF(AND(Table13[[#This Row],[Category]]="pay",NOT(Table13[[#This Row],[Debits]]=0)),"bad","good")</f>
        <v>good</v>
      </c>
      <c r="O1875" s="5"/>
    </row>
    <row r="1876" spans="6:15" x14ac:dyDescent="0.3">
      <c r="F1876">
        <f>MONTH(Table13[[#This Row],[Date  (DMY)]])</f>
        <v>1</v>
      </c>
      <c r="G1876" s="2"/>
      <c r="L1876" s="5"/>
      <c r="M1876" s="4">
        <f>M1875-Table13[[#This Row],[Debits]]+Table13[[#This Row],[Income]]</f>
        <v>2805.21</v>
      </c>
      <c r="N1876" t="str">
        <f>IF(AND(Table13[[#This Row],[Category]]="pay",NOT(Table13[[#This Row],[Debits]]=0)),"bad","good")</f>
        <v>good</v>
      </c>
      <c r="O1876" s="5"/>
    </row>
    <row r="1877" spans="6:15" x14ac:dyDescent="0.3">
      <c r="F1877">
        <f>MONTH(Table13[[#This Row],[Date  (DMY)]])</f>
        <v>1</v>
      </c>
      <c r="G1877" s="2"/>
      <c r="L1877" s="5"/>
      <c r="M1877" s="4">
        <f>M1876-Table13[[#This Row],[Debits]]+Table13[[#This Row],[Income]]</f>
        <v>2805.21</v>
      </c>
      <c r="N1877" t="str">
        <f>IF(AND(Table13[[#This Row],[Category]]="pay",NOT(Table13[[#This Row],[Debits]]=0)),"bad","good")</f>
        <v>good</v>
      </c>
      <c r="O1877" s="5"/>
    </row>
    <row r="1878" spans="6:15" x14ac:dyDescent="0.3">
      <c r="F1878">
        <f>MONTH(Table13[[#This Row],[Date  (DMY)]])</f>
        <v>1</v>
      </c>
      <c r="G1878" s="2"/>
      <c r="L1878" s="5"/>
      <c r="M1878" s="4">
        <f>M1877-Table13[[#This Row],[Debits]]+Table13[[#This Row],[Income]]</f>
        <v>2805.21</v>
      </c>
      <c r="N1878" t="str">
        <f>IF(AND(Table13[[#This Row],[Category]]="pay",NOT(Table13[[#This Row],[Debits]]=0)),"bad","good")</f>
        <v>good</v>
      </c>
      <c r="O1878" s="5"/>
    </row>
    <row r="1879" spans="6:15" x14ac:dyDescent="0.3">
      <c r="F1879">
        <f>MONTH(Table13[[#This Row],[Date  (DMY)]])</f>
        <v>1</v>
      </c>
      <c r="G1879" s="2"/>
      <c r="L1879" s="5"/>
      <c r="M1879" s="4">
        <f>M1878-Table13[[#This Row],[Debits]]+Table13[[#This Row],[Income]]</f>
        <v>2805.21</v>
      </c>
      <c r="N1879" t="str">
        <f>IF(AND(Table13[[#This Row],[Category]]="pay",NOT(Table13[[#This Row],[Debits]]=0)),"bad","good")</f>
        <v>good</v>
      </c>
      <c r="O1879" s="5"/>
    </row>
    <row r="1880" spans="6:15" x14ac:dyDescent="0.3">
      <c r="F1880">
        <f>MONTH(Table13[[#This Row],[Date  (DMY)]])</f>
        <v>1</v>
      </c>
      <c r="G1880" s="2"/>
      <c r="L1880" s="5"/>
      <c r="M1880" s="4">
        <f>M1879-Table13[[#This Row],[Debits]]+Table13[[#This Row],[Income]]</f>
        <v>2805.21</v>
      </c>
      <c r="N1880" t="str">
        <f>IF(AND(Table13[[#This Row],[Category]]="pay",NOT(Table13[[#This Row],[Debits]]=0)),"bad","good")</f>
        <v>good</v>
      </c>
      <c r="O1880" s="5"/>
    </row>
    <row r="1881" spans="6:15" x14ac:dyDescent="0.3">
      <c r="F1881">
        <f>MONTH(Table13[[#This Row],[Date  (DMY)]])</f>
        <v>1</v>
      </c>
      <c r="G1881" s="2"/>
      <c r="L1881" s="5"/>
      <c r="M1881" s="4">
        <f>M1880-Table13[[#This Row],[Debits]]+Table13[[#This Row],[Income]]</f>
        <v>2805.21</v>
      </c>
      <c r="N1881" t="str">
        <f>IF(AND(Table13[[#This Row],[Category]]="pay",NOT(Table13[[#This Row],[Debits]]=0)),"bad","good")</f>
        <v>good</v>
      </c>
      <c r="O1881" s="5"/>
    </row>
    <row r="1882" spans="6:15" x14ac:dyDescent="0.3">
      <c r="F1882">
        <f>MONTH(Table13[[#This Row],[Date  (DMY)]])</f>
        <v>1</v>
      </c>
      <c r="G1882" s="2"/>
      <c r="L1882" s="5"/>
      <c r="M1882" s="4">
        <f>M1881-Table13[[#This Row],[Debits]]+Table13[[#This Row],[Income]]</f>
        <v>2805.21</v>
      </c>
      <c r="N1882" t="str">
        <f>IF(AND(Table13[[#This Row],[Category]]="pay",NOT(Table13[[#This Row],[Debits]]=0)),"bad","good")</f>
        <v>good</v>
      </c>
      <c r="O1882" s="5"/>
    </row>
    <row r="1883" spans="6:15" x14ac:dyDescent="0.3">
      <c r="F1883">
        <f>MONTH(Table13[[#This Row],[Date  (DMY)]])</f>
        <v>1</v>
      </c>
      <c r="G1883" s="2"/>
      <c r="L1883" s="5"/>
      <c r="M1883" s="4">
        <f>M1882-Table13[[#This Row],[Debits]]+Table13[[#This Row],[Income]]</f>
        <v>2805.21</v>
      </c>
      <c r="N1883" t="str">
        <f>IF(AND(Table13[[#This Row],[Category]]="pay",NOT(Table13[[#This Row],[Debits]]=0)),"bad","good")</f>
        <v>good</v>
      </c>
      <c r="O1883" s="5"/>
    </row>
    <row r="1884" spans="6:15" x14ac:dyDescent="0.3">
      <c r="F1884">
        <f>MONTH(Table13[[#This Row],[Date  (DMY)]])</f>
        <v>1</v>
      </c>
      <c r="G1884" s="2"/>
      <c r="L1884" s="5"/>
      <c r="M1884" s="4">
        <f>M1883-Table13[[#This Row],[Debits]]+Table13[[#This Row],[Income]]</f>
        <v>2805.21</v>
      </c>
      <c r="N1884" t="str">
        <f>IF(AND(Table13[[#This Row],[Category]]="pay",NOT(Table13[[#This Row],[Debits]]=0)),"bad","good")</f>
        <v>good</v>
      </c>
      <c r="O1884" s="5"/>
    </row>
    <row r="1885" spans="6:15" x14ac:dyDescent="0.3">
      <c r="F1885">
        <f>MONTH(Table13[[#This Row],[Date  (DMY)]])</f>
        <v>1</v>
      </c>
      <c r="G1885" s="2"/>
      <c r="L1885" s="5"/>
      <c r="M1885" s="4">
        <f>M1884-Table13[[#This Row],[Debits]]+Table13[[#This Row],[Income]]</f>
        <v>2805.21</v>
      </c>
      <c r="N1885" t="str">
        <f>IF(AND(Table13[[#This Row],[Category]]="pay",NOT(Table13[[#This Row],[Debits]]=0)),"bad","good")</f>
        <v>good</v>
      </c>
      <c r="O1885" s="5"/>
    </row>
    <row r="1886" spans="6:15" x14ac:dyDescent="0.3">
      <c r="F1886">
        <f>MONTH(Table13[[#This Row],[Date  (DMY)]])</f>
        <v>1</v>
      </c>
      <c r="G1886" s="2"/>
      <c r="L1886" s="5"/>
      <c r="M1886" s="4">
        <f>M1885-Table13[[#This Row],[Debits]]+Table13[[#This Row],[Income]]</f>
        <v>2805.21</v>
      </c>
      <c r="N1886" t="str">
        <f>IF(AND(Table13[[#This Row],[Category]]="pay",NOT(Table13[[#This Row],[Debits]]=0)),"bad","good")</f>
        <v>good</v>
      </c>
      <c r="O1886" s="5"/>
    </row>
    <row r="1887" spans="6:15" x14ac:dyDescent="0.3">
      <c r="F1887">
        <f>MONTH(Table13[[#This Row],[Date  (DMY)]])</f>
        <v>1</v>
      </c>
      <c r="G1887" s="2"/>
      <c r="L1887" s="5"/>
      <c r="M1887" s="4">
        <f>M1886-Table13[[#This Row],[Debits]]+Table13[[#This Row],[Income]]</f>
        <v>2805.21</v>
      </c>
      <c r="N1887" t="str">
        <f>IF(AND(Table13[[#This Row],[Category]]="pay",NOT(Table13[[#This Row],[Debits]]=0)),"bad","good")</f>
        <v>good</v>
      </c>
      <c r="O1887" s="5"/>
    </row>
    <row r="1888" spans="6:15" x14ac:dyDescent="0.3">
      <c r="F1888">
        <f>MONTH(Table13[[#This Row],[Date  (DMY)]])</f>
        <v>1</v>
      </c>
      <c r="G1888" s="2"/>
      <c r="L1888" s="5"/>
      <c r="M1888" s="4">
        <f>M1887-Table13[[#This Row],[Debits]]+Table13[[#This Row],[Income]]</f>
        <v>2805.21</v>
      </c>
      <c r="N1888" t="str">
        <f>IF(AND(Table13[[#This Row],[Category]]="pay",NOT(Table13[[#This Row],[Debits]]=0)),"bad","good")</f>
        <v>good</v>
      </c>
      <c r="O1888" s="5"/>
    </row>
    <row r="1889" spans="6:15" x14ac:dyDescent="0.3">
      <c r="F1889">
        <f>MONTH(Table13[[#This Row],[Date  (DMY)]])</f>
        <v>1</v>
      </c>
      <c r="G1889" s="2"/>
      <c r="L1889" s="5"/>
      <c r="M1889" s="4">
        <f>M1888-Table13[[#This Row],[Debits]]+Table13[[#This Row],[Income]]</f>
        <v>2805.21</v>
      </c>
      <c r="N1889" t="str">
        <f>IF(AND(Table13[[#This Row],[Category]]="pay",NOT(Table13[[#This Row],[Debits]]=0)),"bad","good")</f>
        <v>good</v>
      </c>
      <c r="O1889" s="5"/>
    </row>
    <row r="1890" spans="6:15" x14ac:dyDescent="0.3">
      <c r="F1890">
        <f>MONTH(Table13[[#This Row],[Date  (DMY)]])</f>
        <v>1</v>
      </c>
      <c r="G1890" s="2"/>
      <c r="L1890" s="5"/>
      <c r="M1890" s="4">
        <f>M1889-Table13[[#This Row],[Debits]]+Table13[[#This Row],[Income]]</f>
        <v>2805.21</v>
      </c>
      <c r="N1890" t="str">
        <f>IF(AND(Table13[[#This Row],[Category]]="pay",NOT(Table13[[#This Row],[Debits]]=0)),"bad","good")</f>
        <v>good</v>
      </c>
      <c r="O1890" s="5"/>
    </row>
    <row r="1891" spans="6:15" x14ac:dyDescent="0.3">
      <c r="F1891">
        <f>MONTH(Table13[[#This Row],[Date  (DMY)]])</f>
        <v>1</v>
      </c>
      <c r="G1891" s="2"/>
      <c r="L1891" s="5"/>
      <c r="M1891" s="4">
        <f>M1890-Table13[[#This Row],[Debits]]+Table13[[#This Row],[Income]]</f>
        <v>2805.21</v>
      </c>
      <c r="N1891" t="str">
        <f>IF(AND(Table13[[#This Row],[Category]]="pay",NOT(Table13[[#This Row],[Debits]]=0)),"bad","good")</f>
        <v>good</v>
      </c>
      <c r="O1891" s="5"/>
    </row>
    <row r="1892" spans="6:15" x14ac:dyDescent="0.3">
      <c r="F1892">
        <f>MONTH(Table13[[#This Row],[Date  (DMY)]])</f>
        <v>1</v>
      </c>
      <c r="G1892" s="2"/>
      <c r="L1892" s="5"/>
      <c r="M1892" s="4">
        <f>M1891-Table13[[#This Row],[Debits]]+Table13[[#This Row],[Income]]</f>
        <v>2805.21</v>
      </c>
      <c r="N1892" t="str">
        <f>IF(AND(Table13[[#This Row],[Category]]="pay",NOT(Table13[[#This Row],[Debits]]=0)),"bad","good")</f>
        <v>good</v>
      </c>
      <c r="O1892" s="5"/>
    </row>
    <row r="1893" spans="6:15" x14ac:dyDescent="0.3">
      <c r="F1893">
        <f>MONTH(Table13[[#This Row],[Date  (DMY)]])</f>
        <v>1</v>
      </c>
      <c r="G1893" s="2"/>
      <c r="L1893" s="5"/>
      <c r="M1893" s="4">
        <f>M1892-Table13[[#This Row],[Debits]]+Table13[[#This Row],[Income]]</f>
        <v>2805.21</v>
      </c>
      <c r="N1893" t="str">
        <f>IF(AND(Table13[[#This Row],[Category]]="pay",NOT(Table13[[#This Row],[Debits]]=0)),"bad","good")</f>
        <v>good</v>
      </c>
      <c r="O1893" s="5"/>
    </row>
    <row r="1894" spans="6:15" x14ac:dyDescent="0.3">
      <c r="F1894">
        <f>MONTH(Table13[[#This Row],[Date  (DMY)]])</f>
        <v>1</v>
      </c>
      <c r="G1894" s="2"/>
      <c r="L1894" s="5"/>
      <c r="M1894" s="4">
        <f>M1893-Table13[[#This Row],[Debits]]+Table13[[#This Row],[Income]]</f>
        <v>2805.21</v>
      </c>
      <c r="N1894" t="str">
        <f>IF(AND(Table13[[#This Row],[Category]]="pay",NOT(Table13[[#This Row],[Debits]]=0)),"bad","good")</f>
        <v>good</v>
      </c>
      <c r="O1894" s="5"/>
    </row>
    <row r="1895" spans="6:15" x14ac:dyDescent="0.3">
      <c r="F1895">
        <f>MONTH(Table13[[#This Row],[Date  (DMY)]])</f>
        <v>1</v>
      </c>
      <c r="G1895" s="2"/>
      <c r="L1895" s="5"/>
      <c r="M1895" s="4">
        <f>M1894-Table13[[#This Row],[Debits]]+Table13[[#This Row],[Income]]</f>
        <v>2805.21</v>
      </c>
      <c r="N1895" t="str">
        <f>IF(AND(Table13[[#This Row],[Category]]="pay",NOT(Table13[[#This Row],[Debits]]=0)),"bad","good")</f>
        <v>good</v>
      </c>
      <c r="O1895" s="5"/>
    </row>
    <row r="1896" spans="6:15" x14ac:dyDescent="0.3">
      <c r="F1896">
        <f>MONTH(Table13[[#This Row],[Date  (DMY)]])</f>
        <v>1</v>
      </c>
      <c r="G1896" s="2"/>
      <c r="L1896" s="5"/>
      <c r="M1896" s="4">
        <f>M1895-Table13[[#This Row],[Debits]]+Table13[[#This Row],[Income]]</f>
        <v>2805.21</v>
      </c>
      <c r="N1896" t="str">
        <f>IF(AND(Table13[[#This Row],[Category]]="pay",NOT(Table13[[#This Row],[Debits]]=0)),"bad","good")</f>
        <v>good</v>
      </c>
      <c r="O1896" s="5"/>
    </row>
    <row r="1897" spans="6:15" x14ac:dyDescent="0.3">
      <c r="F1897">
        <f>MONTH(Table13[[#This Row],[Date  (DMY)]])</f>
        <v>1</v>
      </c>
      <c r="G1897" s="2"/>
      <c r="L1897" s="5"/>
      <c r="M1897" s="4">
        <f>M1896-Table13[[#This Row],[Debits]]+Table13[[#This Row],[Income]]</f>
        <v>2805.21</v>
      </c>
      <c r="N1897" t="str">
        <f>IF(AND(Table13[[#This Row],[Category]]="pay",NOT(Table13[[#This Row],[Debits]]=0)),"bad","good")</f>
        <v>good</v>
      </c>
      <c r="O1897" s="5"/>
    </row>
    <row r="1898" spans="6:15" x14ac:dyDescent="0.3">
      <c r="F1898">
        <f>MONTH(Table13[[#This Row],[Date  (DMY)]])</f>
        <v>1</v>
      </c>
      <c r="G1898" s="2"/>
      <c r="L1898" s="5"/>
      <c r="M1898" s="4">
        <f>M1897-Table13[[#This Row],[Debits]]+Table13[[#This Row],[Income]]</f>
        <v>2805.21</v>
      </c>
      <c r="N1898" t="str">
        <f>IF(AND(Table13[[#This Row],[Category]]="pay",NOT(Table13[[#This Row],[Debits]]=0)),"bad","good")</f>
        <v>good</v>
      </c>
      <c r="O1898" s="5"/>
    </row>
    <row r="1899" spans="6:15" x14ac:dyDescent="0.3">
      <c r="F1899">
        <f>MONTH(Table13[[#This Row],[Date  (DMY)]])</f>
        <v>1</v>
      </c>
      <c r="G1899" s="2"/>
      <c r="L1899" s="5"/>
      <c r="M1899" s="4">
        <f>M1898-Table13[[#This Row],[Debits]]+Table13[[#This Row],[Income]]</f>
        <v>2805.21</v>
      </c>
      <c r="N1899" t="str">
        <f>IF(AND(Table13[[#This Row],[Category]]="pay",NOT(Table13[[#This Row],[Debits]]=0)),"bad","good")</f>
        <v>good</v>
      </c>
      <c r="O1899" s="5"/>
    </row>
    <row r="1900" spans="6:15" x14ac:dyDescent="0.3">
      <c r="F1900">
        <f>MONTH(Table13[[#This Row],[Date  (DMY)]])</f>
        <v>1</v>
      </c>
      <c r="G1900" s="2"/>
      <c r="L1900" s="5"/>
      <c r="M1900" s="4">
        <f>M1899-Table13[[#This Row],[Debits]]+Table13[[#This Row],[Income]]</f>
        <v>2805.21</v>
      </c>
      <c r="N1900" t="str">
        <f>IF(AND(Table13[[#This Row],[Category]]="pay",NOT(Table13[[#This Row],[Debits]]=0)),"bad","good")</f>
        <v>good</v>
      </c>
      <c r="O1900" s="5"/>
    </row>
    <row r="1901" spans="6:15" x14ac:dyDescent="0.3">
      <c r="F1901">
        <f>MONTH(Table13[[#This Row],[Date  (DMY)]])</f>
        <v>1</v>
      </c>
      <c r="G1901" s="2"/>
      <c r="L1901" s="5"/>
      <c r="M1901" s="4">
        <f>M1900-Table13[[#This Row],[Debits]]+Table13[[#This Row],[Income]]</f>
        <v>2805.21</v>
      </c>
      <c r="N1901" t="str">
        <f>IF(AND(Table13[[#This Row],[Category]]="pay",NOT(Table13[[#This Row],[Debits]]=0)),"bad","good")</f>
        <v>good</v>
      </c>
      <c r="O1901" s="5"/>
    </row>
    <row r="1902" spans="6:15" x14ac:dyDescent="0.3">
      <c r="F1902">
        <f>MONTH(Table13[[#This Row],[Date  (DMY)]])</f>
        <v>1</v>
      </c>
      <c r="G1902" s="2"/>
      <c r="L1902" s="5"/>
      <c r="M1902" s="4">
        <f>M1901-Table13[[#This Row],[Debits]]+Table13[[#This Row],[Income]]</f>
        <v>2805.21</v>
      </c>
      <c r="N1902" t="str">
        <f>IF(AND(Table13[[#This Row],[Category]]="pay",NOT(Table13[[#This Row],[Debits]]=0)),"bad","good")</f>
        <v>good</v>
      </c>
      <c r="O1902" s="5"/>
    </row>
    <row r="1903" spans="6:15" x14ac:dyDescent="0.3">
      <c r="F1903">
        <f>MONTH(Table13[[#This Row],[Date  (DMY)]])</f>
        <v>1</v>
      </c>
      <c r="G1903" s="2"/>
      <c r="L1903" s="5"/>
      <c r="M1903" s="4">
        <f>M1902-Table13[[#This Row],[Debits]]+Table13[[#This Row],[Income]]</f>
        <v>2805.21</v>
      </c>
      <c r="N1903" t="str">
        <f>IF(AND(Table13[[#This Row],[Category]]="pay",NOT(Table13[[#This Row],[Debits]]=0)),"bad","good")</f>
        <v>good</v>
      </c>
      <c r="O1903" s="5"/>
    </row>
    <row r="1904" spans="6:15" x14ac:dyDescent="0.3">
      <c r="F1904">
        <f>MONTH(Table13[[#This Row],[Date  (DMY)]])</f>
        <v>1</v>
      </c>
      <c r="G1904" s="2"/>
      <c r="L1904" s="5"/>
      <c r="M1904" s="4">
        <f>M1903-Table13[[#This Row],[Debits]]+Table13[[#This Row],[Income]]</f>
        <v>2805.21</v>
      </c>
      <c r="N1904" t="str">
        <f>IF(AND(Table13[[#This Row],[Category]]="pay",NOT(Table13[[#This Row],[Debits]]=0)),"bad","good")</f>
        <v>good</v>
      </c>
      <c r="O1904" s="5"/>
    </row>
    <row r="1905" spans="6:15" x14ac:dyDescent="0.3">
      <c r="F1905">
        <f>MONTH(Table13[[#This Row],[Date  (DMY)]])</f>
        <v>1</v>
      </c>
      <c r="G1905" s="2"/>
      <c r="L1905" s="5"/>
      <c r="M1905" s="4">
        <f>M1904-Table13[[#This Row],[Debits]]+Table13[[#This Row],[Income]]</f>
        <v>2805.21</v>
      </c>
      <c r="N1905" t="str">
        <f>IF(AND(Table13[[#This Row],[Category]]="pay",NOT(Table13[[#This Row],[Debits]]=0)),"bad","good")</f>
        <v>good</v>
      </c>
      <c r="O1905" s="5"/>
    </row>
    <row r="1906" spans="6:15" x14ac:dyDescent="0.3">
      <c r="F1906">
        <f>MONTH(Table13[[#This Row],[Date  (DMY)]])</f>
        <v>1</v>
      </c>
      <c r="G1906" s="2"/>
      <c r="L1906" s="5"/>
      <c r="M1906" s="4">
        <f>M1905-Table13[[#This Row],[Debits]]+Table13[[#This Row],[Income]]</f>
        <v>2805.21</v>
      </c>
      <c r="N1906" t="str">
        <f>IF(AND(Table13[[#This Row],[Category]]="pay",NOT(Table13[[#This Row],[Debits]]=0)),"bad","good")</f>
        <v>good</v>
      </c>
      <c r="O1906" s="5"/>
    </row>
    <row r="1907" spans="6:15" x14ac:dyDescent="0.3">
      <c r="F1907">
        <f>MONTH(Table13[[#This Row],[Date  (DMY)]])</f>
        <v>1</v>
      </c>
      <c r="G1907" s="2"/>
      <c r="L1907" s="5"/>
      <c r="M1907" s="4">
        <f>M1906-Table13[[#This Row],[Debits]]+Table13[[#This Row],[Income]]</f>
        <v>2805.21</v>
      </c>
      <c r="N1907" t="str">
        <f>IF(AND(Table13[[#This Row],[Category]]="pay",NOT(Table13[[#This Row],[Debits]]=0)),"bad","good")</f>
        <v>good</v>
      </c>
      <c r="O1907" s="5"/>
    </row>
    <row r="1908" spans="6:15" x14ac:dyDescent="0.3">
      <c r="F1908">
        <f>MONTH(Table13[[#This Row],[Date  (DMY)]])</f>
        <v>1</v>
      </c>
      <c r="G1908" s="2"/>
      <c r="L1908" s="5"/>
      <c r="M1908" s="4">
        <f>M1907-Table13[[#This Row],[Debits]]+Table13[[#This Row],[Income]]</f>
        <v>2805.21</v>
      </c>
      <c r="N1908" t="str">
        <f>IF(AND(Table13[[#This Row],[Category]]="pay",NOT(Table13[[#This Row],[Debits]]=0)),"bad","good")</f>
        <v>good</v>
      </c>
      <c r="O1908" s="5"/>
    </row>
    <row r="1909" spans="6:15" x14ac:dyDescent="0.3">
      <c r="F1909">
        <f>MONTH(Table13[[#This Row],[Date  (DMY)]])</f>
        <v>1</v>
      </c>
      <c r="G1909" s="2"/>
      <c r="L1909" s="5"/>
      <c r="M1909" s="4">
        <f>M1908-Table13[[#This Row],[Debits]]+Table13[[#This Row],[Income]]</f>
        <v>2805.21</v>
      </c>
      <c r="N1909" t="str">
        <f>IF(AND(Table13[[#This Row],[Category]]="pay",NOT(Table13[[#This Row],[Debits]]=0)),"bad","good")</f>
        <v>good</v>
      </c>
      <c r="O1909" s="5"/>
    </row>
    <row r="1910" spans="6:15" x14ac:dyDescent="0.3">
      <c r="F1910">
        <f>MONTH(Table13[[#This Row],[Date  (DMY)]])</f>
        <v>1</v>
      </c>
      <c r="G1910" s="2"/>
      <c r="L1910" s="5"/>
      <c r="M1910" s="4">
        <f>M1909-Table13[[#This Row],[Debits]]+Table13[[#This Row],[Income]]</f>
        <v>2805.21</v>
      </c>
      <c r="N1910" t="str">
        <f>IF(AND(Table13[[#This Row],[Category]]="pay",NOT(Table13[[#This Row],[Debits]]=0)),"bad","good")</f>
        <v>good</v>
      </c>
      <c r="O1910" s="5"/>
    </row>
    <row r="1911" spans="6:15" x14ac:dyDescent="0.3">
      <c r="F1911">
        <f>MONTH(Table13[[#This Row],[Date  (DMY)]])</f>
        <v>1</v>
      </c>
      <c r="G1911" s="2"/>
      <c r="L1911" s="5"/>
      <c r="M1911" s="4">
        <f>M1910-Table13[[#This Row],[Debits]]+Table13[[#This Row],[Income]]</f>
        <v>2805.21</v>
      </c>
      <c r="N1911" t="str">
        <f>IF(AND(Table13[[#This Row],[Category]]="pay",NOT(Table13[[#This Row],[Debits]]=0)),"bad","good")</f>
        <v>good</v>
      </c>
      <c r="O1911" s="5"/>
    </row>
    <row r="1912" spans="6:15" x14ac:dyDescent="0.3">
      <c r="F1912">
        <f>MONTH(Table13[[#This Row],[Date  (DMY)]])</f>
        <v>1</v>
      </c>
      <c r="G1912" s="2"/>
      <c r="L1912" s="5"/>
      <c r="M1912" s="4">
        <f>M1911-Table13[[#This Row],[Debits]]+Table13[[#This Row],[Income]]</f>
        <v>2805.21</v>
      </c>
      <c r="N1912" t="str">
        <f>IF(AND(Table13[[#This Row],[Category]]="pay",NOT(Table13[[#This Row],[Debits]]=0)),"bad","good")</f>
        <v>good</v>
      </c>
      <c r="O1912" s="5"/>
    </row>
    <row r="1913" spans="6:15" x14ac:dyDescent="0.3">
      <c r="F1913">
        <f>MONTH(Table13[[#This Row],[Date  (DMY)]])</f>
        <v>1</v>
      </c>
      <c r="G1913" s="2"/>
      <c r="L1913" s="5"/>
      <c r="M1913" s="4">
        <f>M1912-Table13[[#This Row],[Debits]]+Table13[[#This Row],[Income]]</f>
        <v>2805.21</v>
      </c>
      <c r="N1913" t="str">
        <f>IF(AND(Table13[[#This Row],[Category]]="pay",NOT(Table13[[#This Row],[Debits]]=0)),"bad","good")</f>
        <v>good</v>
      </c>
      <c r="O1913" s="5"/>
    </row>
    <row r="1914" spans="6:15" x14ac:dyDescent="0.3">
      <c r="F1914">
        <f>MONTH(Table13[[#This Row],[Date  (DMY)]])</f>
        <v>1</v>
      </c>
      <c r="G1914" s="2"/>
      <c r="L1914" s="5"/>
      <c r="M1914" s="4">
        <f>M1913-Table13[[#This Row],[Debits]]+Table13[[#This Row],[Income]]</f>
        <v>2805.21</v>
      </c>
      <c r="N1914" t="str">
        <f>IF(AND(Table13[[#This Row],[Category]]="pay",NOT(Table13[[#This Row],[Debits]]=0)),"bad","good")</f>
        <v>good</v>
      </c>
      <c r="O1914" s="5"/>
    </row>
    <row r="1915" spans="6:15" x14ac:dyDescent="0.3">
      <c r="F1915">
        <f>MONTH(Table13[[#This Row],[Date  (DMY)]])</f>
        <v>1</v>
      </c>
      <c r="G1915" s="2"/>
      <c r="L1915" s="5"/>
      <c r="M1915" s="4">
        <f>M1914-Table13[[#This Row],[Debits]]+Table13[[#This Row],[Income]]</f>
        <v>2805.21</v>
      </c>
      <c r="N1915" t="str">
        <f>IF(AND(Table13[[#This Row],[Category]]="pay",NOT(Table13[[#This Row],[Debits]]=0)),"bad","good")</f>
        <v>good</v>
      </c>
      <c r="O1915" s="5"/>
    </row>
    <row r="1916" spans="6:15" x14ac:dyDescent="0.3">
      <c r="F1916">
        <f>MONTH(Table13[[#This Row],[Date  (DMY)]])</f>
        <v>1</v>
      </c>
      <c r="G1916" s="2"/>
      <c r="L1916" s="5"/>
      <c r="M1916" s="4">
        <f>M1915-Table13[[#This Row],[Debits]]+Table13[[#This Row],[Income]]</f>
        <v>2805.21</v>
      </c>
      <c r="N1916" t="str">
        <f>IF(AND(Table13[[#This Row],[Category]]="pay",NOT(Table13[[#This Row],[Debits]]=0)),"bad","good")</f>
        <v>good</v>
      </c>
      <c r="O1916" s="5"/>
    </row>
    <row r="1917" spans="6:15" x14ac:dyDescent="0.3">
      <c r="F1917">
        <f>MONTH(Table13[[#This Row],[Date  (DMY)]])</f>
        <v>1</v>
      </c>
      <c r="G1917" s="2"/>
      <c r="L1917" s="5"/>
      <c r="M1917" s="4">
        <f>M1916-Table13[[#This Row],[Debits]]+Table13[[#This Row],[Income]]</f>
        <v>2805.21</v>
      </c>
      <c r="N1917" t="str">
        <f>IF(AND(Table13[[#This Row],[Category]]="pay",NOT(Table13[[#This Row],[Debits]]=0)),"bad","good")</f>
        <v>good</v>
      </c>
      <c r="O1917" s="5"/>
    </row>
    <row r="1918" spans="6:15" x14ac:dyDescent="0.3">
      <c r="F1918">
        <f>MONTH(Table13[[#This Row],[Date  (DMY)]])</f>
        <v>1</v>
      </c>
      <c r="G1918" s="2"/>
      <c r="L1918" s="5"/>
      <c r="M1918" s="4">
        <f>M1917-Table13[[#This Row],[Debits]]+Table13[[#This Row],[Income]]</f>
        <v>2805.21</v>
      </c>
      <c r="N1918" t="str">
        <f>IF(AND(Table13[[#This Row],[Category]]="pay",NOT(Table13[[#This Row],[Debits]]=0)),"bad","good")</f>
        <v>good</v>
      </c>
      <c r="O1918" s="5"/>
    </row>
    <row r="1919" spans="6:15" x14ac:dyDescent="0.3">
      <c r="F1919">
        <f>MONTH(Table13[[#This Row],[Date  (DMY)]])</f>
        <v>1</v>
      </c>
      <c r="G1919" s="2"/>
      <c r="L1919" s="5"/>
      <c r="M1919" s="4">
        <f>M1918-Table13[[#This Row],[Debits]]+Table13[[#This Row],[Income]]</f>
        <v>2805.21</v>
      </c>
      <c r="N1919" t="str">
        <f>IF(AND(Table13[[#This Row],[Category]]="pay",NOT(Table13[[#This Row],[Debits]]=0)),"bad","good")</f>
        <v>good</v>
      </c>
      <c r="O1919" s="5"/>
    </row>
    <row r="1920" spans="6:15" x14ac:dyDescent="0.3">
      <c r="F1920">
        <f>MONTH(Table13[[#This Row],[Date  (DMY)]])</f>
        <v>1</v>
      </c>
      <c r="G1920" s="2"/>
      <c r="L1920" s="5"/>
      <c r="M1920" s="4">
        <f>M1919-Table13[[#This Row],[Debits]]+Table13[[#This Row],[Income]]</f>
        <v>2805.21</v>
      </c>
      <c r="N1920" t="str">
        <f>IF(AND(Table13[[#This Row],[Category]]="pay",NOT(Table13[[#This Row],[Debits]]=0)),"bad","good")</f>
        <v>good</v>
      </c>
      <c r="O1920" s="5"/>
    </row>
    <row r="1921" spans="6:15" x14ac:dyDescent="0.3">
      <c r="F1921">
        <f>MONTH(Table13[[#This Row],[Date  (DMY)]])</f>
        <v>1</v>
      </c>
      <c r="G1921" s="2"/>
      <c r="L1921" s="5"/>
      <c r="M1921" s="4">
        <f>M1920-Table13[[#This Row],[Debits]]+Table13[[#This Row],[Income]]</f>
        <v>2805.21</v>
      </c>
      <c r="N1921" t="str">
        <f>IF(AND(Table13[[#This Row],[Category]]="pay",NOT(Table13[[#This Row],[Debits]]=0)),"bad","good")</f>
        <v>good</v>
      </c>
      <c r="O1921" s="5"/>
    </row>
    <row r="1922" spans="6:15" x14ac:dyDescent="0.3">
      <c r="F1922">
        <f>MONTH(Table13[[#This Row],[Date  (DMY)]])</f>
        <v>1</v>
      </c>
      <c r="G1922" s="2"/>
      <c r="L1922" s="5"/>
      <c r="M1922" s="4">
        <f>M1921-Table13[[#This Row],[Debits]]+Table13[[#This Row],[Income]]</f>
        <v>2805.21</v>
      </c>
      <c r="N1922" t="str">
        <f>IF(AND(Table13[[#This Row],[Category]]="pay",NOT(Table13[[#This Row],[Debits]]=0)),"bad","good")</f>
        <v>good</v>
      </c>
      <c r="O1922" s="5"/>
    </row>
    <row r="1923" spans="6:15" x14ac:dyDescent="0.3">
      <c r="F1923">
        <f>MONTH(Table13[[#This Row],[Date  (DMY)]])</f>
        <v>1</v>
      </c>
      <c r="G1923" s="2"/>
      <c r="L1923" s="5"/>
      <c r="M1923" s="4">
        <f>M1922-Table13[[#This Row],[Debits]]+Table13[[#This Row],[Income]]</f>
        <v>2805.21</v>
      </c>
      <c r="N1923" t="str">
        <f>IF(AND(Table13[[#This Row],[Category]]="pay",NOT(Table13[[#This Row],[Debits]]=0)),"bad","good")</f>
        <v>good</v>
      </c>
      <c r="O1923" s="5"/>
    </row>
    <row r="1924" spans="6:15" x14ac:dyDescent="0.3">
      <c r="F1924">
        <f>MONTH(Table13[[#This Row],[Date  (DMY)]])</f>
        <v>1</v>
      </c>
      <c r="G1924" s="2"/>
      <c r="L1924" s="5"/>
      <c r="M1924" s="4">
        <f>M1923-Table13[[#This Row],[Debits]]+Table13[[#This Row],[Income]]</f>
        <v>2805.21</v>
      </c>
      <c r="N1924" t="str">
        <f>IF(AND(Table13[[#This Row],[Category]]="pay",NOT(Table13[[#This Row],[Debits]]=0)),"bad","good")</f>
        <v>good</v>
      </c>
      <c r="O1924" s="5"/>
    </row>
    <row r="1925" spans="6:15" x14ac:dyDescent="0.3">
      <c r="F1925">
        <f>MONTH(Table13[[#This Row],[Date  (DMY)]])</f>
        <v>1</v>
      </c>
      <c r="G1925" s="2"/>
      <c r="L1925" s="5"/>
      <c r="M1925" s="4">
        <f>M1924-Table13[[#This Row],[Debits]]+Table13[[#This Row],[Income]]</f>
        <v>2805.21</v>
      </c>
      <c r="N1925" t="str">
        <f>IF(AND(Table13[[#This Row],[Category]]="pay",NOT(Table13[[#This Row],[Debits]]=0)),"bad","good")</f>
        <v>good</v>
      </c>
      <c r="O1925" s="5"/>
    </row>
    <row r="1926" spans="6:15" x14ac:dyDescent="0.3">
      <c r="F1926">
        <f>MONTH(Table13[[#This Row],[Date  (DMY)]])</f>
        <v>1</v>
      </c>
      <c r="G1926" s="2"/>
      <c r="L1926" s="5"/>
      <c r="M1926" s="4">
        <f>M1925-Table13[[#This Row],[Debits]]+Table13[[#This Row],[Income]]</f>
        <v>2805.21</v>
      </c>
      <c r="N1926" t="str">
        <f>IF(AND(Table13[[#This Row],[Category]]="pay",NOT(Table13[[#This Row],[Debits]]=0)),"bad","good")</f>
        <v>good</v>
      </c>
      <c r="O1926" s="5"/>
    </row>
    <row r="1927" spans="6:15" x14ac:dyDescent="0.3">
      <c r="F1927">
        <f>MONTH(Table13[[#This Row],[Date  (DMY)]])</f>
        <v>1</v>
      </c>
      <c r="G1927" s="2"/>
      <c r="L1927" s="5"/>
      <c r="M1927" s="4">
        <f>M1926-Table13[[#This Row],[Debits]]+Table13[[#This Row],[Income]]</f>
        <v>2805.21</v>
      </c>
      <c r="N1927" t="str">
        <f>IF(AND(Table13[[#This Row],[Category]]="pay",NOT(Table13[[#This Row],[Debits]]=0)),"bad","good")</f>
        <v>good</v>
      </c>
      <c r="O1927" s="5"/>
    </row>
    <row r="1928" spans="6:15" x14ac:dyDescent="0.3">
      <c r="F1928">
        <f>MONTH(Table13[[#This Row],[Date  (DMY)]])</f>
        <v>1</v>
      </c>
      <c r="G1928" s="2"/>
      <c r="L1928" s="5"/>
      <c r="M1928" s="4">
        <f>M1927-Table13[[#This Row],[Debits]]+Table13[[#This Row],[Income]]</f>
        <v>2805.21</v>
      </c>
      <c r="N1928" t="str">
        <f>IF(AND(Table13[[#This Row],[Category]]="pay",NOT(Table13[[#This Row],[Debits]]=0)),"bad","good")</f>
        <v>good</v>
      </c>
      <c r="O1928" s="5"/>
    </row>
    <row r="1929" spans="6:15" x14ac:dyDescent="0.3">
      <c r="F1929">
        <f>MONTH(Table13[[#This Row],[Date  (DMY)]])</f>
        <v>1</v>
      </c>
      <c r="G1929" s="2"/>
      <c r="L1929" s="5"/>
      <c r="M1929" s="4">
        <f>M1928-Table13[[#This Row],[Debits]]+Table13[[#This Row],[Income]]</f>
        <v>2805.21</v>
      </c>
      <c r="N1929" t="str">
        <f>IF(AND(Table13[[#This Row],[Category]]="pay",NOT(Table13[[#This Row],[Debits]]=0)),"bad","good")</f>
        <v>good</v>
      </c>
      <c r="O1929" s="5"/>
    </row>
    <row r="1930" spans="6:15" x14ac:dyDescent="0.3">
      <c r="F1930">
        <f>MONTH(Table13[[#This Row],[Date  (DMY)]])</f>
        <v>1</v>
      </c>
      <c r="G1930" s="2"/>
      <c r="L1930" s="5"/>
      <c r="M1930" s="4">
        <f>M1929-Table13[[#This Row],[Debits]]+Table13[[#This Row],[Income]]</f>
        <v>2805.21</v>
      </c>
      <c r="N1930" t="str">
        <f>IF(AND(Table13[[#This Row],[Category]]="pay",NOT(Table13[[#This Row],[Debits]]=0)),"bad","good")</f>
        <v>good</v>
      </c>
      <c r="O1930" s="5"/>
    </row>
    <row r="1931" spans="6:15" x14ac:dyDescent="0.3">
      <c r="F1931">
        <f>MONTH(Table13[[#This Row],[Date  (DMY)]])</f>
        <v>1</v>
      </c>
      <c r="G1931" s="2"/>
      <c r="L1931" s="5"/>
      <c r="M1931" s="4">
        <f>M1930-Table13[[#This Row],[Debits]]+Table13[[#This Row],[Income]]</f>
        <v>2805.21</v>
      </c>
      <c r="N1931" t="str">
        <f>IF(AND(Table13[[#This Row],[Category]]="pay",NOT(Table13[[#This Row],[Debits]]=0)),"bad","good")</f>
        <v>good</v>
      </c>
      <c r="O1931" s="5"/>
    </row>
    <row r="1932" spans="6:15" x14ac:dyDescent="0.3">
      <c r="F1932">
        <f>MONTH(Table13[[#This Row],[Date  (DMY)]])</f>
        <v>1</v>
      </c>
      <c r="G1932" s="2"/>
      <c r="L1932" s="5"/>
      <c r="M1932" s="4">
        <f>M1931-Table13[[#This Row],[Debits]]+Table13[[#This Row],[Income]]</f>
        <v>2805.21</v>
      </c>
      <c r="N1932" t="str">
        <f>IF(AND(Table13[[#This Row],[Category]]="pay",NOT(Table13[[#This Row],[Debits]]=0)),"bad","good")</f>
        <v>good</v>
      </c>
      <c r="O1932" s="5"/>
    </row>
    <row r="1933" spans="6:15" x14ac:dyDescent="0.3">
      <c r="F1933">
        <f>MONTH(Table13[[#This Row],[Date  (DMY)]])</f>
        <v>1</v>
      </c>
      <c r="G1933" s="2"/>
      <c r="L1933" s="5"/>
      <c r="M1933" s="4">
        <f>M1932-Table13[[#This Row],[Debits]]+Table13[[#This Row],[Income]]</f>
        <v>2805.21</v>
      </c>
      <c r="N1933" t="str">
        <f>IF(AND(Table13[[#This Row],[Category]]="pay",NOT(Table13[[#This Row],[Debits]]=0)),"bad","good")</f>
        <v>good</v>
      </c>
      <c r="O1933" s="5"/>
    </row>
    <row r="1934" spans="6:15" x14ac:dyDescent="0.3">
      <c r="F1934">
        <f>MONTH(Table13[[#This Row],[Date  (DMY)]])</f>
        <v>1</v>
      </c>
      <c r="G1934" s="2"/>
      <c r="L1934" s="5"/>
      <c r="M1934" s="4">
        <f>M1933-Table13[[#This Row],[Debits]]+Table13[[#This Row],[Income]]</f>
        <v>2805.21</v>
      </c>
      <c r="N1934" t="str">
        <f>IF(AND(Table13[[#This Row],[Category]]="pay",NOT(Table13[[#This Row],[Debits]]=0)),"bad","good")</f>
        <v>good</v>
      </c>
      <c r="O1934" s="5"/>
    </row>
    <row r="1935" spans="6:15" x14ac:dyDescent="0.3">
      <c r="F1935">
        <f>MONTH(Table13[[#This Row],[Date  (DMY)]])</f>
        <v>1</v>
      </c>
      <c r="G1935" s="2"/>
      <c r="L1935" s="5"/>
      <c r="M1935" s="4">
        <f>M1934-Table13[[#This Row],[Debits]]+Table13[[#This Row],[Income]]</f>
        <v>2805.21</v>
      </c>
      <c r="N1935" t="str">
        <f>IF(AND(Table13[[#This Row],[Category]]="pay",NOT(Table13[[#This Row],[Debits]]=0)),"bad","good")</f>
        <v>good</v>
      </c>
      <c r="O1935" s="5"/>
    </row>
    <row r="1936" spans="6:15" x14ac:dyDescent="0.3">
      <c r="F1936">
        <f>MONTH(Table13[[#This Row],[Date  (DMY)]])</f>
        <v>1</v>
      </c>
      <c r="G1936" s="2"/>
      <c r="L1936" s="5"/>
      <c r="M1936" s="4">
        <f>M1935-Table13[[#This Row],[Debits]]+Table13[[#This Row],[Income]]</f>
        <v>2805.21</v>
      </c>
      <c r="N1936" t="str">
        <f>IF(AND(Table13[[#This Row],[Category]]="pay",NOT(Table13[[#This Row],[Debits]]=0)),"bad","good")</f>
        <v>good</v>
      </c>
      <c r="O1936" s="5"/>
    </row>
    <row r="1937" spans="6:15" x14ac:dyDescent="0.3">
      <c r="F1937">
        <f>MONTH(Table13[[#This Row],[Date  (DMY)]])</f>
        <v>1</v>
      </c>
      <c r="G1937" s="2"/>
      <c r="L1937" s="5"/>
      <c r="M1937" s="4">
        <f>M1936-Table13[[#This Row],[Debits]]+Table13[[#This Row],[Income]]</f>
        <v>2805.21</v>
      </c>
      <c r="N1937" t="str">
        <f>IF(AND(Table13[[#This Row],[Category]]="pay",NOT(Table13[[#This Row],[Debits]]=0)),"bad","good")</f>
        <v>good</v>
      </c>
      <c r="O1937" s="5"/>
    </row>
    <row r="1938" spans="6:15" x14ac:dyDescent="0.3">
      <c r="F1938">
        <f>MONTH(Table13[[#This Row],[Date  (DMY)]])</f>
        <v>1</v>
      </c>
      <c r="G1938" s="2"/>
      <c r="L1938" s="5"/>
      <c r="M1938" s="4">
        <f>M1937-Table13[[#This Row],[Debits]]+Table13[[#This Row],[Income]]</f>
        <v>2805.21</v>
      </c>
      <c r="N1938" t="str">
        <f>IF(AND(Table13[[#This Row],[Category]]="pay",NOT(Table13[[#This Row],[Debits]]=0)),"bad","good")</f>
        <v>good</v>
      </c>
      <c r="O1938" s="5"/>
    </row>
    <row r="1939" spans="6:15" x14ac:dyDescent="0.3">
      <c r="F1939">
        <f>MONTH(Table13[[#This Row],[Date  (DMY)]])</f>
        <v>1</v>
      </c>
      <c r="G1939" s="2"/>
      <c r="L1939" s="5"/>
      <c r="M1939" s="4">
        <f>M1938-Table13[[#This Row],[Debits]]+Table13[[#This Row],[Income]]</f>
        <v>2805.21</v>
      </c>
      <c r="N1939" t="str">
        <f>IF(AND(Table13[[#This Row],[Category]]="pay",NOT(Table13[[#This Row],[Debits]]=0)),"bad","good")</f>
        <v>good</v>
      </c>
      <c r="O1939" s="5"/>
    </row>
    <row r="1940" spans="6:15" x14ac:dyDescent="0.3">
      <c r="F1940">
        <f>MONTH(Table13[[#This Row],[Date  (DMY)]])</f>
        <v>1</v>
      </c>
      <c r="G1940" s="2"/>
      <c r="L1940" s="5"/>
      <c r="M1940" s="4">
        <f>M1939-Table13[[#This Row],[Debits]]+Table13[[#This Row],[Income]]</f>
        <v>2805.21</v>
      </c>
      <c r="N1940" t="str">
        <f>IF(AND(Table13[[#This Row],[Category]]="pay",NOT(Table13[[#This Row],[Debits]]=0)),"bad","good")</f>
        <v>good</v>
      </c>
      <c r="O1940" s="5"/>
    </row>
    <row r="1941" spans="6:15" x14ac:dyDescent="0.3">
      <c r="F1941">
        <f>MONTH(Table13[[#This Row],[Date  (DMY)]])</f>
        <v>1</v>
      </c>
      <c r="G1941" s="2"/>
      <c r="L1941" s="5"/>
      <c r="M1941" s="4">
        <f>M1940-Table13[[#This Row],[Debits]]+Table13[[#This Row],[Income]]</f>
        <v>2805.21</v>
      </c>
      <c r="N1941" t="str">
        <f>IF(AND(Table13[[#This Row],[Category]]="pay",NOT(Table13[[#This Row],[Debits]]=0)),"bad","good")</f>
        <v>good</v>
      </c>
      <c r="O1941" s="5"/>
    </row>
    <row r="1942" spans="6:15" x14ac:dyDescent="0.3">
      <c r="F1942">
        <f>MONTH(Table13[[#This Row],[Date  (DMY)]])</f>
        <v>1</v>
      </c>
      <c r="G1942" s="2"/>
      <c r="L1942" s="5"/>
      <c r="M1942" s="4">
        <f>M1941-Table13[[#This Row],[Debits]]+Table13[[#This Row],[Income]]</f>
        <v>2805.21</v>
      </c>
      <c r="N1942" t="str">
        <f>IF(AND(Table13[[#This Row],[Category]]="pay",NOT(Table13[[#This Row],[Debits]]=0)),"bad","good")</f>
        <v>good</v>
      </c>
      <c r="O1942" s="5"/>
    </row>
    <row r="1943" spans="6:15" x14ac:dyDescent="0.3">
      <c r="F1943">
        <f>MONTH(Table13[[#This Row],[Date  (DMY)]])</f>
        <v>1</v>
      </c>
      <c r="G1943" s="2"/>
      <c r="L1943" s="5"/>
      <c r="M1943" s="4">
        <f>M1942-Table13[[#This Row],[Debits]]+Table13[[#This Row],[Income]]</f>
        <v>2805.21</v>
      </c>
      <c r="N1943" t="str">
        <f>IF(AND(Table13[[#This Row],[Category]]="pay",NOT(Table13[[#This Row],[Debits]]=0)),"bad","good")</f>
        <v>good</v>
      </c>
      <c r="O1943" s="5"/>
    </row>
    <row r="1944" spans="6:15" x14ac:dyDescent="0.3">
      <c r="F1944">
        <f>MONTH(Table13[[#This Row],[Date  (DMY)]])</f>
        <v>1</v>
      </c>
      <c r="G1944" s="2"/>
      <c r="L1944" s="5"/>
      <c r="M1944" s="4">
        <f>M1943-Table13[[#This Row],[Debits]]+Table13[[#This Row],[Income]]</f>
        <v>2805.21</v>
      </c>
      <c r="N1944" t="str">
        <f>IF(AND(Table13[[#This Row],[Category]]="pay",NOT(Table13[[#This Row],[Debits]]=0)),"bad","good")</f>
        <v>good</v>
      </c>
      <c r="O1944" s="5"/>
    </row>
    <row r="1945" spans="6:15" x14ac:dyDescent="0.3">
      <c r="F1945">
        <f>MONTH(Table13[[#This Row],[Date  (DMY)]])</f>
        <v>1</v>
      </c>
      <c r="G1945" s="2"/>
      <c r="L1945" s="5"/>
      <c r="M1945" s="4">
        <f>M1944-Table13[[#This Row],[Debits]]+Table13[[#This Row],[Income]]</f>
        <v>2805.21</v>
      </c>
      <c r="N1945" t="str">
        <f>IF(AND(Table13[[#This Row],[Category]]="pay",NOT(Table13[[#This Row],[Debits]]=0)),"bad","good")</f>
        <v>good</v>
      </c>
      <c r="O1945" s="5"/>
    </row>
    <row r="1946" spans="6:15" x14ac:dyDescent="0.3">
      <c r="F1946">
        <f>MONTH(Table13[[#This Row],[Date  (DMY)]])</f>
        <v>1</v>
      </c>
      <c r="G1946" s="2"/>
      <c r="L1946" s="5"/>
      <c r="M1946" s="4">
        <f>M1945-Table13[[#This Row],[Debits]]+Table13[[#This Row],[Income]]</f>
        <v>2805.21</v>
      </c>
      <c r="N1946" t="str">
        <f>IF(AND(Table13[[#This Row],[Category]]="pay",NOT(Table13[[#This Row],[Debits]]=0)),"bad","good")</f>
        <v>good</v>
      </c>
      <c r="O1946" s="5"/>
    </row>
    <row r="1947" spans="6:15" x14ac:dyDescent="0.3">
      <c r="F1947">
        <f>MONTH(Table13[[#This Row],[Date  (DMY)]])</f>
        <v>1</v>
      </c>
      <c r="G1947" s="2"/>
      <c r="L1947" s="5"/>
      <c r="M1947" s="4">
        <f>M1946-Table13[[#This Row],[Debits]]+Table13[[#This Row],[Income]]</f>
        <v>2805.21</v>
      </c>
      <c r="N1947" t="str">
        <f>IF(AND(Table13[[#This Row],[Category]]="pay",NOT(Table13[[#This Row],[Debits]]=0)),"bad","good")</f>
        <v>good</v>
      </c>
      <c r="O1947" s="5"/>
    </row>
    <row r="1948" spans="6:15" x14ac:dyDescent="0.3">
      <c r="F1948">
        <f>MONTH(Table13[[#This Row],[Date  (DMY)]])</f>
        <v>1</v>
      </c>
      <c r="G1948" s="2"/>
      <c r="L1948" s="5"/>
      <c r="M1948" s="4">
        <f>M1947-Table13[[#This Row],[Debits]]+Table13[[#This Row],[Income]]</f>
        <v>2805.21</v>
      </c>
      <c r="N1948" t="str">
        <f>IF(AND(Table13[[#This Row],[Category]]="pay",NOT(Table13[[#This Row],[Debits]]=0)),"bad","good")</f>
        <v>good</v>
      </c>
      <c r="O1948" s="5"/>
    </row>
    <row r="1949" spans="6:15" x14ac:dyDescent="0.3">
      <c r="F1949">
        <f>MONTH(Table13[[#This Row],[Date  (DMY)]])</f>
        <v>1</v>
      </c>
      <c r="G1949" s="2"/>
      <c r="L1949" s="5"/>
      <c r="M1949" s="4">
        <f>M1948-Table13[[#This Row],[Debits]]+Table13[[#This Row],[Income]]</f>
        <v>2805.21</v>
      </c>
      <c r="N1949" t="str">
        <f>IF(AND(Table13[[#This Row],[Category]]="pay",NOT(Table13[[#This Row],[Debits]]=0)),"bad","good")</f>
        <v>good</v>
      </c>
      <c r="O1949" s="5"/>
    </row>
    <row r="1950" spans="6:15" x14ac:dyDescent="0.3">
      <c r="F1950">
        <f>MONTH(Table13[[#This Row],[Date  (DMY)]])</f>
        <v>1</v>
      </c>
      <c r="G1950" s="2"/>
      <c r="L1950" s="5"/>
      <c r="M1950" s="4">
        <f>M1949-Table13[[#This Row],[Debits]]+Table13[[#This Row],[Income]]</f>
        <v>2805.21</v>
      </c>
      <c r="N1950" t="str">
        <f>IF(AND(Table13[[#This Row],[Category]]="pay",NOT(Table13[[#This Row],[Debits]]=0)),"bad","good")</f>
        <v>good</v>
      </c>
      <c r="O1950" s="5"/>
    </row>
    <row r="1951" spans="6:15" x14ac:dyDescent="0.3">
      <c r="F1951">
        <f>MONTH(Table13[[#This Row],[Date  (DMY)]])</f>
        <v>1</v>
      </c>
      <c r="G1951" s="2"/>
      <c r="L1951" s="5"/>
      <c r="M1951" s="4">
        <f>M1950-Table13[[#This Row],[Debits]]+Table13[[#This Row],[Income]]</f>
        <v>2805.21</v>
      </c>
      <c r="N1951" t="str">
        <f>IF(AND(Table13[[#This Row],[Category]]="pay",NOT(Table13[[#This Row],[Debits]]=0)),"bad","good")</f>
        <v>good</v>
      </c>
      <c r="O1951" s="5"/>
    </row>
    <row r="1952" spans="6:15" x14ac:dyDescent="0.3">
      <c r="F1952">
        <f>MONTH(Table13[[#This Row],[Date  (DMY)]])</f>
        <v>1</v>
      </c>
      <c r="G1952" s="2"/>
      <c r="L1952" s="5"/>
      <c r="M1952" s="4">
        <f>M1951-Table13[[#This Row],[Debits]]+Table13[[#This Row],[Income]]</f>
        <v>2805.21</v>
      </c>
      <c r="N1952" t="str">
        <f>IF(AND(Table13[[#This Row],[Category]]="pay",NOT(Table13[[#This Row],[Debits]]=0)),"bad","good")</f>
        <v>good</v>
      </c>
      <c r="O1952" s="5"/>
    </row>
    <row r="1953" spans="6:15" x14ac:dyDescent="0.3">
      <c r="F1953">
        <f>MONTH(Table13[[#This Row],[Date  (DMY)]])</f>
        <v>1</v>
      </c>
      <c r="G1953" s="2"/>
      <c r="L1953" s="5"/>
      <c r="M1953" s="4">
        <f>M1952-Table13[[#This Row],[Debits]]+Table13[[#This Row],[Income]]</f>
        <v>2805.21</v>
      </c>
      <c r="N1953" t="str">
        <f>IF(AND(Table13[[#This Row],[Category]]="pay",NOT(Table13[[#This Row],[Debits]]=0)),"bad","good")</f>
        <v>good</v>
      </c>
      <c r="O1953" s="5"/>
    </row>
    <row r="1954" spans="6:15" x14ac:dyDescent="0.3">
      <c r="F1954">
        <f>MONTH(Table13[[#This Row],[Date  (DMY)]])</f>
        <v>1</v>
      </c>
      <c r="G1954" s="2"/>
      <c r="L1954" s="5"/>
      <c r="M1954" s="4">
        <f>M1953-Table13[[#This Row],[Debits]]+Table13[[#This Row],[Income]]</f>
        <v>2805.21</v>
      </c>
      <c r="N1954" t="str">
        <f>IF(AND(Table13[[#This Row],[Category]]="pay",NOT(Table13[[#This Row],[Debits]]=0)),"bad","good")</f>
        <v>good</v>
      </c>
      <c r="O1954" s="5"/>
    </row>
    <row r="1955" spans="6:15" x14ac:dyDescent="0.3">
      <c r="F1955">
        <f>MONTH(Table13[[#This Row],[Date  (DMY)]])</f>
        <v>1</v>
      </c>
      <c r="G1955" s="2"/>
      <c r="L1955" s="5"/>
      <c r="M1955" s="4">
        <f>M1954-Table13[[#This Row],[Debits]]+Table13[[#This Row],[Income]]</f>
        <v>2805.21</v>
      </c>
      <c r="N1955" t="str">
        <f>IF(AND(Table13[[#This Row],[Category]]="pay",NOT(Table13[[#This Row],[Debits]]=0)),"bad","good")</f>
        <v>good</v>
      </c>
      <c r="O1955" s="5"/>
    </row>
    <row r="1956" spans="6:15" x14ac:dyDescent="0.3">
      <c r="F1956">
        <f>MONTH(Table13[[#This Row],[Date  (DMY)]])</f>
        <v>1</v>
      </c>
      <c r="G1956" s="2"/>
      <c r="L1956" s="5"/>
      <c r="M1956" s="4">
        <f>M1955-Table13[[#This Row],[Debits]]+Table13[[#This Row],[Income]]</f>
        <v>2805.21</v>
      </c>
      <c r="N1956" t="str">
        <f>IF(AND(Table13[[#This Row],[Category]]="pay",NOT(Table13[[#This Row],[Debits]]=0)),"bad","good")</f>
        <v>good</v>
      </c>
      <c r="O1956" s="5"/>
    </row>
    <row r="1957" spans="6:15" x14ac:dyDescent="0.3">
      <c r="F1957">
        <f>MONTH(Table13[[#This Row],[Date  (DMY)]])</f>
        <v>1</v>
      </c>
      <c r="G1957" s="2"/>
      <c r="L1957" s="5"/>
      <c r="M1957" s="4">
        <f>M1956-Table13[[#This Row],[Debits]]+Table13[[#This Row],[Income]]</f>
        <v>2805.21</v>
      </c>
      <c r="N1957" t="str">
        <f>IF(AND(Table13[[#This Row],[Category]]="pay",NOT(Table13[[#This Row],[Debits]]=0)),"bad","good")</f>
        <v>good</v>
      </c>
      <c r="O1957" s="5"/>
    </row>
    <row r="1958" spans="6:15" x14ac:dyDescent="0.3">
      <c r="F1958">
        <f>MONTH(Table13[[#This Row],[Date  (DMY)]])</f>
        <v>1</v>
      </c>
      <c r="G1958" s="2"/>
      <c r="L1958" s="5"/>
      <c r="M1958" s="4">
        <f>M1957-Table13[[#This Row],[Debits]]+Table13[[#This Row],[Income]]</f>
        <v>2805.21</v>
      </c>
      <c r="N1958" t="str">
        <f>IF(AND(Table13[[#This Row],[Category]]="pay",NOT(Table13[[#This Row],[Debits]]=0)),"bad","good")</f>
        <v>good</v>
      </c>
      <c r="O1958" s="5"/>
    </row>
    <row r="1959" spans="6:15" x14ac:dyDescent="0.3">
      <c r="F1959">
        <f>MONTH(Table13[[#This Row],[Date  (DMY)]])</f>
        <v>1</v>
      </c>
      <c r="G1959" s="2"/>
      <c r="L1959" s="5"/>
      <c r="M1959" s="4">
        <f>M1958-Table13[[#This Row],[Debits]]+Table13[[#This Row],[Income]]</f>
        <v>2805.21</v>
      </c>
      <c r="N1959" t="str">
        <f>IF(AND(Table13[[#This Row],[Category]]="pay",NOT(Table13[[#This Row],[Debits]]=0)),"bad","good")</f>
        <v>good</v>
      </c>
      <c r="O1959" s="5"/>
    </row>
    <row r="1960" spans="6:15" x14ac:dyDescent="0.3">
      <c r="F1960">
        <f>MONTH(Table13[[#This Row],[Date  (DMY)]])</f>
        <v>1</v>
      </c>
      <c r="G1960" s="2"/>
      <c r="L1960" s="5"/>
      <c r="M1960" s="4">
        <f>M1959-Table13[[#This Row],[Debits]]+Table13[[#This Row],[Income]]</f>
        <v>2805.21</v>
      </c>
      <c r="N1960" t="str">
        <f>IF(AND(Table13[[#This Row],[Category]]="pay",NOT(Table13[[#This Row],[Debits]]=0)),"bad","good")</f>
        <v>good</v>
      </c>
      <c r="O1960" s="5"/>
    </row>
    <row r="1961" spans="6:15" x14ac:dyDescent="0.3">
      <c r="F1961">
        <f>MONTH(Table13[[#This Row],[Date  (DMY)]])</f>
        <v>1</v>
      </c>
      <c r="G1961" s="2"/>
      <c r="L1961" s="5"/>
      <c r="M1961" s="4">
        <f>M1960-Table13[[#This Row],[Debits]]+Table13[[#This Row],[Income]]</f>
        <v>2805.21</v>
      </c>
      <c r="N1961" t="str">
        <f>IF(AND(Table13[[#This Row],[Category]]="pay",NOT(Table13[[#This Row],[Debits]]=0)),"bad","good")</f>
        <v>good</v>
      </c>
      <c r="O1961" s="5"/>
    </row>
    <row r="1962" spans="6:15" x14ac:dyDescent="0.3">
      <c r="F1962">
        <f>MONTH(Table13[[#This Row],[Date  (DMY)]])</f>
        <v>1</v>
      </c>
      <c r="G1962" s="2"/>
      <c r="L1962" s="5"/>
      <c r="M1962" s="4">
        <f>M1961-Table13[[#This Row],[Debits]]+Table13[[#This Row],[Income]]</f>
        <v>2805.21</v>
      </c>
      <c r="N1962" t="str">
        <f>IF(AND(Table13[[#This Row],[Category]]="pay",NOT(Table13[[#This Row],[Debits]]=0)),"bad","good")</f>
        <v>good</v>
      </c>
      <c r="O1962" s="5"/>
    </row>
    <row r="1963" spans="6:15" x14ac:dyDescent="0.3">
      <c r="F1963">
        <f>MONTH(Table13[[#This Row],[Date  (DMY)]])</f>
        <v>1</v>
      </c>
      <c r="G1963" s="2"/>
      <c r="L1963" s="5"/>
      <c r="M1963" s="4">
        <f>M1962-Table13[[#This Row],[Debits]]+Table13[[#This Row],[Income]]</f>
        <v>2805.21</v>
      </c>
      <c r="N1963" t="str">
        <f>IF(AND(Table13[[#This Row],[Category]]="pay",NOT(Table13[[#This Row],[Debits]]=0)),"bad","good")</f>
        <v>good</v>
      </c>
      <c r="O1963" s="5"/>
    </row>
    <row r="1964" spans="6:15" x14ac:dyDescent="0.3">
      <c r="F1964">
        <f>MONTH(Table13[[#This Row],[Date  (DMY)]])</f>
        <v>1</v>
      </c>
      <c r="G1964" s="2"/>
      <c r="L1964" s="5"/>
      <c r="M1964" s="4">
        <f>M1963-Table13[[#This Row],[Debits]]+Table13[[#This Row],[Income]]</f>
        <v>2805.21</v>
      </c>
      <c r="N1964" t="str">
        <f>IF(AND(Table13[[#This Row],[Category]]="pay",NOT(Table13[[#This Row],[Debits]]=0)),"bad","good")</f>
        <v>good</v>
      </c>
      <c r="O1964" s="5"/>
    </row>
    <row r="1965" spans="6:15" x14ac:dyDescent="0.3">
      <c r="F1965">
        <f>MONTH(Table13[[#This Row],[Date  (DMY)]])</f>
        <v>1</v>
      </c>
      <c r="G1965" s="2"/>
      <c r="L1965" s="5"/>
      <c r="M1965" s="4">
        <f>M1964-Table13[[#This Row],[Debits]]+Table13[[#This Row],[Income]]</f>
        <v>2805.21</v>
      </c>
      <c r="N1965" t="str">
        <f>IF(AND(Table13[[#This Row],[Category]]="pay",NOT(Table13[[#This Row],[Debits]]=0)),"bad","good")</f>
        <v>good</v>
      </c>
      <c r="O1965" s="5"/>
    </row>
    <row r="1966" spans="6:15" x14ac:dyDescent="0.3">
      <c r="F1966">
        <f>MONTH(Table13[[#This Row],[Date  (DMY)]])</f>
        <v>1</v>
      </c>
      <c r="G1966" s="2"/>
      <c r="L1966" s="5"/>
      <c r="M1966" s="4">
        <f>M1965-Table13[[#This Row],[Debits]]+Table13[[#This Row],[Income]]</f>
        <v>2805.21</v>
      </c>
      <c r="N1966" t="str">
        <f>IF(AND(Table13[[#This Row],[Category]]="pay",NOT(Table13[[#This Row],[Debits]]=0)),"bad","good")</f>
        <v>good</v>
      </c>
      <c r="O1966" s="5"/>
    </row>
    <row r="1967" spans="6:15" x14ac:dyDescent="0.3">
      <c r="F1967">
        <f>MONTH(Table13[[#This Row],[Date  (DMY)]])</f>
        <v>1</v>
      </c>
      <c r="G1967" s="2"/>
      <c r="L1967" s="5"/>
      <c r="M1967" s="4">
        <f>M1966-Table13[[#This Row],[Debits]]+Table13[[#This Row],[Income]]</f>
        <v>2805.21</v>
      </c>
      <c r="N1967" t="str">
        <f>IF(AND(Table13[[#This Row],[Category]]="pay",NOT(Table13[[#This Row],[Debits]]=0)),"bad","good")</f>
        <v>good</v>
      </c>
      <c r="O1967" s="5"/>
    </row>
    <row r="1968" spans="6:15" x14ac:dyDescent="0.3">
      <c r="F1968">
        <f>MONTH(Table13[[#This Row],[Date  (DMY)]])</f>
        <v>1</v>
      </c>
      <c r="G1968" s="2"/>
      <c r="L1968" s="5"/>
      <c r="M1968" s="4">
        <f>M1967-Table13[[#This Row],[Debits]]+Table13[[#This Row],[Income]]</f>
        <v>2805.21</v>
      </c>
      <c r="N1968" t="str">
        <f>IF(AND(Table13[[#This Row],[Category]]="pay",NOT(Table13[[#This Row],[Debits]]=0)),"bad","good")</f>
        <v>good</v>
      </c>
      <c r="O1968" s="5"/>
    </row>
    <row r="1969" spans="6:15" x14ac:dyDescent="0.3">
      <c r="F1969">
        <f>MONTH(Table13[[#This Row],[Date  (DMY)]])</f>
        <v>1</v>
      </c>
      <c r="G1969" s="2"/>
      <c r="L1969" s="5"/>
      <c r="M1969" s="4">
        <f>M1968-Table13[[#This Row],[Debits]]+Table13[[#This Row],[Income]]</f>
        <v>2805.21</v>
      </c>
      <c r="N1969" t="str">
        <f>IF(AND(Table13[[#This Row],[Category]]="pay",NOT(Table13[[#This Row],[Debits]]=0)),"bad","good")</f>
        <v>good</v>
      </c>
      <c r="O1969" s="5"/>
    </row>
    <row r="1970" spans="6:15" x14ac:dyDescent="0.3">
      <c r="F1970">
        <f>MONTH(Table13[[#This Row],[Date  (DMY)]])</f>
        <v>1</v>
      </c>
      <c r="G1970" s="2"/>
      <c r="L1970" s="5"/>
      <c r="M1970" s="4">
        <f>M1969-Table13[[#This Row],[Debits]]+Table13[[#This Row],[Income]]</f>
        <v>2805.21</v>
      </c>
      <c r="N1970" t="str">
        <f>IF(AND(Table13[[#This Row],[Category]]="pay",NOT(Table13[[#This Row],[Debits]]=0)),"bad","good")</f>
        <v>good</v>
      </c>
      <c r="O1970" s="5"/>
    </row>
    <row r="1971" spans="6:15" x14ac:dyDescent="0.3">
      <c r="F1971">
        <f>MONTH(Table13[[#This Row],[Date  (DMY)]])</f>
        <v>1</v>
      </c>
      <c r="G1971" s="2"/>
      <c r="L1971" s="5"/>
      <c r="M1971" s="4">
        <f>M1970-Table13[[#This Row],[Debits]]+Table13[[#This Row],[Income]]</f>
        <v>2805.21</v>
      </c>
      <c r="N1971" t="str">
        <f>IF(AND(Table13[[#This Row],[Category]]="pay",NOT(Table13[[#This Row],[Debits]]=0)),"bad","good")</f>
        <v>good</v>
      </c>
      <c r="O1971" s="5"/>
    </row>
    <row r="1972" spans="6:15" x14ac:dyDescent="0.3">
      <c r="F1972">
        <f>MONTH(Table13[[#This Row],[Date  (DMY)]])</f>
        <v>1</v>
      </c>
      <c r="G1972" s="2"/>
      <c r="L1972" s="5"/>
      <c r="M1972" s="4">
        <f>M1971-Table13[[#This Row],[Debits]]+Table13[[#This Row],[Income]]</f>
        <v>2805.21</v>
      </c>
      <c r="N1972" t="str">
        <f>IF(AND(Table13[[#This Row],[Category]]="pay",NOT(Table13[[#This Row],[Debits]]=0)),"bad","good")</f>
        <v>good</v>
      </c>
      <c r="O1972" s="5"/>
    </row>
    <row r="1973" spans="6:15" x14ac:dyDescent="0.3">
      <c r="F1973">
        <f>MONTH(Table13[[#This Row],[Date  (DMY)]])</f>
        <v>1</v>
      </c>
      <c r="G1973" s="2"/>
      <c r="L1973" s="5"/>
      <c r="M1973" s="4">
        <f>M1972-Table13[[#This Row],[Debits]]+Table13[[#This Row],[Income]]</f>
        <v>2805.21</v>
      </c>
      <c r="N1973" t="str">
        <f>IF(AND(Table13[[#This Row],[Category]]="pay",NOT(Table13[[#This Row],[Debits]]=0)),"bad","good")</f>
        <v>good</v>
      </c>
      <c r="O1973" s="5"/>
    </row>
    <row r="1974" spans="6:15" x14ac:dyDescent="0.3">
      <c r="F1974">
        <f>MONTH(Table13[[#This Row],[Date  (DMY)]])</f>
        <v>1</v>
      </c>
      <c r="G1974" s="2"/>
      <c r="L1974" s="5"/>
      <c r="M1974" s="4">
        <f>M1973-Table13[[#This Row],[Debits]]+Table13[[#This Row],[Income]]</f>
        <v>2805.21</v>
      </c>
      <c r="N1974" t="str">
        <f>IF(AND(Table13[[#This Row],[Category]]="pay",NOT(Table13[[#This Row],[Debits]]=0)),"bad","good")</f>
        <v>good</v>
      </c>
      <c r="O1974" s="5"/>
    </row>
    <row r="1975" spans="6:15" x14ac:dyDescent="0.3">
      <c r="F1975">
        <f>MONTH(Table13[[#This Row],[Date  (DMY)]])</f>
        <v>1</v>
      </c>
      <c r="G1975" s="2"/>
      <c r="L1975" s="5"/>
      <c r="M1975" s="4">
        <f>M1974-Table13[[#This Row],[Debits]]+Table13[[#This Row],[Income]]</f>
        <v>2805.21</v>
      </c>
      <c r="N1975" t="str">
        <f>IF(AND(Table13[[#This Row],[Category]]="pay",NOT(Table13[[#This Row],[Debits]]=0)),"bad","good")</f>
        <v>good</v>
      </c>
      <c r="O1975" s="5"/>
    </row>
    <row r="1976" spans="6:15" x14ac:dyDescent="0.3">
      <c r="F1976">
        <f>MONTH(Table13[[#This Row],[Date  (DMY)]])</f>
        <v>1</v>
      </c>
      <c r="G1976" s="2"/>
      <c r="L1976" s="5"/>
      <c r="M1976" s="4">
        <f>M1975-Table13[[#This Row],[Debits]]+Table13[[#This Row],[Income]]</f>
        <v>2805.21</v>
      </c>
      <c r="N1976" t="str">
        <f>IF(AND(Table13[[#This Row],[Category]]="pay",NOT(Table13[[#This Row],[Debits]]=0)),"bad","good")</f>
        <v>good</v>
      </c>
      <c r="O1976" s="5"/>
    </row>
    <row r="1977" spans="6:15" x14ac:dyDescent="0.3">
      <c r="F1977">
        <f>MONTH(Table13[[#This Row],[Date  (DMY)]])</f>
        <v>1</v>
      </c>
      <c r="G1977" s="2"/>
      <c r="L1977" s="5"/>
      <c r="M1977" s="4">
        <f>M1976-Table13[[#This Row],[Debits]]+Table13[[#This Row],[Income]]</f>
        <v>2805.21</v>
      </c>
      <c r="N1977" t="str">
        <f>IF(AND(Table13[[#This Row],[Category]]="pay",NOT(Table13[[#This Row],[Debits]]=0)),"bad","good")</f>
        <v>good</v>
      </c>
      <c r="O1977" s="5"/>
    </row>
    <row r="1978" spans="6:15" x14ac:dyDescent="0.3">
      <c r="F1978">
        <f>MONTH(Table13[[#This Row],[Date  (DMY)]])</f>
        <v>1</v>
      </c>
      <c r="G1978" s="2"/>
      <c r="L1978" s="5"/>
      <c r="M1978" s="4">
        <f>M1977-Table13[[#This Row],[Debits]]+Table13[[#This Row],[Income]]</f>
        <v>2805.21</v>
      </c>
      <c r="N1978" t="str">
        <f>IF(AND(Table13[[#This Row],[Category]]="pay",NOT(Table13[[#This Row],[Debits]]=0)),"bad","good")</f>
        <v>good</v>
      </c>
      <c r="O1978" s="5"/>
    </row>
    <row r="1979" spans="6:15" x14ac:dyDescent="0.3">
      <c r="F1979">
        <f>MONTH(Table13[[#This Row],[Date  (DMY)]])</f>
        <v>1</v>
      </c>
      <c r="G1979" s="2"/>
      <c r="L1979" s="5"/>
      <c r="M1979" s="4">
        <f>M1978-Table13[[#This Row],[Debits]]+Table13[[#This Row],[Income]]</f>
        <v>2805.21</v>
      </c>
      <c r="N1979" t="str">
        <f>IF(AND(Table13[[#This Row],[Category]]="pay",NOT(Table13[[#This Row],[Debits]]=0)),"bad","good")</f>
        <v>good</v>
      </c>
      <c r="O1979" s="5"/>
    </row>
    <row r="1980" spans="6:15" x14ac:dyDescent="0.3">
      <c r="F1980">
        <f>MONTH(Table13[[#This Row],[Date  (DMY)]])</f>
        <v>1</v>
      </c>
      <c r="G1980" s="2"/>
      <c r="L1980" s="5"/>
      <c r="M1980" s="4">
        <f>M1979-Table13[[#This Row],[Debits]]+Table13[[#This Row],[Income]]</f>
        <v>2805.21</v>
      </c>
      <c r="N1980" t="str">
        <f>IF(AND(Table13[[#This Row],[Category]]="pay",NOT(Table13[[#This Row],[Debits]]=0)),"bad","good")</f>
        <v>good</v>
      </c>
      <c r="O1980" s="5"/>
    </row>
    <row r="1981" spans="6:15" x14ac:dyDescent="0.3">
      <c r="F1981">
        <f>MONTH(Table13[[#This Row],[Date  (DMY)]])</f>
        <v>1</v>
      </c>
      <c r="G1981" s="2"/>
      <c r="L1981" s="5"/>
      <c r="M1981" s="4">
        <f>M1980-Table13[[#This Row],[Debits]]+Table13[[#This Row],[Income]]</f>
        <v>2805.21</v>
      </c>
      <c r="N1981" t="str">
        <f>IF(AND(Table13[[#This Row],[Category]]="pay",NOT(Table13[[#This Row],[Debits]]=0)),"bad","good")</f>
        <v>good</v>
      </c>
      <c r="O1981" s="5"/>
    </row>
    <row r="1982" spans="6:15" x14ac:dyDescent="0.3">
      <c r="F1982">
        <f>MONTH(Table13[[#This Row],[Date  (DMY)]])</f>
        <v>1</v>
      </c>
      <c r="G1982" s="2"/>
      <c r="L1982" s="5"/>
      <c r="M1982" s="4">
        <f>M1981-Table13[[#This Row],[Debits]]+Table13[[#This Row],[Income]]</f>
        <v>2805.21</v>
      </c>
      <c r="N1982" t="str">
        <f>IF(AND(Table13[[#This Row],[Category]]="pay",NOT(Table13[[#This Row],[Debits]]=0)),"bad","good")</f>
        <v>good</v>
      </c>
      <c r="O1982" s="5"/>
    </row>
    <row r="1983" spans="6:15" x14ac:dyDescent="0.3">
      <c r="F1983">
        <f>MONTH(Table13[[#This Row],[Date  (DMY)]])</f>
        <v>1</v>
      </c>
      <c r="G1983" s="2"/>
      <c r="L1983" s="5"/>
      <c r="M1983" s="4">
        <f>M1982-Table13[[#This Row],[Debits]]+Table13[[#This Row],[Income]]</f>
        <v>2805.21</v>
      </c>
      <c r="N1983" t="str">
        <f>IF(AND(Table13[[#This Row],[Category]]="pay",NOT(Table13[[#This Row],[Debits]]=0)),"bad","good")</f>
        <v>good</v>
      </c>
      <c r="O1983" s="5"/>
    </row>
    <row r="1984" spans="6:15" x14ac:dyDescent="0.3">
      <c r="F1984">
        <f>MONTH(Table13[[#This Row],[Date  (DMY)]])</f>
        <v>1</v>
      </c>
      <c r="G1984" s="2"/>
      <c r="L1984" s="5"/>
      <c r="M1984" s="4">
        <f>M1983-Table13[[#This Row],[Debits]]+Table13[[#This Row],[Income]]</f>
        <v>2805.21</v>
      </c>
      <c r="N1984" t="str">
        <f>IF(AND(Table13[[#This Row],[Category]]="pay",NOT(Table13[[#This Row],[Debits]]=0)),"bad","good")</f>
        <v>good</v>
      </c>
      <c r="O1984" s="5"/>
    </row>
    <row r="1985" spans="6:15" x14ac:dyDescent="0.3">
      <c r="F1985">
        <f>MONTH(Table13[[#This Row],[Date  (DMY)]])</f>
        <v>1</v>
      </c>
      <c r="G1985" s="2"/>
      <c r="L1985" s="5"/>
      <c r="M1985" s="4">
        <f>M1984-Table13[[#This Row],[Debits]]+Table13[[#This Row],[Income]]</f>
        <v>2805.21</v>
      </c>
      <c r="N1985" t="str">
        <f>IF(AND(Table13[[#This Row],[Category]]="pay",NOT(Table13[[#This Row],[Debits]]=0)),"bad","good")</f>
        <v>good</v>
      </c>
      <c r="O1985" s="5"/>
    </row>
    <row r="1986" spans="6:15" x14ac:dyDescent="0.3">
      <c r="F1986">
        <f>MONTH(Table13[[#This Row],[Date  (DMY)]])</f>
        <v>1</v>
      </c>
      <c r="G1986" s="2"/>
      <c r="L1986" s="5"/>
      <c r="M1986" s="4">
        <f>M1985-Table13[[#This Row],[Debits]]+Table13[[#This Row],[Income]]</f>
        <v>2805.21</v>
      </c>
      <c r="N1986" t="str">
        <f>IF(AND(Table13[[#This Row],[Category]]="pay",NOT(Table13[[#This Row],[Debits]]=0)),"bad","good")</f>
        <v>good</v>
      </c>
      <c r="O1986" s="5"/>
    </row>
    <row r="1987" spans="6:15" x14ac:dyDescent="0.3">
      <c r="F1987">
        <f>MONTH(Table13[[#This Row],[Date  (DMY)]])</f>
        <v>1</v>
      </c>
      <c r="G1987" s="2"/>
      <c r="L1987" s="5"/>
      <c r="M1987" s="4">
        <f>M1986-Table13[[#This Row],[Debits]]+Table13[[#This Row],[Income]]</f>
        <v>2805.21</v>
      </c>
      <c r="N1987" t="str">
        <f>IF(AND(Table13[[#This Row],[Category]]="pay",NOT(Table13[[#This Row],[Debits]]=0)),"bad","good")</f>
        <v>good</v>
      </c>
      <c r="O1987" s="5"/>
    </row>
    <row r="1988" spans="6:15" x14ac:dyDescent="0.3">
      <c r="F1988">
        <f>MONTH(Table13[[#This Row],[Date  (DMY)]])</f>
        <v>1</v>
      </c>
      <c r="G1988" s="2"/>
      <c r="L1988" s="5"/>
      <c r="M1988" s="4">
        <f>M1987-Table13[[#This Row],[Debits]]+Table13[[#This Row],[Income]]</f>
        <v>2805.21</v>
      </c>
      <c r="N1988" t="str">
        <f>IF(AND(Table13[[#This Row],[Category]]="pay",NOT(Table13[[#This Row],[Debits]]=0)),"bad","good")</f>
        <v>good</v>
      </c>
      <c r="O1988" s="5"/>
    </row>
    <row r="1989" spans="6:15" x14ac:dyDescent="0.3">
      <c r="F1989">
        <f>MONTH(Table13[[#This Row],[Date  (DMY)]])</f>
        <v>1</v>
      </c>
      <c r="G1989" s="2"/>
      <c r="L1989" s="5"/>
      <c r="M1989" s="4">
        <f>M1988-Table13[[#This Row],[Debits]]+Table13[[#This Row],[Income]]</f>
        <v>2805.21</v>
      </c>
      <c r="N1989" t="str">
        <f>IF(AND(Table13[[#This Row],[Category]]="pay",NOT(Table13[[#This Row],[Debits]]=0)),"bad","good")</f>
        <v>good</v>
      </c>
      <c r="O1989" s="5"/>
    </row>
    <row r="1990" spans="6:15" x14ac:dyDescent="0.3">
      <c r="F1990">
        <f>MONTH(Table13[[#This Row],[Date  (DMY)]])</f>
        <v>1</v>
      </c>
      <c r="G1990" s="2"/>
      <c r="L1990" s="5"/>
      <c r="M1990" s="4">
        <f>M1989-Table13[[#This Row],[Debits]]+Table13[[#This Row],[Income]]</f>
        <v>2805.21</v>
      </c>
      <c r="N1990" t="str">
        <f>IF(AND(Table13[[#This Row],[Category]]="pay",NOT(Table13[[#This Row],[Debits]]=0)),"bad","good")</f>
        <v>good</v>
      </c>
      <c r="O1990" s="5"/>
    </row>
    <row r="1991" spans="6:15" x14ac:dyDescent="0.3">
      <c r="F1991">
        <f>MONTH(Table13[[#This Row],[Date  (DMY)]])</f>
        <v>1</v>
      </c>
      <c r="G1991" s="2"/>
      <c r="L1991" s="5"/>
      <c r="M1991" s="4">
        <f>M1990-Table13[[#This Row],[Debits]]+Table13[[#This Row],[Income]]</f>
        <v>2805.21</v>
      </c>
      <c r="N1991" t="str">
        <f>IF(AND(Table13[[#This Row],[Category]]="pay",NOT(Table13[[#This Row],[Debits]]=0)),"bad","good")</f>
        <v>good</v>
      </c>
      <c r="O1991" s="5"/>
    </row>
    <row r="1992" spans="6:15" x14ac:dyDescent="0.3">
      <c r="F1992">
        <f>MONTH(Table13[[#This Row],[Date  (DMY)]])</f>
        <v>1</v>
      </c>
      <c r="G1992" s="2"/>
      <c r="L1992" s="5"/>
      <c r="M1992" s="4">
        <f>M1991-Table13[[#This Row],[Debits]]+Table13[[#This Row],[Income]]</f>
        <v>2805.21</v>
      </c>
      <c r="N1992" t="str">
        <f>IF(AND(Table13[[#This Row],[Category]]="pay",NOT(Table13[[#This Row],[Debits]]=0)),"bad","good")</f>
        <v>good</v>
      </c>
      <c r="O1992" s="5"/>
    </row>
    <row r="1993" spans="6:15" x14ac:dyDescent="0.3">
      <c r="F1993">
        <f>MONTH(Table13[[#This Row],[Date  (DMY)]])</f>
        <v>1</v>
      </c>
      <c r="G1993" s="2"/>
      <c r="L1993" s="5"/>
      <c r="M1993" s="4">
        <f>M1992-Table13[[#This Row],[Debits]]+Table13[[#This Row],[Income]]</f>
        <v>2805.21</v>
      </c>
      <c r="N1993" t="str">
        <f>IF(AND(Table13[[#This Row],[Category]]="pay",NOT(Table13[[#This Row],[Debits]]=0)),"bad","good")</f>
        <v>good</v>
      </c>
      <c r="O1993" s="5"/>
    </row>
    <row r="1994" spans="6:15" x14ac:dyDescent="0.3">
      <c r="F1994">
        <f>MONTH(Table13[[#This Row],[Date  (DMY)]])</f>
        <v>1</v>
      </c>
      <c r="G1994" s="2"/>
      <c r="L1994" s="5"/>
      <c r="M1994" s="4">
        <f>M1993-Table13[[#This Row],[Debits]]+Table13[[#This Row],[Income]]</f>
        <v>2805.21</v>
      </c>
      <c r="N1994" t="str">
        <f>IF(AND(Table13[[#This Row],[Category]]="pay",NOT(Table13[[#This Row],[Debits]]=0)),"bad","good")</f>
        <v>good</v>
      </c>
      <c r="O1994" s="5"/>
    </row>
    <row r="1995" spans="6:15" x14ac:dyDescent="0.3">
      <c r="F1995">
        <f>MONTH(Table13[[#This Row],[Date  (DMY)]])</f>
        <v>1</v>
      </c>
      <c r="G1995" s="2"/>
      <c r="L1995" s="5"/>
      <c r="M1995" s="4">
        <f>M1994-Table13[[#This Row],[Debits]]+Table13[[#This Row],[Income]]</f>
        <v>2805.21</v>
      </c>
      <c r="N1995" t="str">
        <f>IF(AND(Table13[[#This Row],[Category]]="pay",NOT(Table13[[#This Row],[Debits]]=0)),"bad","good")</f>
        <v>good</v>
      </c>
      <c r="O1995" s="5"/>
    </row>
    <row r="1996" spans="6:15" x14ac:dyDescent="0.3">
      <c r="F1996">
        <f>MONTH(Table13[[#This Row],[Date  (DMY)]])</f>
        <v>1</v>
      </c>
      <c r="G1996" s="2"/>
      <c r="L1996" s="5"/>
      <c r="M1996" s="4">
        <f>M1995-Table13[[#This Row],[Debits]]+Table13[[#This Row],[Income]]</f>
        <v>2805.21</v>
      </c>
      <c r="N1996" t="str">
        <f>IF(AND(Table13[[#This Row],[Category]]="pay",NOT(Table13[[#This Row],[Debits]]=0)),"bad","good")</f>
        <v>good</v>
      </c>
      <c r="O1996" s="5"/>
    </row>
    <row r="1997" spans="6:15" x14ac:dyDescent="0.3">
      <c r="F1997">
        <f>MONTH(Table13[[#This Row],[Date  (DMY)]])</f>
        <v>1</v>
      </c>
      <c r="G1997" s="2"/>
      <c r="L1997" s="5"/>
      <c r="M1997" s="4">
        <f>M1996-Table13[[#This Row],[Debits]]+Table13[[#This Row],[Income]]</f>
        <v>2805.21</v>
      </c>
      <c r="N1997" t="str">
        <f>IF(AND(Table13[[#This Row],[Category]]="pay",NOT(Table13[[#This Row],[Debits]]=0)),"bad","good")</f>
        <v>good</v>
      </c>
      <c r="O1997" s="5"/>
    </row>
    <row r="1998" spans="6:15" x14ac:dyDescent="0.3">
      <c r="F1998">
        <f>MONTH(Table13[[#This Row],[Date  (DMY)]])</f>
        <v>1</v>
      </c>
      <c r="G1998" s="2"/>
      <c r="L1998" s="5"/>
      <c r="M1998" s="4">
        <f>M1997-Table13[[#This Row],[Debits]]+Table13[[#This Row],[Income]]</f>
        <v>2805.21</v>
      </c>
      <c r="N1998" t="str">
        <f>IF(AND(Table13[[#This Row],[Category]]="pay",NOT(Table13[[#This Row],[Debits]]=0)),"bad","good")</f>
        <v>good</v>
      </c>
      <c r="O1998" s="5"/>
    </row>
    <row r="1999" spans="6:15" x14ac:dyDescent="0.3">
      <c r="F1999">
        <f>MONTH(Table13[[#This Row],[Date  (DMY)]])</f>
        <v>1</v>
      </c>
      <c r="G1999" s="2"/>
      <c r="L1999" s="5"/>
      <c r="M1999" s="4">
        <f>M1998-Table13[[#This Row],[Debits]]+Table13[[#This Row],[Income]]</f>
        <v>2805.21</v>
      </c>
      <c r="N1999" t="str">
        <f>IF(AND(Table13[[#This Row],[Category]]="pay",NOT(Table13[[#This Row],[Debits]]=0)),"bad","good")</f>
        <v>good</v>
      </c>
      <c r="O1999" s="5"/>
    </row>
    <row r="2000" spans="6:15" x14ac:dyDescent="0.3">
      <c r="F2000">
        <f>MONTH(Table13[[#This Row],[Date  (DMY)]])</f>
        <v>1</v>
      </c>
      <c r="G2000" s="2"/>
      <c r="L2000" s="5"/>
      <c r="M2000" s="4">
        <f>M1999-Table13[[#This Row],[Debits]]+Table13[[#This Row],[Income]]</f>
        <v>2805.21</v>
      </c>
      <c r="N2000" t="str">
        <f>IF(AND(Table13[[#This Row],[Category]]="pay",NOT(Table13[[#This Row],[Debits]]=0)),"bad","good")</f>
        <v>good</v>
      </c>
      <c r="O2000" s="5"/>
    </row>
    <row r="2001" spans="6:15" x14ac:dyDescent="0.3">
      <c r="F2001">
        <f>MONTH(Table13[[#This Row],[Date  (DMY)]])</f>
        <v>1</v>
      </c>
      <c r="G2001" s="2"/>
      <c r="L2001" s="5"/>
      <c r="M2001" s="4">
        <f>M2000-Table13[[#This Row],[Debits]]+Table13[[#This Row],[Income]]</f>
        <v>2805.21</v>
      </c>
      <c r="N2001" t="str">
        <f>IF(AND(Table13[[#This Row],[Category]]="pay",NOT(Table13[[#This Row],[Debits]]=0)),"bad","good")</f>
        <v>good</v>
      </c>
      <c r="O2001" s="5"/>
    </row>
    <row r="2002" spans="6:15" x14ac:dyDescent="0.3">
      <c r="F2002">
        <f>MONTH(Table13[[#This Row],[Date  (DMY)]])</f>
        <v>1</v>
      </c>
      <c r="G2002" s="2"/>
      <c r="L2002" s="5"/>
      <c r="M2002" s="4">
        <f>M2001-Table13[[#This Row],[Debits]]+Table13[[#This Row],[Income]]</f>
        <v>2805.21</v>
      </c>
      <c r="N2002" t="str">
        <f>IF(AND(Table13[[#This Row],[Category]]="pay",NOT(Table13[[#This Row],[Debits]]=0)),"bad","good")</f>
        <v>good</v>
      </c>
      <c r="O2002" s="5"/>
    </row>
    <row r="2003" spans="6:15" x14ac:dyDescent="0.3">
      <c r="F2003">
        <f>MONTH(Table13[[#This Row],[Date  (DMY)]])</f>
        <v>1</v>
      </c>
      <c r="G2003" s="2"/>
      <c r="L2003" s="5"/>
      <c r="M2003" s="4">
        <f>M2002-Table13[[#This Row],[Debits]]+Table13[[#This Row],[Income]]</f>
        <v>2805.21</v>
      </c>
      <c r="N2003" t="str">
        <f>IF(AND(Table13[[#This Row],[Category]]="pay",NOT(Table13[[#This Row],[Debits]]=0)),"bad","good")</f>
        <v>good</v>
      </c>
      <c r="O2003" s="5"/>
    </row>
    <row r="2004" spans="6:15" x14ac:dyDescent="0.3">
      <c r="F2004">
        <f>MONTH(Table13[[#This Row],[Date  (DMY)]])</f>
        <v>1</v>
      </c>
      <c r="G2004" s="2"/>
      <c r="L2004" s="5"/>
      <c r="M2004" s="4">
        <f>M2003-Table13[[#This Row],[Debits]]+Table13[[#This Row],[Income]]</f>
        <v>2805.21</v>
      </c>
      <c r="N2004" t="str">
        <f>IF(AND(Table13[[#This Row],[Category]]="pay",NOT(Table13[[#This Row],[Debits]]=0)),"bad","good")</f>
        <v>good</v>
      </c>
      <c r="O2004" s="5"/>
    </row>
    <row r="2005" spans="6:15" x14ac:dyDescent="0.3">
      <c r="F2005">
        <f>MONTH(Table13[[#This Row],[Date  (DMY)]])</f>
        <v>1</v>
      </c>
      <c r="G2005" s="2"/>
      <c r="L2005" s="5"/>
      <c r="M2005" s="4">
        <f>M2004-Table13[[#This Row],[Debits]]+Table13[[#This Row],[Income]]</f>
        <v>2805.21</v>
      </c>
      <c r="N2005" t="str">
        <f>IF(AND(Table13[[#This Row],[Category]]="pay",NOT(Table13[[#This Row],[Debits]]=0)),"bad","good")</f>
        <v>good</v>
      </c>
      <c r="O2005" s="5"/>
    </row>
    <row r="2006" spans="6:15" x14ac:dyDescent="0.3">
      <c r="F2006">
        <f>MONTH(Table13[[#This Row],[Date  (DMY)]])</f>
        <v>1</v>
      </c>
      <c r="G2006" s="2"/>
      <c r="L2006" s="5"/>
      <c r="M2006" s="4">
        <f>M2005-Table13[[#This Row],[Debits]]+Table13[[#This Row],[Income]]</f>
        <v>2805.21</v>
      </c>
      <c r="N2006" t="str">
        <f>IF(AND(Table13[[#This Row],[Category]]="pay",NOT(Table13[[#This Row],[Debits]]=0)),"bad","good")</f>
        <v>good</v>
      </c>
      <c r="O2006" s="5"/>
    </row>
    <row r="2007" spans="6:15" x14ac:dyDescent="0.3">
      <c r="F2007">
        <f>MONTH(Table13[[#This Row],[Date  (DMY)]])</f>
        <v>1</v>
      </c>
      <c r="G2007" s="2"/>
      <c r="L2007" s="5"/>
      <c r="M2007" s="4">
        <f>M2006-Table13[[#This Row],[Debits]]+Table13[[#This Row],[Income]]</f>
        <v>2805.21</v>
      </c>
      <c r="N2007" t="str">
        <f>IF(AND(Table13[[#This Row],[Category]]="pay",NOT(Table13[[#This Row],[Debits]]=0)),"bad","good")</f>
        <v>good</v>
      </c>
      <c r="O2007" s="5"/>
    </row>
    <row r="2008" spans="6:15" x14ac:dyDescent="0.3">
      <c r="F2008">
        <f>MONTH(Table13[[#This Row],[Date  (DMY)]])</f>
        <v>1</v>
      </c>
      <c r="G2008" s="2"/>
      <c r="L2008" s="5"/>
      <c r="M2008" s="4">
        <f>M2007-Table13[[#This Row],[Debits]]+Table13[[#This Row],[Income]]</f>
        <v>2805.21</v>
      </c>
      <c r="N2008" t="str">
        <f>IF(AND(Table13[[#This Row],[Category]]="pay",NOT(Table13[[#This Row],[Debits]]=0)),"bad","good")</f>
        <v>good</v>
      </c>
      <c r="O2008" s="5"/>
    </row>
    <row r="2009" spans="6:15" x14ac:dyDescent="0.3">
      <c r="F2009">
        <f>MONTH(Table13[[#This Row],[Date  (DMY)]])</f>
        <v>1</v>
      </c>
      <c r="G2009" s="2"/>
      <c r="L2009" s="5"/>
      <c r="M2009" s="4">
        <f>M2008-Table13[[#This Row],[Debits]]+Table13[[#This Row],[Income]]</f>
        <v>2805.21</v>
      </c>
      <c r="N2009" t="str">
        <f>IF(AND(Table13[[#This Row],[Category]]="pay",NOT(Table13[[#This Row],[Debits]]=0)),"bad","good")</f>
        <v>good</v>
      </c>
      <c r="O2009" s="5"/>
    </row>
    <row r="2010" spans="6:15" x14ac:dyDescent="0.3">
      <c r="F2010">
        <f>MONTH(Table13[[#This Row],[Date  (DMY)]])</f>
        <v>1</v>
      </c>
      <c r="G2010" s="2"/>
      <c r="L2010" s="5"/>
      <c r="M2010" s="4">
        <f>M2009-Table13[[#This Row],[Debits]]+Table13[[#This Row],[Income]]</f>
        <v>2805.21</v>
      </c>
      <c r="N2010" t="str">
        <f>IF(AND(Table13[[#This Row],[Category]]="pay",NOT(Table13[[#This Row],[Debits]]=0)),"bad","good")</f>
        <v>good</v>
      </c>
      <c r="O2010" s="5"/>
    </row>
    <row r="2011" spans="6:15" x14ac:dyDescent="0.3">
      <c r="F2011">
        <f>MONTH(Table13[[#This Row],[Date  (DMY)]])</f>
        <v>1</v>
      </c>
      <c r="G2011" s="2"/>
      <c r="L2011" s="5"/>
      <c r="M2011" s="4">
        <f>M2010-Table13[[#This Row],[Debits]]+Table13[[#This Row],[Income]]</f>
        <v>2805.21</v>
      </c>
      <c r="N2011" t="str">
        <f>IF(AND(Table13[[#This Row],[Category]]="pay",NOT(Table13[[#This Row],[Debits]]=0)),"bad","good")</f>
        <v>good</v>
      </c>
      <c r="O2011" s="5"/>
    </row>
    <row r="2012" spans="6:15" x14ac:dyDescent="0.3">
      <c r="F2012">
        <f>MONTH(Table13[[#This Row],[Date  (DMY)]])</f>
        <v>1</v>
      </c>
      <c r="G2012" s="2"/>
      <c r="L2012" s="5"/>
      <c r="M2012" s="4">
        <f>M2011-Table13[[#This Row],[Debits]]+Table13[[#This Row],[Income]]</f>
        <v>2805.21</v>
      </c>
      <c r="N2012" t="str">
        <f>IF(AND(Table13[[#This Row],[Category]]="pay",NOT(Table13[[#This Row],[Debits]]=0)),"bad","good")</f>
        <v>good</v>
      </c>
      <c r="O2012" s="5"/>
    </row>
    <row r="2013" spans="6:15" x14ac:dyDescent="0.3">
      <c r="F2013">
        <f>MONTH(Table13[[#This Row],[Date  (DMY)]])</f>
        <v>1</v>
      </c>
      <c r="G2013" s="2"/>
      <c r="L2013" s="5"/>
      <c r="M2013" s="4">
        <f>M2012-Table13[[#This Row],[Debits]]+Table13[[#This Row],[Income]]</f>
        <v>2805.21</v>
      </c>
      <c r="N2013" t="str">
        <f>IF(AND(Table13[[#This Row],[Category]]="pay",NOT(Table13[[#This Row],[Debits]]=0)),"bad","good")</f>
        <v>good</v>
      </c>
      <c r="O2013" s="5"/>
    </row>
    <row r="2014" spans="6:15" x14ac:dyDescent="0.3">
      <c r="F2014">
        <f>MONTH(Table13[[#This Row],[Date  (DMY)]])</f>
        <v>1</v>
      </c>
      <c r="G2014" s="2"/>
      <c r="L2014" s="5"/>
      <c r="M2014" s="4">
        <f>M2013-Table13[[#This Row],[Debits]]+Table13[[#This Row],[Income]]</f>
        <v>2805.21</v>
      </c>
      <c r="N2014" t="str">
        <f>IF(AND(Table13[[#This Row],[Category]]="pay",NOT(Table13[[#This Row],[Debits]]=0)),"bad","good")</f>
        <v>good</v>
      </c>
      <c r="O2014" s="5"/>
    </row>
    <row r="2015" spans="6:15" x14ac:dyDescent="0.3">
      <c r="F2015">
        <f>MONTH(Table13[[#This Row],[Date  (DMY)]])</f>
        <v>1</v>
      </c>
      <c r="G2015" s="2"/>
      <c r="L2015" s="5"/>
      <c r="M2015" s="4">
        <f>M2014-Table13[[#This Row],[Debits]]+Table13[[#This Row],[Income]]</f>
        <v>2805.21</v>
      </c>
      <c r="N2015" t="str">
        <f>IF(AND(Table13[[#This Row],[Category]]="pay",NOT(Table13[[#This Row],[Debits]]=0)),"bad","good")</f>
        <v>good</v>
      </c>
      <c r="O2015" s="5"/>
    </row>
    <row r="2016" spans="6:15" x14ac:dyDescent="0.3">
      <c r="F2016">
        <f>MONTH(Table13[[#This Row],[Date  (DMY)]])</f>
        <v>1</v>
      </c>
      <c r="G2016" s="2"/>
      <c r="L2016" s="5"/>
      <c r="M2016" s="4">
        <f>M2015-Table13[[#This Row],[Debits]]+Table13[[#This Row],[Income]]</f>
        <v>2805.21</v>
      </c>
      <c r="N2016" t="str">
        <f>IF(AND(Table13[[#This Row],[Category]]="pay",NOT(Table13[[#This Row],[Debits]]=0)),"bad","good")</f>
        <v>good</v>
      </c>
      <c r="O2016" s="5"/>
    </row>
    <row r="2017" spans="6:15" x14ac:dyDescent="0.3">
      <c r="F2017">
        <f>MONTH(Table13[[#This Row],[Date  (DMY)]])</f>
        <v>1</v>
      </c>
      <c r="G2017" s="2"/>
      <c r="L2017" s="5"/>
      <c r="M2017" s="4">
        <f>M2016-Table13[[#This Row],[Debits]]+Table13[[#This Row],[Income]]</f>
        <v>2805.21</v>
      </c>
      <c r="N2017" t="str">
        <f>IF(AND(Table13[[#This Row],[Category]]="pay",NOT(Table13[[#This Row],[Debits]]=0)),"bad","good")</f>
        <v>good</v>
      </c>
      <c r="O2017" s="5"/>
    </row>
    <row r="2018" spans="6:15" x14ac:dyDescent="0.3">
      <c r="F2018">
        <f>MONTH(Table13[[#This Row],[Date  (DMY)]])</f>
        <v>1</v>
      </c>
      <c r="G2018" s="2"/>
      <c r="L2018" s="5"/>
      <c r="M2018" s="4">
        <f>M2017-Table13[[#This Row],[Debits]]+Table13[[#This Row],[Income]]</f>
        <v>2805.21</v>
      </c>
      <c r="N2018" t="str">
        <f>IF(AND(Table13[[#This Row],[Category]]="pay",NOT(Table13[[#This Row],[Debits]]=0)),"bad","good")</f>
        <v>good</v>
      </c>
      <c r="O2018" s="5"/>
    </row>
    <row r="2019" spans="6:15" x14ac:dyDescent="0.3">
      <c r="F2019">
        <f>MONTH(Table13[[#This Row],[Date  (DMY)]])</f>
        <v>1</v>
      </c>
      <c r="G2019" s="2"/>
      <c r="L2019" s="5"/>
      <c r="M2019" s="4">
        <f>M2018-Table13[[#This Row],[Debits]]+Table13[[#This Row],[Income]]</f>
        <v>2805.21</v>
      </c>
      <c r="N2019" t="str">
        <f>IF(AND(Table13[[#This Row],[Category]]="pay",NOT(Table13[[#This Row],[Debits]]=0)),"bad","good")</f>
        <v>good</v>
      </c>
      <c r="O2019" s="5"/>
    </row>
    <row r="2020" spans="6:15" x14ac:dyDescent="0.3">
      <c r="F2020">
        <f>MONTH(Table13[[#This Row],[Date  (DMY)]])</f>
        <v>1</v>
      </c>
      <c r="G2020" s="2"/>
      <c r="L2020" s="5"/>
      <c r="M2020" s="4">
        <f>M2019-Table13[[#This Row],[Debits]]+Table13[[#This Row],[Income]]</f>
        <v>2805.21</v>
      </c>
      <c r="N2020" t="str">
        <f>IF(AND(Table13[[#This Row],[Category]]="pay",NOT(Table13[[#This Row],[Debits]]=0)),"bad","good")</f>
        <v>good</v>
      </c>
      <c r="O2020" s="5"/>
    </row>
    <row r="2021" spans="6:15" x14ac:dyDescent="0.3">
      <c r="F2021">
        <f>MONTH(Table13[[#This Row],[Date  (DMY)]])</f>
        <v>1</v>
      </c>
      <c r="G2021" s="2"/>
      <c r="L2021" s="5"/>
      <c r="M2021" s="4">
        <f>M2020-Table13[[#This Row],[Debits]]+Table13[[#This Row],[Income]]</f>
        <v>2805.21</v>
      </c>
      <c r="N2021" t="str">
        <f>IF(AND(Table13[[#This Row],[Category]]="pay",NOT(Table13[[#This Row],[Debits]]=0)),"bad","good")</f>
        <v>good</v>
      </c>
      <c r="O2021" s="5"/>
    </row>
    <row r="2022" spans="6:15" x14ac:dyDescent="0.3">
      <c r="F2022">
        <f>MONTH(Table13[[#This Row],[Date  (DMY)]])</f>
        <v>1</v>
      </c>
      <c r="G2022" s="2"/>
      <c r="L2022" s="5"/>
      <c r="M2022" s="4">
        <f>M2021-Table13[[#This Row],[Debits]]+Table13[[#This Row],[Income]]</f>
        <v>2805.21</v>
      </c>
      <c r="N2022" t="str">
        <f>IF(AND(Table13[[#This Row],[Category]]="pay",NOT(Table13[[#This Row],[Debits]]=0)),"bad","good")</f>
        <v>good</v>
      </c>
      <c r="O2022" s="5"/>
    </row>
    <row r="2023" spans="6:15" x14ac:dyDescent="0.3">
      <c r="F2023">
        <f>MONTH(Table13[[#This Row],[Date  (DMY)]])</f>
        <v>1</v>
      </c>
      <c r="G2023" s="2"/>
      <c r="L2023" s="5"/>
      <c r="M2023" s="4">
        <f>M2022-Table13[[#This Row],[Debits]]+Table13[[#This Row],[Income]]</f>
        <v>2805.21</v>
      </c>
      <c r="N2023" t="str">
        <f>IF(AND(Table13[[#This Row],[Category]]="pay",NOT(Table13[[#This Row],[Debits]]=0)),"bad","good")</f>
        <v>good</v>
      </c>
      <c r="O2023" s="5"/>
    </row>
    <row r="2024" spans="6:15" x14ac:dyDescent="0.3">
      <c r="F2024">
        <f>MONTH(Table13[[#This Row],[Date  (DMY)]])</f>
        <v>1</v>
      </c>
      <c r="G2024" s="2"/>
      <c r="L2024" s="5"/>
      <c r="M2024" s="4">
        <f>M2023-Table13[[#This Row],[Debits]]+Table13[[#This Row],[Income]]</f>
        <v>2805.21</v>
      </c>
      <c r="N2024" t="str">
        <f>IF(AND(Table13[[#This Row],[Category]]="pay",NOT(Table13[[#This Row],[Debits]]=0)),"bad","good")</f>
        <v>good</v>
      </c>
      <c r="O2024" s="5"/>
    </row>
    <row r="2025" spans="6:15" x14ac:dyDescent="0.3">
      <c r="F2025">
        <f>MONTH(Table13[[#This Row],[Date  (DMY)]])</f>
        <v>1</v>
      </c>
      <c r="G2025" s="2"/>
      <c r="L2025" s="5"/>
      <c r="M2025" s="4">
        <f>M2024-Table13[[#This Row],[Debits]]+Table13[[#This Row],[Income]]</f>
        <v>2805.21</v>
      </c>
      <c r="N2025" t="str">
        <f>IF(AND(Table13[[#This Row],[Category]]="pay",NOT(Table13[[#This Row],[Debits]]=0)),"bad","good")</f>
        <v>good</v>
      </c>
      <c r="O2025" s="5"/>
    </row>
    <row r="2026" spans="6:15" x14ac:dyDescent="0.3">
      <c r="F2026">
        <f>MONTH(Table13[[#This Row],[Date  (DMY)]])</f>
        <v>1</v>
      </c>
      <c r="G2026" s="2"/>
      <c r="L2026" s="5"/>
      <c r="M2026" s="4">
        <f>M2025-Table13[[#This Row],[Debits]]+Table13[[#This Row],[Income]]</f>
        <v>2805.21</v>
      </c>
      <c r="N2026" t="str">
        <f>IF(AND(Table13[[#This Row],[Category]]="pay",NOT(Table13[[#This Row],[Debits]]=0)),"bad","good")</f>
        <v>good</v>
      </c>
      <c r="O2026" s="5"/>
    </row>
    <row r="2027" spans="6:15" x14ac:dyDescent="0.3">
      <c r="L2027" s="5"/>
      <c r="M2027" s="4"/>
      <c r="N2027" s="5" t="str">
        <f>IF(AND(Table13[[#This Row],[Category]]="pay",NOT(Table13[[#This Row],[Debits]]=0)),"bad","good")</f>
        <v>good</v>
      </c>
      <c r="O2027" s="5"/>
    </row>
    <row r="2028" spans="6:15" x14ac:dyDescent="0.3">
      <c r="L2028" s="5"/>
      <c r="M2028" s="4"/>
      <c r="N2028" s="5" t="str">
        <f>IF(AND(Table13[[#This Row],[Category]]="pay",NOT(Table13[[#This Row],[Debits]]=0)),"bad","good")</f>
        <v>good</v>
      </c>
      <c r="O2028" s="5"/>
    </row>
    <row r="2029" spans="6:15" x14ac:dyDescent="0.3">
      <c r="L2029" s="5"/>
      <c r="M2029" s="4"/>
      <c r="N2029" s="5" t="str">
        <f>IF(AND(Table13[[#This Row],[Category]]="pay",NOT(Table13[[#This Row],[Debits]]=0)),"bad","good")</f>
        <v>good</v>
      </c>
      <c r="O2029" s="5"/>
    </row>
    <row r="2030" spans="6:15" x14ac:dyDescent="0.3">
      <c r="L2030" s="5"/>
      <c r="M2030" s="4"/>
      <c r="N2030" s="5" t="str">
        <f>IF(AND(Table13[[#This Row],[Category]]="pay",NOT(Table13[[#This Row],[Debits]]=0)),"bad","good")</f>
        <v>good</v>
      </c>
      <c r="O2030" s="5"/>
    </row>
    <row r="2031" spans="6:15" x14ac:dyDescent="0.3">
      <c r="L2031" s="5"/>
      <c r="M2031" s="4"/>
      <c r="N2031" s="5" t="str">
        <f>IF(AND(Table13[[#This Row],[Category]]="pay",NOT(Table13[[#This Row],[Debits]]=0)),"bad","good")</f>
        <v>good</v>
      </c>
      <c r="O2031" s="5"/>
    </row>
    <row r="2032" spans="6:15" x14ac:dyDescent="0.3">
      <c r="L2032" s="5"/>
      <c r="M2032" s="4"/>
      <c r="N2032" s="5" t="str">
        <f>IF(AND(Table13[[#This Row],[Category]]="pay",NOT(Table13[[#This Row],[Debits]]=0)),"bad","good")</f>
        <v>good</v>
      </c>
      <c r="O2032" s="5"/>
    </row>
    <row r="2033" spans="12:17" x14ac:dyDescent="0.3">
      <c r="L2033" s="5"/>
      <c r="M2033" s="4"/>
      <c r="N2033" s="5" t="str">
        <f>IF(AND(Table13[[#This Row],[Category]]="pay",NOT(Table13[[#This Row],[Debits]]=0)),"bad","good")</f>
        <v>good</v>
      </c>
      <c r="O2033" s="5"/>
    </row>
    <row r="2034" spans="12:17" x14ac:dyDescent="0.3">
      <c r="L2034" s="5"/>
      <c r="M2034" s="4"/>
      <c r="N2034" s="5" t="str">
        <f>IF(AND(Table13[[#This Row],[Category]]="pay",NOT(Table13[[#This Row],[Debits]]=0)),"bad","good")</f>
        <v>good</v>
      </c>
      <c r="O2034" s="5"/>
    </row>
    <row r="2035" spans="12:17" x14ac:dyDescent="0.3">
      <c r="L2035" s="5"/>
      <c r="M2035" s="4"/>
      <c r="N2035" s="5" t="str">
        <f>IF(AND(Table13[[#This Row],[Category]]="pay",NOT(Table13[[#This Row],[Debits]]=0)),"bad","good")</f>
        <v>good</v>
      </c>
      <c r="O2035" s="5"/>
    </row>
    <row r="2036" spans="12:17" x14ac:dyDescent="0.3">
      <c r="L2036" s="5"/>
      <c r="M2036" s="4"/>
      <c r="N2036" s="5" t="str">
        <f>IF(AND(Table13[[#This Row],[Category]]="pay",NOT(Table13[[#This Row],[Debits]]=0)),"bad","good")</f>
        <v>good</v>
      </c>
      <c r="O2036" s="5"/>
    </row>
    <row r="2037" spans="12:17" x14ac:dyDescent="0.3">
      <c r="L2037" s="5"/>
      <c r="M2037" s="4"/>
      <c r="N2037" s="5" t="str">
        <f>IF(AND(Table13[[#This Row],[Category]]="pay",NOT(Table13[[#This Row],[Debits]]=0)),"bad","good")</f>
        <v>good</v>
      </c>
      <c r="O2037" s="5"/>
    </row>
    <row r="2038" spans="12:17" x14ac:dyDescent="0.3">
      <c r="L2038" s="5"/>
      <c r="M2038" s="4"/>
      <c r="N2038" s="5" t="str">
        <f>IF(AND(Table13[[#This Row],[Category]]="pay",NOT(Table13[[#This Row],[Debits]]=0)),"bad","good")</f>
        <v>good</v>
      </c>
      <c r="O2038" s="5"/>
    </row>
    <row r="2039" spans="12:17" x14ac:dyDescent="0.3">
      <c r="L2039" s="5"/>
      <c r="M2039" s="4"/>
      <c r="N2039" s="5" t="str">
        <f>IF(AND(Table13[[#This Row],[Category]]="pay",NOT(Table13[[#This Row],[Debits]]=0)),"bad","good")</f>
        <v>good</v>
      </c>
      <c r="O2039" s="5"/>
    </row>
    <row r="2040" spans="12:17" x14ac:dyDescent="0.3">
      <c r="L2040" s="5"/>
      <c r="M2040" s="4"/>
      <c r="N2040" s="5" t="str">
        <f>IF(AND(Table13[[#This Row],[Category]]="pay",NOT(Table13[[#This Row],[Debits]]=0)),"bad","good")</f>
        <v>good</v>
      </c>
      <c r="O2040" s="5"/>
    </row>
    <row r="2042" spans="12:17" x14ac:dyDescent="0.3">
      <c r="Q2042" s="9"/>
    </row>
  </sheetData>
  <phoneticPr fontId="2" type="noConversion"/>
  <conditionalFormatting sqref="M2041:M1048576 L1:O1 L140:L187 L2027:O2040 L2 N2:O2 O133:O286 O93:O131 L239:L2026 N287:O2026 L11:L128 O3:O91 N11:N286 M11:M2026">
    <cfRule type="cellIs" dxfId="16" priority="17" operator="equal">
      <formula>"bad"</formula>
    </cfRule>
  </conditionalFormatting>
  <conditionalFormatting sqref="H45">
    <cfRule type="dataBar" priority="16">
      <dataBar>
        <cfvo type="num" val="0"/>
        <cfvo type="num" val="3500"/>
        <color rgb="FF63C384"/>
      </dataBar>
      <extLst>
        <ext xmlns:x14="http://schemas.microsoft.com/office/spreadsheetml/2009/9/main" uri="{B025F937-C7B1-47D3-B67F-A62EFF666E3E}">
          <x14:id>{57779F1F-50E7-45CF-9F26-BA64A4BBF9D8}</x14:id>
        </ext>
      </extLst>
    </cfRule>
  </conditionalFormatting>
  <conditionalFormatting sqref="H46">
    <cfRule type="dataBar" priority="15">
      <dataBar>
        <cfvo type="num" val="0"/>
        <cfvo type="num" val="1800"/>
        <color rgb="FF63C384"/>
      </dataBar>
      <extLst>
        <ext xmlns:x14="http://schemas.microsoft.com/office/spreadsheetml/2009/9/main" uri="{B025F937-C7B1-47D3-B67F-A62EFF666E3E}">
          <x14:id>{6022E401-65BD-4F2A-BC1B-8CB2627B8951}</x14:id>
        </ext>
      </extLst>
    </cfRule>
  </conditionalFormatting>
  <conditionalFormatting sqref="H47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{C8361996-FF3F-4D68-89F1-9ECE7BFDA2F9}</x14:id>
        </ext>
      </extLst>
    </cfRule>
  </conditionalFormatting>
  <conditionalFormatting sqref="H48">
    <cfRule type="dataBar" priority="13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{2B5CADB5-4F8F-4F2E-8C4D-6ED56EB3DEF6}</x14:id>
        </ext>
      </extLst>
    </cfRule>
  </conditionalFormatting>
  <conditionalFormatting sqref="H50">
    <cfRule type="dataBar" priority="12">
      <dataBar>
        <cfvo type="num" val="0"/>
        <cfvo type="num" val="400"/>
        <color rgb="FFFFC000"/>
      </dataBar>
      <extLst>
        <ext xmlns:x14="http://schemas.microsoft.com/office/spreadsheetml/2009/9/main" uri="{B025F937-C7B1-47D3-B67F-A62EFF666E3E}">
          <x14:id>{9EEC0D03-A537-4C29-9AB5-42338E3C3E82}</x14:id>
        </ext>
      </extLst>
    </cfRule>
  </conditionalFormatting>
  <conditionalFormatting sqref="H56">
    <cfRule type="dataBar" priority="9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{AA525150-07BC-46A9-864C-B898EC65526F}</x14:id>
        </ext>
      </extLst>
    </cfRule>
  </conditionalFormatting>
  <conditionalFormatting sqref="H54">
    <cfRule type="dataBar" priority="11">
      <dataBar>
        <cfvo type="num" val="0"/>
        <cfvo type="num" val="3500"/>
        <color rgb="FF63C384"/>
      </dataBar>
      <extLst>
        <ext xmlns:x14="http://schemas.microsoft.com/office/spreadsheetml/2009/9/main" uri="{B025F937-C7B1-47D3-B67F-A62EFF666E3E}">
          <x14:id>{2965C1FA-2974-4FCC-803C-64DDB0F9858C}</x14:id>
        </ext>
      </extLst>
    </cfRule>
  </conditionalFormatting>
  <conditionalFormatting sqref="H55">
    <cfRule type="dataBar" priority="10">
      <dataBar>
        <cfvo type="num" val="0"/>
        <cfvo type="num" val="1800"/>
        <color rgb="FF63C384"/>
      </dataBar>
      <extLst>
        <ext xmlns:x14="http://schemas.microsoft.com/office/spreadsheetml/2009/9/main" uri="{B025F937-C7B1-47D3-B67F-A62EFF666E3E}">
          <x14:id>{3C1FE4FB-9287-4C60-9885-8C01A9CDA38B}</x14:id>
        </ext>
      </extLst>
    </cfRule>
  </conditionalFormatting>
  <conditionalFormatting sqref="B2">
    <cfRule type="dataBar" priority="8">
      <dataBar>
        <cfvo type="num" val="0"/>
        <cfvo type="num" val="3500"/>
        <color rgb="FF63C384"/>
      </dataBar>
      <extLst>
        <ext xmlns:x14="http://schemas.microsoft.com/office/spreadsheetml/2009/9/main" uri="{B025F937-C7B1-47D3-B67F-A62EFF666E3E}">
          <x14:id>{7BD2B1D9-B4E4-4E64-9C24-EAD4D16FCA43}</x14:id>
        </ext>
      </extLst>
    </cfRule>
  </conditionalFormatting>
  <conditionalFormatting sqref="B3">
    <cfRule type="dataBar" priority="7">
      <dataBar>
        <cfvo type="num" val="0"/>
        <cfvo type="num" val="1800"/>
        <color rgb="FF63C384"/>
      </dataBar>
      <extLst>
        <ext xmlns:x14="http://schemas.microsoft.com/office/spreadsheetml/2009/9/main" uri="{B025F937-C7B1-47D3-B67F-A62EFF666E3E}">
          <x14:id>{1E65C7DA-5BB2-4EB1-BC2E-5C825E3EDCC2}</x14:id>
        </ext>
      </extLst>
    </cfRule>
  </conditionalFormatting>
  <conditionalFormatting sqref="B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{B1D580A8-715C-45DA-95CA-10F4C5A91193}</x14:id>
        </ext>
      </extLst>
    </cfRule>
  </conditionalFormatting>
  <conditionalFormatting sqref="B5">
    <cfRule type="dataBar" priority="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{F00A8670-A030-4D80-9569-7D99A78ABC5F}</x14:id>
        </ext>
      </extLst>
    </cfRule>
  </conditionalFormatting>
  <conditionalFormatting sqref="B6">
    <cfRule type="dataBar" priority="4">
      <dataBar>
        <cfvo type="num" val="0"/>
        <cfvo type="num" val="200"/>
        <color rgb="FF7030A0"/>
      </dataBar>
      <extLst>
        <ext xmlns:x14="http://schemas.microsoft.com/office/spreadsheetml/2009/9/main" uri="{B025F937-C7B1-47D3-B67F-A62EFF666E3E}">
          <x14:id>{BB8E7E38-475F-4EA7-9092-F29B4FFAA1A8}</x14:id>
        </ext>
      </extLst>
    </cfRule>
  </conditionalFormatting>
  <conditionalFormatting sqref="B7">
    <cfRule type="dataBar" priority="3">
      <dataBar>
        <cfvo type="num" val="0"/>
        <cfvo type="num" val="$D$7"/>
        <color rgb="FFC00000"/>
      </dataBar>
      <extLst>
        <ext xmlns:x14="http://schemas.microsoft.com/office/spreadsheetml/2009/9/main" uri="{B025F937-C7B1-47D3-B67F-A62EFF666E3E}">
          <x14:id>{52CF9B18-445D-44EB-BD15-F7628310987F}</x14:id>
        </ext>
      </extLst>
    </cfRule>
  </conditionalFormatting>
  <conditionalFormatting sqref="B8">
    <cfRule type="dataBar" priority="2">
      <dataBar>
        <cfvo type="num" val="0"/>
        <cfvo type="num" val="400"/>
        <color rgb="FFFFC000"/>
      </dataBar>
      <extLst>
        <ext xmlns:x14="http://schemas.microsoft.com/office/spreadsheetml/2009/9/main" uri="{B025F937-C7B1-47D3-B67F-A62EFF666E3E}">
          <x14:id>{1328F32A-5CC0-4B6C-AC2E-220BEBBAF30D}</x14:id>
        </ext>
      </extLst>
    </cfRule>
  </conditionalFormatting>
  <conditionalFormatting sqref="L3:N10">
    <cfRule type="cellIs" dxfId="15" priority="1" operator="equal">
      <formula>"bad"</formula>
    </cfRule>
  </conditionalFormatting>
  <dataValidations count="1">
    <dataValidation type="list" allowBlank="1" showInputMessage="1" showErrorMessage="1" sqref="I2041:I1048576" xr:uid="{70B8AB99-7681-487A-A745-EDBBA3620FC9}">
      <formula1>"utilities,transportation,personal,rent,investment,groceries,income"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779F1F-50E7-45CF-9F26-BA64A4BBF9D8}">
            <x14:dataBar minLength="0" maxLength="100" gradient="0">
              <x14:cfvo type="num">
                <xm:f>0</xm:f>
              </x14:cfvo>
              <x14:cfvo type="num">
                <xm:f>3500</xm:f>
              </x14:cfvo>
              <x14:negativeFill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6022E401-65BD-4F2A-BC1B-8CB2627B8951}">
            <x14:dataBar minLength="0" maxLength="100" gradient="0">
              <x14:cfvo type="num">
                <xm:f>0</xm:f>
              </x14:cfvo>
              <x14:cfvo type="num">
                <xm:f>1800</xm:f>
              </x14:cfvo>
              <x14:negativeFill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C8361996-FF3F-4D68-89F1-9ECE7BFDA2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2B5CADB5-4F8F-4F2E-8C4D-6ED56EB3DEF6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9EEC0D03-A537-4C29-9AB5-42338E3C3E82}">
            <x14:dataBar minLength="0" maxLength="100" gradient="0">
              <x14:cfvo type="num">
                <xm:f>0</xm:f>
              </x14:cfvo>
              <x14:cfvo type="num">
                <xm:f>400</xm:f>
              </x14:cfvo>
              <x14:negativeFill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AA525150-07BC-46A9-864C-B898EC65526F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2965C1FA-2974-4FCC-803C-64DDB0F9858C}">
            <x14:dataBar minLength="0" maxLength="100" gradient="0">
              <x14:cfvo type="num">
                <xm:f>0</xm:f>
              </x14:cfvo>
              <x14:cfvo type="num">
                <xm:f>3500</xm:f>
              </x14:cfvo>
              <x14:negativeFill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3C1FE4FB-9287-4C60-9885-8C01A9CDA38B}">
            <x14:dataBar minLength="0" maxLength="100" gradient="0">
              <x14:cfvo type="num">
                <xm:f>0</xm:f>
              </x14:cfvo>
              <x14:cfvo type="num">
                <xm:f>1800</xm:f>
              </x14:cfvo>
              <x14:negativeFill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7BD2B1D9-B4E4-4E64-9C24-EAD4D16FCA43}">
            <x14:dataBar minLength="0" maxLength="100" gradient="0">
              <x14:cfvo type="num">
                <xm:f>0</xm:f>
              </x14:cfvo>
              <x14:cfvo type="num">
                <xm:f>3500</xm:f>
              </x14:cfvo>
              <x14:negativeFillColor rgb="FFFF0000"/>
              <x14:axisColor rgb="FF000000"/>
            </x14:dataBar>
          </x14:cfRule>
          <xm:sqref>B2</xm:sqref>
        </x14:conditionalFormatting>
        <x14:conditionalFormatting xmlns:xm="http://schemas.microsoft.com/office/excel/2006/main">
          <x14:cfRule type="dataBar" id="{1E65C7DA-5BB2-4EB1-BC2E-5C825E3EDCC2}">
            <x14:dataBar minLength="0" maxLength="100" gradient="0">
              <x14:cfvo type="num">
                <xm:f>0</xm:f>
              </x14:cfvo>
              <x14:cfvo type="num">
                <xm:f>1800</xm:f>
              </x14:cfvo>
              <x14:negativeFillColor rgb="FFFF0000"/>
              <x14:axisColor rgb="FF000000"/>
            </x14:dataBar>
          </x14:cfRule>
          <xm:sqref>B3</xm:sqref>
        </x14:conditionalFormatting>
        <x14:conditionalFormatting xmlns:xm="http://schemas.microsoft.com/office/excel/2006/main">
          <x14:cfRule type="dataBar" id="{B1D580A8-715C-45DA-95CA-10F4C5A911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</xm:sqref>
        </x14:conditionalFormatting>
        <x14:conditionalFormatting xmlns:xm="http://schemas.microsoft.com/office/excel/2006/main">
          <x14:cfRule type="dataBar" id="{F00A8670-A030-4D80-9569-7D99A78ABC5F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BB8E7E38-475F-4EA7-9092-F29B4FFAA1A8}">
            <x14:dataBar minLength="0" maxLength="100" gradient="0">
              <x14:cfvo type="num">
                <xm:f>0</xm:f>
              </x14:cfvo>
              <x14:cfvo type="num">
                <xm:f>200</xm:f>
              </x14:cfvo>
              <x14:negativeFillColor rgb="FFFF0000"/>
              <x14:axisColor rgb="FF000000"/>
            </x14:dataBar>
          </x14:cfRule>
          <xm:sqref>B6</xm:sqref>
        </x14:conditionalFormatting>
        <x14:conditionalFormatting xmlns:xm="http://schemas.microsoft.com/office/excel/2006/main">
          <x14:cfRule type="dataBar" id="{52CF9B18-445D-44EB-BD15-F7628310987F}">
            <x14:dataBar minLength="0" maxLength="100" gradient="0">
              <x14:cfvo type="num">
                <xm:f>0</xm:f>
              </x14:cfvo>
              <x14:cfvo type="num">
                <xm:f>$D$7</xm:f>
              </x14:cfvo>
              <x14:negativeFillColor rgb="FFFF0000"/>
              <x14:axisColor rgb="FF000000"/>
            </x14:dataBar>
          </x14:cfRule>
          <xm:sqref>B7</xm:sqref>
        </x14:conditionalFormatting>
        <x14:conditionalFormatting xmlns:xm="http://schemas.microsoft.com/office/excel/2006/main">
          <x14:cfRule type="dataBar" id="{1328F32A-5CC0-4B6C-AC2E-220BEBBAF30D}">
            <x14:dataBar minLength="0" maxLength="100" gradient="0">
              <x14:cfvo type="num">
                <xm:f>0</xm:f>
              </x14:cfvo>
              <x14:cfvo type="num">
                <xm:f>400</xm:f>
              </x14:cfvo>
              <x14:negativeFillColor rgb="FFFF0000"/>
              <x14:axisColor rgb="FF000000"/>
            </x14:dataBar>
          </x14:cfRule>
          <xm:sqref>B8</xm:sqref>
        </x14:conditionalFormatting>
        <x14:conditionalFormatting xmlns:xm="http://schemas.microsoft.com/office/excel/2006/main">
          <x14:cfRule type="dataBar" priority="18" id="{C784B844-CA5F-4921-A60B-C26B0DBD9B2D}">
            <x14:dataBar minLength="0" maxLength="100" gradient="0">
              <x14:cfvo type="num">
                <xm:f>0</xm:f>
              </x14:cfvo>
              <x14:cfvo type="num">
                <xm:f>Sheet1!$D$7</xm:f>
              </x14:cfvo>
              <x14:fillColor rgb="FFC00000"/>
              <x14:negativeFillColor rgb="FFFF0000"/>
              <x14:axisColor rgb="FF000000"/>
            </x14:dataBar>
          </x14:cfRule>
          <xm:sqref>H49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4F56B4-55CC-4DE7-B0C4-D3B482F85481}">
          <x14:formula1>
            <xm:f>Sheet1!$A$2:$A$8</xm:f>
          </x14:formula1>
          <xm:sqref>I2:I2040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9FDA2-0E8C-4477-924D-8B20877BE0DA}">
  <sheetPr codeName="Sheet1"/>
  <dimension ref="A1:O2042"/>
  <sheetViews>
    <sheetView tabSelected="1" zoomScale="95" zoomScaleNormal="100" workbookViewId="0">
      <selection activeCell="B4" sqref="B4"/>
    </sheetView>
  </sheetViews>
  <sheetFormatPr defaultRowHeight="14.4" x14ac:dyDescent="0.3"/>
  <cols>
    <col min="1" max="1" width="17.21875" customWidth="1"/>
    <col min="2" max="2" width="27.44140625" customWidth="1"/>
    <col min="5" max="5" width="10.33203125" bestFit="1" customWidth="1"/>
    <col min="6" max="6" width="10.109375" customWidth="1"/>
    <col min="7" max="7" width="16.88671875" customWidth="1"/>
    <col min="8" max="8" width="50.77734375" bestFit="1" customWidth="1"/>
    <col min="9" max="9" width="10.109375" style="5" customWidth="1"/>
    <col min="10" max="10" width="12" style="8" customWidth="1"/>
    <col min="11" max="11" width="11.77734375" style="8" customWidth="1"/>
    <col min="12" max="12" width="7" style="4" customWidth="1"/>
    <col min="13" max="13" width="10.44140625" bestFit="1" customWidth="1"/>
    <col min="15" max="15" width="60.21875" customWidth="1"/>
    <col min="21" max="21" width="14.77734375" bestFit="1" customWidth="1"/>
    <col min="22" max="22" width="32.109375" customWidth="1"/>
  </cols>
  <sheetData>
    <row r="1" spans="1:15" x14ac:dyDescent="0.3">
      <c r="A1" t="s">
        <v>0</v>
      </c>
      <c r="B1">
        <v>11</v>
      </c>
      <c r="D1" t="s">
        <v>13</v>
      </c>
      <c r="F1" t="s">
        <v>0</v>
      </c>
      <c r="G1" t="s">
        <v>6</v>
      </c>
      <c r="H1" t="s">
        <v>1</v>
      </c>
      <c r="I1" s="5" t="s">
        <v>2</v>
      </c>
      <c r="J1" s="8" t="s">
        <v>4</v>
      </c>
      <c r="K1" s="8" t="s">
        <v>3</v>
      </c>
      <c r="L1" t="s">
        <v>22</v>
      </c>
      <c r="M1" s="4" t="s">
        <v>5</v>
      </c>
      <c r="N1" t="s">
        <v>17</v>
      </c>
      <c r="O1" t="s">
        <v>23</v>
      </c>
    </row>
    <row r="2" spans="1:15" x14ac:dyDescent="0.3">
      <c r="A2" t="s">
        <v>44</v>
      </c>
      <c r="B2" s="4">
        <f>SUMIFS('2021'!K:K,'2021'!F:F,$B$1,'2021'!I:I,A2)-SUMIFS('2021'!J:J,'2021'!F:F,$B$1,'2021'!I:I,A2)</f>
        <v>0</v>
      </c>
      <c r="D2">
        <v>3500</v>
      </c>
      <c r="E2" s="6"/>
      <c r="F2">
        <f>C2</f>
        <v>0</v>
      </c>
      <c r="G2" s="2">
        <v>44317</v>
      </c>
      <c r="H2" t="s">
        <v>37</v>
      </c>
      <c r="L2" s="5"/>
      <c r="M2" s="4">
        <v>1900</v>
      </c>
      <c r="N2" t="str">
        <f>IF(AND(Table1[[#This Row],[Category]]="pay",NOT(Table1[[#This Row],[Debits]]=0)),"bad","good")</f>
        <v>good</v>
      </c>
      <c r="O2" s="5"/>
    </row>
    <row r="3" spans="1:15" x14ac:dyDescent="0.3">
      <c r="A3" t="s">
        <v>7</v>
      </c>
      <c r="B3" s="4">
        <f>SUMIFS('2021'!J:J,'2021'!F:F,$B$1,'2021'!I:I,A3)-SUMIFS('2021'!K:K,'2021'!F:F,$B$1,'2021'!I:I,A3)</f>
        <v>0</v>
      </c>
      <c r="D3">
        <v>1800</v>
      </c>
      <c r="F3">
        <f>MONTH(Table1[[#This Row],[Date  (DMY)]])</f>
        <v>1</v>
      </c>
      <c r="G3" s="2"/>
      <c r="L3" s="5"/>
      <c r="M3" s="4">
        <f>M2-Table1[[#This Row],[Debits]]+Table1[[#This Row],[Income]]</f>
        <v>1900</v>
      </c>
      <c r="N3" t="str">
        <f>IF(AND(Table1[[#This Row],[Category]]="pay",NOT(Table1[[#This Row],[Debits]]=0)),"bad","good")</f>
        <v>good</v>
      </c>
      <c r="O3" s="5"/>
    </row>
    <row r="4" spans="1:15" x14ac:dyDescent="0.3">
      <c r="A4" t="s">
        <v>9</v>
      </c>
      <c r="B4" s="4">
        <f>SUMIFS('2021'!J:J,'2021'!F:F,$B$1,'2021'!I:I,A4)-SUMIFS('2021'!K:K,'2021'!F:F,$B$1,'2021'!I:I,A4)</f>
        <v>0</v>
      </c>
      <c r="D4">
        <v>700</v>
      </c>
      <c r="F4">
        <f>MONTH(Table1[[#This Row],[Date  (DMY)]])</f>
        <v>1</v>
      </c>
      <c r="G4" s="2"/>
      <c r="L4" s="5"/>
      <c r="M4" s="4">
        <f>M3-Table1[[#This Row],[Debits]]+Table1[[#This Row],[Income]]</f>
        <v>1900</v>
      </c>
      <c r="N4" t="str">
        <f>IF(AND(Table1[[#This Row],[Category]]="pay",NOT(Table1[[#This Row],[Debits]]=0)),"bad","good")</f>
        <v>good</v>
      </c>
      <c r="O4" s="5"/>
    </row>
    <row r="5" spans="1:15" x14ac:dyDescent="0.3">
      <c r="A5" t="s">
        <v>10</v>
      </c>
      <c r="B5" s="4">
        <f>SUMIFS('2021'!J:J,'2021'!F:F,$B$1,'2021'!I:I,A5)-SUMIFS('2021'!K:K,'2021'!F:F,$B$1,'2021'!I:I,A5)</f>
        <v>0</v>
      </c>
      <c r="D5">
        <v>120</v>
      </c>
      <c r="F5">
        <f>MONTH(Table1[[#This Row],[Date  (DMY)]])</f>
        <v>1</v>
      </c>
      <c r="G5" s="2"/>
      <c r="H5" s="3"/>
      <c r="L5" s="5"/>
      <c r="M5" s="4">
        <f>M4-Table1[[#This Row],[Debits]]+Table1[[#This Row],[Income]]</f>
        <v>1900</v>
      </c>
      <c r="N5" t="str">
        <f>IF(AND(Table1[[#This Row],[Category]]="pay",NOT(Table1[[#This Row],[Debits]]=0)),"bad","good")</f>
        <v>good</v>
      </c>
      <c r="O5" s="5"/>
    </row>
    <row r="6" spans="1:15" x14ac:dyDescent="0.3">
      <c r="A6" t="s">
        <v>16</v>
      </c>
      <c r="B6" s="4">
        <f>SUMIFS('2021'!J:J,'2021'!F:F,$B$1,'2021'!I:I,A6)-SUMIFS('2021'!K:K,'2021'!F:F,$B$1,'2021'!I:I,A6)</f>
        <v>0</v>
      </c>
      <c r="D6">
        <v>200</v>
      </c>
      <c r="F6">
        <f>MONTH(Table1[[#This Row],[Date  (DMY)]])</f>
        <v>1</v>
      </c>
      <c r="G6" s="2"/>
      <c r="L6" s="5"/>
      <c r="M6" s="4">
        <f>M5-Table1[[#This Row],[Debits]]+Table1[[#This Row],[Income]]</f>
        <v>1900</v>
      </c>
      <c r="N6" t="str">
        <f>IF(AND(Table1[[#This Row],[Category]]="pay",NOT(Table1[[#This Row],[Debits]]=0)),"bad","good")</f>
        <v>good</v>
      </c>
      <c r="O6" s="5"/>
    </row>
    <row r="7" spans="1:15" x14ac:dyDescent="0.3">
      <c r="A7" t="s">
        <v>11</v>
      </c>
      <c r="B7">
        <f>SUMIFS('2021'!J:J,'2021'!F:F,$B$1,'2021'!I:I,A7)</f>
        <v>0</v>
      </c>
      <c r="D7">
        <v>100</v>
      </c>
      <c r="F7">
        <f>MONTH(Table1[[#This Row],[Date  (DMY)]])</f>
        <v>1</v>
      </c>
      <c r="G7" s="2"/>
      <c r="L7" s="5"/>
      <c r="M7" s="4">
        <f>M6-Table1[[#This Row],[Debits]]+Table1[[#This Row],[Income]]</f>
        <v>1900</v>
      </c>
      <c r="N7" t="str">
        <f>IF(AND(Table1[[#This Row],[Category]]="pay",NOT(Table1[[#This Row],[Debits]]=0)),"bad","good")</f>
        <v>good</v>
      </c>
      <c r="O7" s="5"/>
    </row>
    <row r="8" spans="1:15" x14ac:dyDescent="0.3">
      <c r="A8" t="s">
        <v>12</v>
      </c>
      <c r="B8">
        <f>SUMIFS('2021'!J:J,'2021'!F:F,$B$1,'2021'!I:I,A8)</f>
        <v>0</v>
      </c>
      <c r="D8">
        <v>400</v>
      </c>
      <c r="F8">
        <f>MONTH(Table1[[#This Row],[Date  (DMY)]])</f>
        <v>1</v>
      </c>
      <c r="G8" s="2"/>
      <c r="L8" s="5"/>
      <c r="M8" s="4">
        <f>M7-Table1[[#This Row],[Debits]]+Table1[[#This Row],[Income]]</f>
        <v>1900</v>
      </c>
      <c r="N8" t="str">
        <f>IF(AND(Table1[[#This Row],[Category]]="pay",NOT(Table1[[#This Row],[Debits]]=0)),"bad","good")</f>
        <v>good</v>
      </c>
      <c r="O8" s="5"/>
    </row>
    <row r="9" spans="1:15" x14ac:dyDescent="0.3">
      <c r="C9" t="s">
        <v>15</v>
      </c>
      <c r="D9">
        <f>D2-SUM(D3:D8)</f>
        <v>180</v>
      </c>
      <c r="F9">
        <f>MONTH(Table1[[#This Row],[Date  (DMY)]])</f>
        <v>1</v>
      </c>
      <c r="G9" s="2"/>
      <c r="L9" s="5"/>
      <c r="M9" s="4">
        <f>M8-Table1[[#This Row],[Debits]]+Table1[[#This Row],[Income]]</f>
        <v>1900</v>
      </c>
      <c r="N9" t="str">
        <f>IF(AND(Table1[[#This Row],[Category]]="pay",NOT(Table1[[#This Row],[Debits]]=0)),"bad","good")</f>
        <v>good</v>
      </c>
      <c r="O9" s="5"/>
    </row>
    <row r="10" spans="1:15" x14ac:dyDescent="0.3">
      <c r="A10" t="s">
        <v>14</v>
      </c>
      <c r="B10" s="4">
        <f>B2-SUM(B3:B8)</f>
        <v>0</v>
      </c>
      <c r="F10">
        <f>MONTH(Table1[[#This Row],[Date  (DMY)]])</f>
        <v>1</v>
      </c>
      <c r="G10" s="2"/>
      <c r="H10" s="3"/>
      <c r="L10" s="5"/>
      <c r="M10" s="4">
        <f>M9-Table1[[#This Row],[Debits]]+Table1[[#This Row],[Income]]</f>
        <v>1900</v>
      </c>
      <c r="N10" t="str">
        <f>IF(AND(Table1[[#This Row],[Category]]="pay",NOT(Table1[[#This Row],[Debits]]=0)),"bad","good")</f>
        <v>good</v>
      </c>
      <c r="O10" s="5"/>
    </row>
    <row r="11" spans="1:15" x14ac:dyDescent="0.3">
      <c r="F11">
        <f>MONTH(Table1[[#This Row],[Date  (DMY)]])</f>
        <v>1</v>
      </c>
      <c r="G11" s="2"/>
      <c r="H11" s="3"/>
      <c r="L11" s="5"/>
      <c r="M11" s="4">
        <f>M10-Table1[[#This Row],[Debits]]+Table1[[#This Row],[Income]]</f>
        <v>1900</v>
      </c>
      <c r="N11" t="str">
        <f>IF(AND(Table1[[#This Row],[Category]]="pay",NOT(Table1[[#This Row],[Debits]]=0)),"bad","good")</f>
        <v>good</v>
      </c>
      <c r="O11" s="5"/>
    </row>
    <row r="12" spans="1:15" x14ac:dyDescent="0.3">
      <c r="F12">
        <f>MONTH(Table1[[#This Row],[Date  (DMY)]])</f>
        <v>1</v>
      </c>
      <c r="G12" s="2"/>
      <c r="H12" s="3"/>
      <c r="L12" s="5"/>
      <c r="M12" s="4">
        <f>M11-Table1[[#This Row],[Debits]]+Table1[[#This Row],[Income]]</f>
        <v>1900</v>
      </c>
      <c r="N12" t="str">
        <f>IF(AND(Table1[[#This Row],[Category]]="pay",NOT(Table1[[#This Row],[Debits]]=0)),"bad","good")</f>
        <v>good</v>
      </c>
      <c r="O12" s="5"/>
    </row>
    <row r="13" spans="1:15" x14ac:dyDescent="0.3">
      <c r="F13">
        <f>MONTH(Table1[[#This Row],[Date  (DMY)]])</f>
        <v>1</v>
      </c>
      <c r="G13" s="2"/>
      <c r="H13" s="3"/>
      <c r="L13" s="5"/>
      <c r="M13" s="4">
        <f>M12-Table1[[#This Row],[Debits]]+Table1[[#This Row],[Income]]</f>
        <v>1900</v>
      </c>
      <c r="N13" t="str">
        <f>IF(AND(Table1[[#This Row],[Category]]="pay",NOT(Table1[[#This Row],[Debits]]=0)),"bad","good")</f>
        <v>good</v>
      </c>
      <c r="O13" s="5"/>
    </row>
    <row r="14" spans="1:15" x14ac:dyDescent="0.3">
      <c r="F14">
        <f>MONTH(Table1[[#This Row],[Date  (DMY)]])</f>
        <v>1</v>
      </c>
      <c r="G14" s="2"/>
      <c r="H14" s="3"/>
      <c r="L14" s="5"/>
      <c r="M14" s="4">
        <f>M13-Table1[[#This Row],[Debits]]+Table1[[#This Row],[Income]]</f>
        <v>1900</v>
      </c>
      <c r="N14" t="str">
        <f>IF(AND(Table1[[#This Row],[Category]]="pay",NOT(Table1[[#This Row],[Debits]]=0)),"bad","good")</f>
        <v>good</v>
      </c>
      <c r="O14" s="5"/>
    </row>
    <row r="15" spans="1:15" x14ac:dyDescent="0.3">
      <c r="F15">
        <f>MONTH(Table1[[#This Row],[Date  (DMY)]])</f>
        <v>1</v>
      </c>
      <c r="G15" s="2"/>
      <c r="H15" s="3"/>
      <c r="L15" s="5"/>
      <c r="M15" s="4">
        <f>M14-Table1[[#This Row],[Debits]]+Table1[[#This Row],[Income]]</f>
        <v>1900</v>
      </c>
      <c r="N15" t="str">
        <f>IF(AND(Table1[[#This Row],[Category]]="pay",NOT(Table1[[#This Row],[Debits]]=0)),"bad","good")</f>
        <v>good</v>
      </c>
      <c r="O15" s="5"/>
    </row>
    <row r="16" spans="1:15" x14ac:dyDescent="0.3">
      <c r="F16">
        <f>MONTH(Table1[[#This Row],[Date  (DMY)]])</f>
        <v>1</v>
      </c>
      <c r="G16" s="2"/>
      <c r="L16" s="5"/>
      <c r="M16" s="4">
        <f>M15-Table1[[#This Row],[Debits]]+Table1[[#This Row],[Income]]</f>
        <v>1900</v>
      </c>
      <c r="N16" t="str">
        <f>IF(AND(Table1[[#This Row],[Category]]="pay",NOT(Table1[[#This Row],[Debits]]=0)),"bad","good")</f>
        <v>good</v>
      </c>
      <c r="O16" s="5"/>
    </row>
    <row r="17" spans="2:15" x14ac:dyDescent="0.3">
      <c r="F17">
        <f>MONTH(Table1[[#This Row],[Date  (DMY)]])</f>
        <v>1</v>
      </c>
      <c r="G17" s="2"/>
      <c r="L17" s="5"/>
      <c r="M17" s="4">
        <f>M16-Table1[[#This Row],[Debits]]+Table1[[#This Row],[Income]]</f>
        <v>1900</v>
      </c>
      <c r="N17" t="str">
        <f>IF(AND(Table1[[#This Row],[Category]]="pay",NOT(Table1[[#This Row],[Debits]]=0)),"bad","good")</f>
        <v>good</v>
      </c>
      <c r="O17" s="5"/>
    </row>
    <row r="18" spans="2:15" x14ac:dyDescent="0.3">
      <c r="F18">
        <f>MONTH(Table1[[#This Row],[Date  (DMY)]])</f>
        <v>1</v>
      </c>
      <c r="G18" s="2"/>
      <c r="H18" s="3"/>
      <c r="L18" s="5"/>
      <c r="M18" s="4">
        <f>M17-Table1[[#This Row],[Debits]]+Table1[[#This Row],[Income]]</f>
        <v>1900</v>
      </c>
      <c r="N18" t="str">
        <f>IF(AND(Table1[[#This Row],[Category]]="pay",NOT(Table1[[#This Row],[Debits]]=0)),"bad","good")</f>
        <v>good</v>
      </c>
      <c r="O18" s="5"/>
    </row>
    <row r="19" spans="2:15" x14ac:dyDescent="0.3">
      <c r="B19">
        <v>5</v>
      </c>
      <c r="F19">
        <f>MONTH(Table1[[#This Row],[Date  (DMY)]])</f>
        <v>1</v>
      </c>
      <c r="G19" s="2"/>
      <c r="H19" s="3"/>
      <c r="L19" s="5"/>
      <c r="M19" s="4">
        <f>M18-Table1[[#This Row],[Debits]]+Table1[[#This Row],[Income]]</f>
        <v>1900</v>
      </c>
      <c r="N19" t="str">
        <f>IF(AND(Table1[[#This Row],[Category]]="pay",NOT(Table1[[#This Row],[Debits]]=0)),"bad","good")</f>
        <v>good</v>
      </c>
      <c r="O19" s="5"/>
    </row>
    <row r="20" spans="2:15" x14ac:dyDescent="0.3">
      <c r="F20">
        <f>MONTH(Table1[[#This Row],[Date  (DMY)]])</f>
        <v>1</v>
      </c>
      <c r="G20" s="2"/>
      <c r="H20" s="3"/>
      <c r="L20" s="5"/>
      <c r="M20" s="4">
        <f>M19-Table1[[#This Row],[Debits]]+Table1[[#This Row],[Income]]</f>
        <v>1900</v>
      </c>
      <c r="N20" t="str">
        <f>IF(AND(Table1[[#This Row],[Category]]="pay",NOT(Table1[[#This Row],[Debits]]=0)),"bad","good")</f>
        <v>good</v>
      </c>
      <c r="O20" s="5"/>
    </row>
    <row r="21" spans="2:15" x14ac:dyDescent="0.3">
      <c r="F21">
        <f>MONTH(Table1[[#This Row],[Date  (DMY)]])</f>
        <v>1</v>
      </c>
      <c r="G21" s="2"/>
      <c r="H21" s="2"/>
      <c r="L21" s="5"/>
      <c r="M21" s="4">
        <f>M20-Table1[[#This Row],[Debits]]+Table1[[#This Row],[Income]]</f>
        <v>1900</v>
      </c>
      <c r="N21" t="str">
        <f>IF(AND(Table1[[#This Row],[Category]]="pay",NOT(Table1[[#This Row],[Debits]]=0)),"bad","good")</f>
        <v>good</v>
      </c>
      <c r="O21" s="5"/>
    </row>
    <row r="22" spans="2:15" x14ac:dyDescent="0.3">
      <c r="F22">
        <f>MONTH(Table1[[#This Row],[Date  (DMY)]])</f>
        <v>1</v>
      </c>
      <c r="G22" s="2"/>
      <c r="L22" s="5"/>
      <c r="M22" s="4">
        <f>M21-Table1[[#This Row],[Debits]]+Table1[[#This Row],[Income]]</f>
        <v>1900</v>
      </c>
      <c r="N22" t="str">
        <f>IF(AND(Table1[[#This Row],[Category]]="pay",NOT(Table1[[#This Row],[Debits]]=0)),"bad","good")</f>
        <v>good</v>
      </c>
      <c r="O22" s="5"/>
    </row>
    <row r="23" spans="2:15" x14ac:dyDescent="0.3">
      <c r="F23">
        <f>MONTH(Table1[[#This Row],[Date  (DMY)]])</f>
        <v>1</v>
      </c>
      <c r="G23" s="2"/>
      <c r="L23" s="5"/>
      <c r="M23" s="4">
        <f>M22-Table1[[#This Row],[Debits]]+Table1[[#This Row],[Income]]</f>
        <v>1900</v>
      </c>
      <c r="N23" t="str">
        <f>IF(AND(Table1[[#This Row],[Category]]="pay",NOT(Table1[[#This Row],[Debits]]=0)),"bad","good")</f>
        <v>good</v>
      </c>
      <c r="O23" s="5"/>
    </row>
    <row r="24" spans="2:15" x14ac:dyDescent="0.3">
      <c r="F24">
        <f>MONTH(Table1[[#This Row],[Date  (DMY)]])</f>
        <v>1</v>
      </c>
      <c r="G24" s="2"/>
      <c r="H24" s="2"/>
      <c r="L24" s="5"/>
      <c r="M24" s="4">
        <f>M23-Table1[[#This Row],[Debits]]+Table1[[#This Row],[Income]]</f>
        <v>1900</v>
      </c>
      <c r="N24" t="str">
        <f>IF(AND(Table1[[#This Row],[Category]]="pay",NOT(Table1[[#This Row],[Debits]]=0)),"bad","good")</f>
        <v>good</v>
      </c>
      <c r="O24" s="5"/>
    </row>
    <row r="25" spans="2:15" x14ac:dyDescent="0.3">
      <c r="F25">
        <f>MONTH(Table1[[#This Row],[Date  (DMY)]])</f>
        <v>1</v>
      </c>
      <c r="G25" s="2"/>
      <c r="H25" s="2"/>
      <c r="L25" s="5"/>
      <c r="M25" s="4">
        <f>M24-Table1[[#This Row],[Debits]]+Table1[[#This Row],[Income]]</f>
        <v>1900</v>
      </c>
      <c r="N25" t="str">
        <f>IF(AND(Table1[[#This Row],[Category]]="pay",NOT(Table1[[#This Row],[Debits]]=0)),"bad","good")</f>
        <v>good</v>
      </c>
      <c r="O25" s="5"/>
    </row>
    <row r="26" spans="2:15" x14ac:dyDescent="0.3">
      <c r="F26">
        <f>MONTH(Table1[[#This Row],[Date  (DMY)]])</f>
        <v>1</v>
      </c>
      <c r="G26" s="2"/>
      <c r="L26" s="5"/>
      <c r="M26" s="4">
        <f>M25-Table1[[#This Row],[Debits]]+Table1[[#This Row],[Income]]</f>
        <v>1900</v>
      </c>
      <c r="N26" t="str">
        <f>IF(AND(Table1[[#This Row],[Category]]="pay",NOT(Table1[[#This Row],[Debits]]=0)),"bad","good")</f>
        <v>good</v>
      </c>
      <c r="O26" s="5"/>
    </row>
    <row r="27" spans="2:15" x14ac:dyDescent="0.3">
      <c r="F27">
        <f>MONTH(Table1[[#This Row],[Date  (DMY)]])</f>
        <v>1</v>
      </c>
      <c r="G27" s="2"/>
      <c r="L27" s="5"/>
      <c r="M27" s="4">
        <f>M26-Table1[[#This Row],[Debits]]+Table1[[#This Row],[Income]]</f>
        <v>1900</v>
      </c>
      <c r="N27" t="str">
        <f>IF(AND(Table1[[#This Row],[Category]]="pay",NOT(Table1[[#This Row],[Debits]]=0)),"bad","good")</f>
        <v>good</v>
      </c>
      <c r="O27" s="5"/>
    </row>
    <row r="28" spans="2:15" x14ac:dyDescent="0.3">
      <c r="F28">
        <f>MONTH(Table1[[#This Row],[Date  (DMY)]])</f>
        <v>1</v>
      </c>
      <c r="G28" s="2"/>
      <c r="L28" s="5"/>
      <c r="M28" s="4">
        <f>M27-Table1[[#This Row],[Debits]]+Table1[[#This Row],[Income]]</f>
        <v>1900</v>
      </c>
      <c r="N28" t="str">
        <f>IF(AND(Table1[[#This Row],[Category]]="pay",NOT(Table1[[#This Row],[Debits]]=0)),"bad","good")</f>
        <v>good</v>
      </c>
      <c r="O28" s="5"/>
    </row>
    <row r="29" spans="2:15" x14ac:dyDescent="0.3">
      <c r="F29">
        <f>MONTH(Table1[[#This Row],[Date  (DMY)]])</f>
        <v>1</v>
      </c>
      <c r="G29" s="2"/>
      <c r="H29" s="2"/>
      <c r="L29" s="5"/>
      <c r="M29" s="4">
        <f>M28-Table1[[#This Row],[Debits]]+Table1[[#This Row],[Income]]</f>
        <v>1900</v>
      </c>
      <c r="N29" t="str">
        <f>IF(AND(Table1[[#This Row],[Category]]="pay",NOT(Table1[[#This Row],[Debits]]=0)),"bad","good")</f>
        <v>good</v>
      </c>
      <c r="O29" s="5"/>
    </row>
    <row r="30" spans="2:15" x14ac:dyDescent="0.3">
      <c r="F30">
        <f>MONTH(Table1[[#This Row],[Date  (DMY)]])</f>
        <v>1</v>
      </c>
      <c r="G30" s="2"/>
      <c r="H30" s="2"/>
      <c r="L30" s="5"/>
      <c r="M30" s="4">
        <f>M29-Table1[[#This Row],[Debits]]+Table1[[#This Row],[Income]]</f>
        <v>1900</v>
      </c>
      <c r="N30" t="str">
        <f>IF(AND(Table1[[#This Row],[Category]]="pay",NOT(Table1[[#This Row],[Debits]]=0)),"bad","good")</f>
        <v>good</v>
      </c>
      <c r="O30" s="5"/>
    </row>
    <row r="31" spans="2:15" x14ac:dyDescent="0.3">
      <c r="F31">
        <f>MONTH(Table1[[#This Row],[Date  (DMY)]])</f>
        <v>1</v>
      </c>
      <c r="G31" s="2"/>
      <c r="H31" s="2"/>
      <c r="L31" s="5"/>
      <c r="M31" s="4">
        <f>M30-Table1[[#This Row],[Debits]]+Table1[[#This Row],[Income]]</f>
        <v>1900</v>
      </c>
      <c r="N31" t="str">
        <f>IF(AND(Table1[[#This Row],[Category]]="pay",NOT(Table1[[#This Row],[Debits]]=0)),"bad","good")</f>
        <v>good</v>
      </c>
      <c r="O31" s="5"/>
    </row>
    <row r="32" spans="2:15" x14ac:dyDescent="0.3">
      <c r="F32">
        <f>MONTH(Table1[[#This Row],[Date  (DMY)]])</f>
        <v>1</v>
      </c>
      <c r="G32" s="2"/>
      <c r="H32" s="2"/>
      <c r="L32" s="5"/>
      <c r="M32" s="4">
        <f>M31-Table1[[#This Row],[Debits]]+Table1[[#This Row],[Income]]</f>
        <v>1900</v>
      </c>
      <c r="N32" t="str">
        <f>IF(AND(Table1[[#This Row],[Category]]="pay",NOT(Table1[[#This Row],[Debits]]=0)),"bad","good")</f>
        <v>good</v>
      </c>
      <c r="O32" s="5"/>
    </row>
    <row r="33" spans="6:15" x14ac:dyDescent="0.3">
      <c r="F33">
        <f>MONTH(Table1[[#This Row],[Date  (DMY)]])</f>
        <v>1</v>
      </c>
      <c r="G33" s="2"/>
      <c r="L33" s="5"/>
      <c r="M33" s="4">
        <f>M32-Table1[[#This Row],[Debits]]+Table1[[#This Row],[Income]]</f>
        <v>1900</v>
      </c>
      <c r="N33" t="str">
        <f>IF(AND(Table1[[#This Row],[Category]]="pay",NOT(Table1[[#This Row],[Debits]]=0)),"bad","good")</f>
        <v>good</v>
      </c>
      <c r="O33" s="5"/>
    </row>
    <row r="34" spans="6:15" x14ac:dyDescent="0.3">
      <c r="F34">
        <f>MONTH(Table1[[#This Row],[Date  (DMY)]])</f>
        <v>1</v>
      </c>
      <c r="G34" s="2"/>
      <c r="L34" s="5"/>
      <c r="M34" s="4">
        <f>M33-Table1[[#This Row],[Debits]]+Table1[[#This Row],[Income]]</f>
        <v>1900</v>
      </c>
      <c r="N34" t="str">
        <f>IF(AND(Table1[[#This Row],[Category]]="pay",NOT(Table1[[#This Row],[Debits]]=0)),"bad","good")</f>
        <v>good</v>
      </c>
      <c r="O34" s="5"/>
    </row>
    <row r="35" spans="6:15" x14ac:dyDescent="0.3">
      <c r="F35">
        <f>MONTH(Table1[[#This Row],[Date  (DMY)]])</f>
        <v>1</v>
      </c>
      <c r="G35" s="2"/>
      <c r="H35" s="2"/>
      <c r="L35" s="5"/>
      <c r="M35" s="4">
        <f>M34-Table1[[#This Row],[Debits]]+Table1[[#This Row],[Income]]</f>
        <v>1900</v>
      </c>
      <c r="N35" t="str">
        <f>IF(AND(Table1[[#This Row],[Category]]="pay",NOT(Table1[[#This Row],[Debits]]=0)),"bad","good")</f>
        <v>good</v>
      </c>
      <c r="O35" s="5"/>
    </row>
    <row r="36" spans="6:15" x14ac:dyDescent="0.3">
      <c r="F36">
        <f>MONTH(Table1[[#This Row],[Date  (DMY)]])</f>
        <v>1</v>
      </c>
      <c r="G36" s="2"/>
      <c r="L36" s="5"/>
      <c r="M36" s="4">
        <f>M35-Table1[[#This Row],[Debits]]+Table1[[#This Row],[Income]]</f>
        <v>1900</v>
      </c>
      <c r="N36" t="str">
        <f>IF(AND(Table1[[#This Row],[Category]]="pay",NOT(Table1[[#This Row],[Debits]]=0)),"bad","good")</f>
        <v>good</v>
      </c>
      <c r="O36" s="5"/>
    </row>
    <row r="37" spans="6:15" x14ac:dyDescent="0.3">
      <c r="F37">
        <f>MONTH(Table1[[#This Row],[Date  (DMY)]])</f>
        <v>1</v>
      </c>
      <c r="G37" s="2"/>
      <c r="L37" s="5"/>
      <c r="M37" s="4">
        <f>M36-Table1[[#This Row],[Debits]]+Table1[[#This Row],[Income]]</f>
        <v>1900</v>
      </c>
      <c r="N37" t="str">
        <f>IF(AND(Table1[[#This Row],[Category]]="pay",NOT(Table1[[#This Row],[Debits]]=0)),"bad","good")</f>
        <v>good</v>
      </c>
      <c r="O37" s="5"/>
    </row>
    <row r="38" spans="6:15" x14ac:dyDescent="0.3">
      <c r="F38">
        <f>MONTH(Table1[[#This Row],[Date  (DMY)]])</f>
        <v>1</v>
      </c>
      <c r="G38" s="2"/>
      <c r="L38" s="5"/>
      <c r="M38" s="4">
        <f>M37-Table1[[#This Row],[Debits]]+Table1[[#This Row],[Income]]</f>
        <v>1900</v>
      </c>
      <c r="N38" t="str">
        <f>IF(AND(Table1[[#This Row],[Category]]="pay",NOT(Table1[[#This Row],[Debits]]=0)),"bad","good")</f>
        <v>good</v>
      </c>
      <c r="O38" s="5"/>
    </row>
    <row r="39" spans="6:15" x14ac:dyDescent="0.3">
      <c r="F39">
        <f>MONTH(Table1[[#This Row],[Date  (DMY)]])</f>
        <v>1</v>
      </c>
      <c r="G39" s="2"/>
      <c r="L39" s="5"/>
      <c r="M39" s="4">
        <f>M38-Table1[[#This Row],[Debits]]+Table1[[#This Row],[Income]]</f>
        <v>1900</v>
      </c>
      <c r="N39" t="str">
        <f>IF(AND(Table1[[#This Row],[Category]]="pay",NOT(Table1[[#This Row],[Debits]]=0)),"bad","good")</f>
        <v>good</v>
      </c>
      <c r="O39" s="5"/>
    </row>
    <row r="40" spans="6:15" x14ac:dyDescent="0.3">
      <c r="F40">
        <f>MONTH(Table1[[#This Row],[Date  (DMY)]])</f>
        <v>1</v>
      </c>
      <c r="G40" s="2"/>
      <c r="L40" s="5"/>
      <c r="M40" s="4">
        <f>M39-Table1[[#This Row],[Debits]]+Table1[[#This Row],[Income]]</f>
        <v>1900</v>
      </c>
      <c r="N40" t="str">
        <f>IF(AND(Table1[[#This Row],[Category]]="pay",NOT(Table1[[#This Row],[Debits]]=0)),"bad","good")</f>
        <v>good</v>
      </c>
      <c r="O40" s="5"/>
    </row>
    <row r="41" spans="6:15" x14ac:dyDescent="0.3">
      <c r="F41">
        <f>MONTH(Table1[[#This Row],[Date  (DMY)]])</f>
        <v>1</v>
      </c>
      <c r="G41" s="2"/>
      <c r="L41" s="5"/>
      <c r="M41" s="4">
        <f>M40-Table1[[#This Row],[Debits]]+Table1[[#This Row],[Income]]</f>
        <v>1900</v>
      </c>
      <c r="N41" t="str">
        <f>IF(AND(Table1[[#This Row],[Category]]="pay",NOT(Table1[[#This Row],[Debits]]=0)),"bad","good")</f>
        <v>good</v>
      </c>
      <c r="O41" s="5"/>
    </row>
    <row r="42" spans="6:15" x14ac:dyDescent="0.3">
      <c r="F42">
        <f>MONTH(Table1[[#This Row],[Date  (DMY)]])</f>
        <v>1</v>
      </c>
      <c r="G42" s="2"/>
      <c r="L42" s="5"/>
      <c r="M42" s="4">
        <f>M41-Table1[[#This Row],[Debits]]+Table1[[#This Row],[Income]]</f>
        <v>1900</v>
      </c>
      <c r="N42" t="str">
        <f>IF(AND(Table1[[#This Row],[Category]]="pay",NOT(Table1[[#This Row],[Debits]]=0)),"bad","good")</f>
        <v>good</v>
      </c>
      <c r="O42" s="5"/>
    </row>
    <row r="43" spans="6:15" x14ac:dyDescent="0.3">
      <c r="F43">
        <f>MONTH(Table1[[#This Row],[Date  (DMY)]])</f>
        <v>1</v>
      </c>
      <c r="G43" s="2"/>
      <c r="L43" s="5"/>
      <c r="M43" s="4">
        <f>M42-Table1[[#This Row],[Debits]]+Table1[[#This Row],[Income]]</f>
        <v>1900</v>
      </c>
      <c r="N43" t="str">
        <f>IF(AND(Table1[[#This Row],[Category]]="pay",NOT(Table1[[#This Row],[Debits]]=0)),"bad","good")</f>
        <v>good</v>
      </c>
      <c r="O43" s="5"/>
    </row>
    <row r="44" spans="6:15" x14ac:dyDescent="0.3">
      <c r="F44">
        <f>MONTH(Table1[[#This Row],[Date  (DMY)]])</f>
        <v>1</v>
      </c>
      <c r="G44" s="2"/>
      <c r="L44" s="5"/>
      <c r="M44" s="4">
        <f>M43-Table1[[#This Row],[Debits]]+Table1[[#This Row],[Income]]</f>
        <v>1900</v>
      </c>
      <c r="N44" t="str">
        <f>IF(AND(Table1[[#This Row],[Category]]="pay",NOT(Table1[[#This Row],[Debits]]=0)),"bad","good")</f>
        <v>good</v>
      </c>
      <c r="O44" s="5"/>
    </row>
    <row r="45" spans="6:15" x14ac:dyDescent="0.3">
      <c r="F45">
        <f>MONTH(Table1[[#This Row],[Date  (DMY)]])</f>
        <v>1</v>
      </c>
      <c r="G45" s="2"/>
      <c r="L45" s="5"/>
      <c r="M45" s="4">
        <f>M44-Table1[[#This Row],[Debits]]+Table1[[#This Row],[Income]]</f>
        <v>1900</v>
      </c>
      <c r="N45" t="str">
        <f>IF(AND(Table1[[#This Row],[Category]]="pay",NOT(Table1[[#This Row],[Debits]]=0)),"bad","good")</f>
        <v>good</v>
      </c>
      <c r="O45" s="5"/>
    </row>
    <row r="46" spans="6:15" x14ac:dyDescent="0.3">
      <c r="F46">
        <f>MONTH(Table1[[#This Row],[Date  (DMY)]])</f>
        <v>1</v>
      </c>
      <c r="G46" s="2"/>
      <c r="L46" s="5"/>
      <c r="M46" s="4">
        <f>M45-Table1[[#This Row],[Debits]]+Table1[[#This Row],[Income]]</f>
        <v>1900</v>
      </c>
      <c r="N46" t="str">
        <f>IF(AND(Table1[[#This Row],[Category]]="pay",NOT(Table1[[#This Row],[Debits]]=0)),"bad","good")</f>
        <v>good</v>
      </c>
      <c r="O46" s="5"/>
    </row>
    <row r="47" spans="6:15" x14ac:dyDescent="0.3">
      <c r="F47">
        <f>MONTH(Table1[[#This Row],[Date  (DMY)]])</f>
        <v>1</v>
      </c>
      <c r="G47" s="2"/>
      <c r="L47" s="5"/>
      <c r="M47" s="4">
        <f>M46-Table1[[#This Row],[Debits]]+Table1[[#This Row],[Income]]</f>
        <v>1900</v>
      </c>
      <c r="N47" t="str">
        <f>IF(AND(Table1[[#This Row],[Category]]="pay",NOT(Table1[[#This Row],[Debits]]=0)),"bad","good")</f>
        <v>good</v>
      </c>
      <c r="O47" s="5"/>
    </row>
    <row r="48" spans="6:15" x14ac:dyDescent="0.3">
      <c r="F48">
        <f>MONTH(Table1[[#This Row],[Date  (DMY)]])</f>
        <v>1</v>
      </c>
      <c r="G48" s="2"/>
      <c r="L48" s="5"/>
      <c r="M48" s="4">
        <f>M47-Table1[[#This Row],[Debits]]+Table1[[#This Row],[Income]]</f>
        <v>1900</v>
      </c>
      <c r="N48" t="str">
        <f>IF(AND(Table1[[#This Row],[Category]]="pay",NOT(Table1[[#This Row],[Debits]]=0)),"bad","good")</f>
        <v>good</v>
      </c>
      <c r="O48" s="5"/>
    </row>
    <row r="49" spans="6:15" x14ac:dyDescent="0.3">
      <c r="F49">
        <f>MONTH(Table1[[#This Row],[Date  (DMY)]])</f>
        <v>1</v>
      </c>
      <c r="G49" s="2"/>
      <c r="L49" s="5"/>
      <c r="M49" s="4">
        <f>M48-Table1[[#This Row],[Debits]]+Table1[[#This Row],[Income]]</f>
        <v>1900</v>
      </c>
      <c r="N49" t="str">
        <f>IF(AND(Table1[[#This Row],[Category]]="pay",NOT(Table1[[#This Row],[Debits]]=0)),"bad","good")</f>
        <v>good</v>
      </c>
      <c r="O49" s="5"/>
    </row>
    <row r="50" spans="6:15" x14ac:dyDescent="0.3">
      <c r="F50">
        <f>MONTH(Table1[[#This Row],[Date  (DMY)]])</f>
        <v>1</v>
      </c>
      <c r="G50" s="2"/>
      <c r="L50" s="5"/>
      <c r="M50" s="4">
        <f>M49-Table1[[#This Row],[Debits]]+Table1[[#This Row],[Income]]</f>
        <v>1900</v>
      </c>
      <c r="N50" t="str">
        <f>IF(AND(Table1[[#This Row],[Category]]="pay",NOT(Table1[[#This Row],[Debits]]=0)),"bad","good")</f>
        <v>good</v>
      </c>
      <c r="O50" s="5"/>
    </row>
    <row r="51" spans="6:15" x14ac:dyDescent="0.3">
      <c r="F51">
        <f>MONTH(Table1[[#This Row],[Date  (DMY)]])</f>
        <v>1</v>
      </c>
      <c r="G51" s="2"/>
      <c r="L51" s="5"/>
      <c r="M51" s="4">
        <f>M50-Table1[[#This Row],[Debits]]+Table1[[#This Row],[Income]]</f>
        <v>1900</v>
      </c>
      <c r="N51" t="str">
        <f>IF(AND(Table1[[#This Row],[Category]]="pay",NOT(Table1[[#This Row],[Debits]]=0)),"bad","good")</f>
        <v>good</v>
      </c>
      <c r="O51" s="5"/>
    </row>
    <row r="52" spans="6:15" x14ac:dyDescent="0.3">
      <c r="F52">
        <f>MONTH(Table1[[#This Row],[Date  (DMY)]])</f>
        <v>1</v>
      </c>
      <c r="G52" s="2"/>
      <c r="L52" s="5"/>
      <c r="M52" s="4">
        <f>M51-Table1[[#This Row],[Debits]]+Table1[[#This Row],[Income]]</f>
        <v>1900</v>
      </c>
      <c r="N52" t="str">
        <f>IF(AND(Table1[[#This Row],[Category]]="pay",NOT(Table1[[#This Row],[Debits]]=0)),"bad","good")</f>
        <v>good</v>
      </c>
      <c r="O52" s="5"/>
    </row>
    <row r="53" spans="6:15" x14ac:dyDescent="0.3">
      <c r="F53">
        <f>MONTH(Table1[[#This Row],[Date  (DMY)]])</f>
        <v>1</v>
      </c>
      <c r="G53" s="2"/>
      <c r="L53" s="5"/>
      <c r="M53" s="4">
        <f>M52-Table1[[#This Row],[Debits]]+Table1[[#This Row],[Income]]</f>
        <v>1900</v>
      </c>
      <c r="N53" t="str">
        <f>IF(AND(Table1[[#This Row],[Category]]="pay",NOT(Table1[[#This Row],[Debits]]=0)),"bad","good")</f>
        <v>good</v>
      </c>
      <c r="O53" s="5"/>
    </row>
    <row r="54" spans="6:15" x14ac:dyDescent="0.3">
      <c r="F54">
        <f>MONTH(Table1[[#This Row],[Date  (DMY)]])</f>
        <v>1</v>
      </c>
      <c r="G54" s="2"/>
      <c r="L54" s="5"/>
      <c r="M54" s="4">
        <f>M53-Table1[[#This Row],[Debits]]+Table1[[#This Row],[Income]]</f>
        <v>1900</v>
      </c>
      <c r="N54" t="str">
        <f>IF(AND(Table1[[#This Row],[Category]]="pay",NOT(Table1[[#This Row],[Debits]]=0)),"bad","good")</f>
        <v>good</v>
      </c>
      <c r="O54" s="5"/>
    </row>
    <row r="55" spans="6:15" x14ac:dyDescent="0.3">
      <c r="F55">
        <f>MONTH(Table1[[#This Row],[Date  (DMY)]])</f>
        <v>1</v>
      </c>
      <c r="G55" s="2"/>
      <c r="L55" s="5"/>
      <c r="M55" s="4">
        <f>M54-Table1[[#This Row],[Debits]]+Table1[[#This Row],[Income]]</f>
        <v>1900</v>
      </c>
      <c r="N55" t="str">
        <f>IF(AND(Table1[[#This Row],[Category]]="pay",NOT(Table1[[#This Row],[Debits]]=0)),"bad","good")</f>
        <v>good</v>
      </c>
      <c r="O55" s="5"/>
    </row>
    <row r="56" spans="6:15" x14ac:dyDescent="0.3">
      <c r="F56">
        <f>MONTH(Table1[[#This Row],[Date  (DMY)]])</f>
        <v>1</v>
      </c>
      <c r="G56" s="2"/>
      <c r="L56" s="5"/>
      <c r="M56" s="4">
        <f>M55-Table1[[#This Row],[Debits]]+Table1[[#This Row],[Income]]</f>
        <v>1900</v>
      </c>
      <c r="N56" t="str">
        <f>IF(AND(Table1[[#This Row],[Category]]="pay",NOT(Table1[[#This Row],[Debits]]=0)),"bad","good")</f>
        <v>good</v>
      </c>
      <c r="O56" s="5"/>
    </row>
    <row r="57" spans="6:15" x14ac:dyDescent="0.3">
      <c r="F57">
        <f>MONTH(Table1[[#This Row],[Date  (DMY)]])</f>
        <v>1</v>
      </c>
      <c r="G57" s="2"/>
      <c r="L57" s="5"/>
      <c r="M57" s="4">
        <f>M56-Table1[[#This Row],[Debits]]+Table1[[#This Row],[Income]]</f>
        <v>1900</v>
      </c>
      <c r="N57" t="str">
        <f>IF(AND(Table1[[#This Row],[Category]]="pay",NOT(Table1[[#This Row],[Debits]]=0)),"bad","good")</f>
        <v>good</v>
      </c>
      <c r="O57" s="5"/>
    </row>
    <row r="58" spans="6:15" x14ac:dyDescent="0.3">
      <c r="F58">
        <f>MONTH(Table1[[#This Row],[Date  (DMY)]])</f>
        <v>1</v>
      </c>
      <c r="G58" s="2"/>
      <c r="L58" s="5"/>
      <c r="M58" s="4">
        <f>M57-Table1[[#This Row],[Debits]]+Table1[[#This Row],[Income]]</f>
        <v>1900</v>
      </c>
      <c r="N58" t="str">
        <f>IF(AND(Table1[[#This Row],[Category]]="pay",NOT(Table1[[#This Row],[Debits]]=0)),"bad","good")</f>
        <v>good</v>
      </c>
      <c r="O58" s="5"/>
    </row>
    <row r="59" spans="6:15" x14ac:dyDescent="0.3">
      <c r="F59">
        <f>MONTH(Table1[[#This Row],[Date  (DMY)]])</f>
        <v>1</v>
      </c>
      <c r="G59" s="2"/>
      <c r="L59" s="5"/>
      <c r="M59" s="4">
        <f>M58-Table1[[#This Row],[Debits]]+Table1[[#This Row],[Income]]</f>
        <v>1900</v>
      </c>
      <c r="N59" t="str">
        <f>IF(AND(Table1[[#This Row],[Category]]="pay",NOT(Table1[[#This Row],[Debits]]=0)),"bad","good")</f>
        <v>good</v>
      </c>
      <c r="O59" s="5"/>
    </row>
    <row r="60" spans="6:15" x14ac:dyDescent="0.3">
      <c r="F60">
        <f>MONTH(Table1[[#This Row],[Date  (DMY)]])</f>
        <v>1</v>
      </c>
      <c r="G60" s="2"/>
      <c r="L60" s="5"/>
      <c r="M60" s="4">
        <f>M59-Table1[[#This Row],[Debits]]+Table1[[#This Row],[Income]]</f>
        <v>1900</v>
      </c>
      <c r="N60" t="str">
        <f>IF(AND(Table1[[#This Row],[Category]]="pay",NOT(Table1[[#This Row],[Debits]]=0)),"bad","good")</f>
        <v>good</v>
      </c>
      <c r="O60" s="5"/>
    </row>
    <row r="61" spans="6:15" x14ac:dyDescent="0.3">
      <c r="F61">
        <f>MONTH(Table1[[#This Row],[Date  (DMY)]])</f>
        <v>1</v>
      </c>
      <c r="G61" s="2"/>
      <c r="L61" s="5"/>
      <c r="M61" s="4">
        <f>M60-Table1[[#This Row],[Debits]]+Table1[[#This Row],[Income]]</f>
        <v>1900</v>
      </c>
      <c r="N61" t="str">
        <f>IF(AND(Table1[[#This Row],[Category]]="pay",NOT(Table1[[#This Row],[Debits]]=0)),"bad","good")</f>
        <v>good</v>
      </c>
      <c r="O61" s="5"/>
    </row>
    <row r="62" spans="6:15" x14ac:dyDescent="0.3">
      <c r="F62">
        <f>MONTH(Table1[[#This Row],[Date  (DMY)]])</f>
        <v>1</v>
      </c>
      <c r="G62" s="2"/>
      <c r="L62" s="5"/>
      <c r="M62" s="4">
        <f>M61-Table1[[#This Row],[Debits]]+Table1[[#This Row],[Income]]</f>
        <v>1900</v>
      </c>
      <c r="N62" t="str">
        <f>IF(AND(Table1[[#This Row],[Category]]="pay",NOT(Table1[[#This Row],[Debits]]=0)),"bad","good")</f>
        <v>good</v>
      </c>
      <c r="O62" s="5"/>
    </row>
    <row r="63" spans="6:15" x14ac:dyDescent="0.3">
      <c r="F63">
        <f>MONTH(Table1[[#This Row],[Date  (DMY)]])</f>
        <v>1</v>
      </c>
      <c r="G63" s="2"/>
      <c r="L63" s="5"/>
      <c r="M63" s="4">
        <f>M62-Table1[[#This Row],[Debits]]+Table1[[#This Row],[Income]]</f>
        <v>1900</v>
      </c>
      <c r="N63" t="str">
        <f>IF(AND(Table1[[#This Row],[Category]]="pay",NOT(Table1[[#This Row],[Debits]]=0)),"bad","good")</f>
        <v>good</v>
      </c>
      <c r="O63" s="5"/>
    </row>
    <row r="64" spans="6:15" x14ac:dyDescent="0.3">
      <c r="F64">
        <f>MONTH(Table1[[#This Row],[Date  (DMY)]])</f>
        <v>1</v>
      </c>
      <c r="G64" s="2"/>
      <c r="L64" s="5"/>
      <c r="M64" s="4">
        <f>M63-Table1[[#This Row],[Debits]]+Table1[[#This Row],[Income]]</f>
        <v>1900</v>
      </c>
      <c r="N64" t="str">
        <f>IF(AND(Table1[[#This Row],[Category]]="pay",NOT(Table1[[#This Row],[Debits]]=0)),"bad","good")</f>
        <v>good</v>
      </c>
      <c r="O64" s="5"/>
    </row>
    <row r="65" spans="6:15" x14ac:dyDescent="0.3">
      <c r="F65">
        <f>MONTH(Table1[[#This Row],[Date  (DMY)]])</f>
        <v>1</v>
      </c>
      <c r="G65" s="2"/>
      <c r="L65" s="5"/>
      <c r="M65" s="4">
        <f>M64-Table1[[#This Row],[Debits]]+Table1[[#This Row],[Income]]</f>
        <v>1900</v>
      </c>
      <c r="N65" t="str">
        <f>IF(AND(Table1[[#This Row],[Category]]="pay",NOT(Table1[[#This Row],[Debits]]=0)),"bad","good")</f>
        <v>good</v>
      </c>
      <c r="O65" s="5"/>
    </row>
    <row r="66" spans="6:15" x14ac:dyDescent="0.3">
      <c r="F66">
        <f>MONTH(Table1[[#This Row],[Date  (DMY)]])</f>
        <v>1</v>
      </c>
      <c r="G66" s="2"/>
      <c r="L66" s="5"/>
      <c r="M66" s="4">
        <f>M65-Table1[[#This Row],[Debits]]+Table1[[#This Row],[Income]]</f>
        <v>1900</v>
      </c>
      <c r="N66" t="str">
        <f>IF(AND(Table1[[#This Row],[Category]]="pay",NOT(Table1[[#This Row],[Debits]]=0)),"bad","good")</f>
        <v>good</v>
      </c>
      <c r="O66" s="5"/>
    </row>
    <row r="67" spans="6:15" x14ac:dyDescent="0.3">
      <c r="F67">
        <f>MONTH(Table1[[#This Row],[Date  (DMY)]])</f>
        <v>1</v>
      </c>
      <c r="G67" s="2"/>
      <c r="L67" s="5"/>
      <c r="M67" s="4">
        <f>M66-Table1[[#This Row],[Debits]]+Table1[[#This Row],[Income]]</f>
        <v>1900</v>
      </c>
      <c r="N67" t="str">
        <f>IF(AND(Table1[[#This Row],[Category]]="pay",NOT(Table1[[#This Row],[Debits]]=0)),"bad","good")</f>
        <v>good</v>
      </c>
      <c r="O67" s="5"/>
    </row>
    <row r="68" spans="6:15" x14ac:dyDescent="0.3">
      <c r="F68">
        <f>MONTH(Table1[[#This Row],[Date  (DMY)]])</f>
        <v>1</v>
      </c>
      <c r="G68" s="2"/>
      <c r="L68" s="5"/>
      <c r="M68" s="4">
        <f>M67-Table1[[#This Row],[Debits]]+Table1[[#This Row],[Income]]</f>
        <v>1900</v>
      </c>
      <c r="N68" t="str">
        <f>IF(AND(Table1[[#This Row],[Category]]="pay",NOT(Table1[[#This Row],[Debits]]=0)),"bad","good")</f>
        <v>good</v>
      </c>
      <c r="O68" s="5"/>
    </row>
    <row r="69" spans="6:15" x14ac:dyDescent="0.3">
      <c r="F69">
        <f>MONTH(Table1[[#This Row],[Date  (DMY)]])</f>
        <v>1</v>
      </c>
      <c r="G69" s="2"/>
      <c r="L69" s="5"/>
      <c r="M69" s="4">
        <f>M68-Table1[[#This Row],[Debits]]+Table1[[#This Row],[Income]]</f>
        <v>1900</v>
      </c>
      <c r="N69" t="str">
        <f>IF(AND(Table1[[#This Row],[Category]]="pay",NOT(Table1[[#This Row],[Debits]]=0)),"bad","good")</f>
        <v>good</v>
      </c>
      <c r="O69" s="5"/>
    </row>
    <row r="70" spans="6:15" x14ac:dyDescent="0.3">
      <c r="F70">
        <f>MONTH(Table1[[#This Row],[Date  (DMY)]])</f>
        <v>1</v>
      </c>
      <c r="G70" s="2"/>
      <c r="L70" s="5"/>
      <c r="M70" s="4">
        <f>M69-Table1[[#This Row],[Debits]]+Table1[[#This Row],[Income]]</f>
        <v>1900</v>
      </c>
      <c r="N70" t="str">
        <f>IF(AND(Table1[[#This Row],[Category]]="pay",NOT(Table1[[#This Row],[Debits]]=0)),"bad","good")</f>
        <v>good</v>
      </c>
      <c r="O70" s="5"/>
    </row>
    <row r="71" spans="6:15" x14ac:dyDescent="0.3">
      <c r="F71">
        <f>MONTH(Table1[[#This Row],[Date  (DMY)]])</f>
        <v>1</v>
      </c>
      <c r="G71" s="2"/>
      <c r="L71" s="5"/>
      <c r="M71" s="4">
        <f>M70-Table1[[#This Row],[Debits]]+Table1[[#This Row],[Income]]</f>
        <v>1900</v>
      </c>
      <c r="N71" t="str">
        <f>IF(AND(Table1[[#This Row],[Category]]="pay",NOT(Table1[[#This Row],[Debits]]=0)),"bad","good")</f>
        <v>good</v>
      </c>
      <c r="O71" s="5"/>
    </row>
    <row r="72" spans="6:15" x14ac:dyDescent="0.3">
      <c r="F72">
        <f>MONTH(Table1[[#This Row],[Date  (DMY)]])</f>
        <v>1</v>
      </c>
      <c r="G72" s="2"/>
      <c r="L72" s="5"/>
      <c r="M72" s="4">
        <f>M71-Table1[[#This Row],[Debits]]+Table1[[#This Row],[Income]]</f>
        <v>1900</v>
      </c>
      <c r="N72" t="str">
        <f>IF(AND(Table1[[#This Row],[Category]]="pay",NOT(Table1[[#This Row],[Debits]]=0)),"bad","good")</f>
        <v>good</v>
      </c>
      <c r="O72" s="5"/>
    </row>
    <row r="73" spans="6:15" x14ac:dyDescent="0.3">
      <c r="F73">
        <f>MONTH(Table1[[#This Row],[Date  (DMY)]])</f>
        <v>1</v>
      </c>
      <c r="G73" s="2"/>
      <c r="L73" s="5"/>
      <c r="M73" s="4">
        <f>M72-Table1[[#This Row],[Debits]]+Table1[[#This Row],[Income]]</f>
        <v>1900</v>
      </c>
      <c r="N73" t="str">
        <f>IF(AND(Table1[[#This Row],[Category]]="pay",NOT(Table1[[#This Row],[Debits]]=0)),"bad","good")</f>
        <v>good</v>
      </c>
      <c r="O73" s="5"/>
    </row>
    <row r="74" spans="6:15" x14ac:dyDescent="0.3">
      <c r="F74">
        <f>MONTH(Table1[[#This Row],[Date  (DMY)]])</f>
        <v>1</v>
      </c>
      <c r="G74" s="2"/>
      <c r="L74" s="5"/>
      <c r="M74" s="4">
        <f>M73-Table1[[#This Row],[Debits]]+Table1[[#This Row],[Income]]</f>
        <v>1900</v>
      </c>
      <c r="N74" t="str">
        <f>IF(AND(Table1[[#This Row],[Category]]="pay",NOT(Table1[[#This Row],[Debits]]=0)),"bad","good")</f>
        <v>good</v>
      </c>
      <c r="O74" s="5"/>
    </row>
    <row r="75" spans="6:15" x14ac:dyDescent="0.3">
      <c r="F75">
        <f>MONTH(Table1[[#This Row],[Date  (DMY)]])</f>
        <v>1</v>
      </c>
      <c r="G75" s="2"/>
      <c r="L75" s="5"/>
      <c r="M75" s="4">
        <f>M74-Table1[[#This Row],[Debits]]+Table1[[#This Row],[Income]]</f>
        <v>1900</v>
      </c>
      <c r="N75" t="str">
        <f>IF(AND(Table1[[#This Row],[Category]]="pay",NOT(Table1[[#This Row],[Debits]]=0)),"bad","good")</f>
        <v>good</v>
      </c>
      <c r="O75" s="5"/>
    </row>
    <row r="76" spans="6:15" x14ac:dyDescent="0.3">
      <c r="F76">
        <f>MONTH(Table1[[#This Row],[Date  (DMY)]])</f>
        <v>1</v>
      </c>
      <c r="G76" s="2"/>
      <c r="L76" s="5"/>
      <c r="M76" s="4">
        <f>M75-Table1[[#This Row],[Debits]]+Table1[[#This Row],[Income]]</f>
        <v>1900</v>
      </c>
      <c r="N76" t="str">
        <f>IF(AND(Table1[[#This Row],[Category]]="pay",NOT(Table1[[#This Row],[Debits]]=0)),"bad","good")</f>
        <v>good</v>
      </c>
      <c r="O76" s="5"/>
    </row>
    <row r="77" spans="6:15" x14ac:dyDescent="0.3">
      <c r="F77">
        <f>MONTH(Table1[[#This Row],[Date  (DMY)]])</f>
        <v>1</v>
      </c>
      <c r="G77" s="2"/>
      <c r="L77" s="5"/>
      <c r="M77" s="4">
        <f>M76-Table1[[#This Row],[Debits]]+Table1[[#This Row],[Income]]</f>
        <v>1900</v>
      </c>
      <c r="N77" t="str">
        <f>IF(AND(Table1[[#This Row],[Category]]="pay",NOT(Table1[[#This Row],[Debits]]=0)),"bad","good")</f>
        <v>good</v>
      </c>
      <c r="O77" s="5"/>
    </row>
    <row r="78" spans="6:15" x14ac:dyDescent="0.3">
      <c r="F78">
        <f>MONTH(Table1[[#This Row],[Date  (DMY)]])</f>
        <v>1</v>
      </c>
      <c r="G78" s="2"/>
      <c r="L78" s="5"/>
      <c r="M78" s="4">
        <f>M77-Table1[[#This Row],[Debits]]+Table1[[#This Row],[Income]]</f>
        <v>1900</v>
      </c>
      <c r="N78" t="str">
        <f>IF(AND(Table1[[#This Row],[Category]]="pay",NOT(Table1[[#This Row],[Debits]]=0)),"bad","good")</f>
        <v>good</v>
      </c>
      <c r="O78" s="5"/>
    </row>
    <row r="79" spans="6:15" x14ac:dyDescent="0.3">
      <c r="F79">
        <f>MONTH(Table1[[#This Row],[Date  (DMY)]])</f>
        <v>1</v>
      </c>
      <c r="G79" s="2"/>
      <c r="L79" s="5"/>
      <c r="M79" s="4">
        <f>M78-Table1[[#This Row],[Debits]]+Table1[[#This Row],[Income]]</f>
        <v>1900</v>
      </c>
      <c r="N79" t="str">
        <f>IF(AND(Table1[[#This Row],[Category]]="pay",NOT(Table1[[#This Row],[Debits]]=0)),"bad","good")</f>
        <v>good</v>
      </c>
      <c r="O79" s="5"/>
    </row>
    <row r="80" spans="6:15" x14ac:dyDescent="0.3">
      <c r="F80">
        <f>MONTH(Table1[[#This Row],[Date  (DMY)]])</f>
        <v>1</v>
      </c>
      <c r="G80" s="2"/>
      <c r="L80" s="5"/>
      <c r="M80" s="4">
        <f>M79-Table1[[#This Row],[Debits]]+Table1[[#This Row],[Income]]</f>
        <v>1900</v>
      </c>
      <c r="N80" t="str">
        <f>IF(AND(Table1[[#This Row],[Category]]="pay",NOT(Table1[[#This Row],[Debits]]=0)),"bad","good")</f>
        <v>good</v>
      </c>
      <c r="O80" s="5"/>
    </row>
    <row r="81" spans="6:15" x14ac:dyDescent="0.3">
      <c r="F81">
        <f>MONTH(Table1[[#This Row],[Date  (DMY)]])</f>
        <v>1</v>
      </c>
      <c r="G81" s="2"/>
      <c r="L81" s="5"/>
      <c r="M81" s="4">
        <f>M80-Table1[[#This Row],[Debits]]+Table1[[#This Row],[Income]]</f>
        <v>1900</v>
      </c>
      <c r="N81" t="str">
        <f>IF(AND(Table1[[#This Row],[Category]]="pay",NOT(Table1[[#This Row],[Debits]]=0)),"bad","good")</f>
        <v>good</v>
      </c>
      <c r="O81" s="5"/>
    </row>
    <row r="82" spans="6:15" x14ac:dyDescent="0.3">
      <c r="F82">
        <f>MONTH(Table1[[#This Row],[Date  (DMY)]])</f>
        <v>1</v>
      </c>
      <c r="G82" s="2"/>
      <c r="L82" s="5"/>
      <c r="M82" s="4">
        <f>M81-Table1[[#This Row],[Debits]]+Table1[[#This Row],[Income]]</f>
        <v>1900</v>
      </c>
      <c r="N82" t="str">
        <f>IF(AND(Table1[[#This Row],[Category]]="pay",NOT(Table1[[#This Row],[Debits]]=0)),"bad","good")</f>
        <v>good</v>
      </c>
      <c r="O82" s="5"/>
    </row>
    <row r="83" spans="6:15" x14ac:dyDescent="0.3">
      <c r="F83">
        <f>MONTH(Table1[[#This Row],[Date  (DMY)]])</f>
        <v>1</v>
      </c>
      <c r="G83" s="2"/>
      <c r="L83" s="5"/>
      <c r="M83" s="4">
        <f>M82-Table1[[#This Row],[Debits]]+Table1[[#This Row],[Income]]</f>
        <v>1900</v>
      </c>
      <c r="N83" t="str">
        <f>IF(AND(Table1[[#This Row],[Category]]="pay",NOT(Table1[[#This Row],[Debits]]=0)),"bad","good")</f>
        <v>good</v>
      </c>
      <c r="O83" s="5"/>
    </row>
    <row r="84" spans="6:15" x14ac:dyDescent="0.3">
      <c r="F84">
        <f>MONTH(Table1[[#This Row],[Date  (DMY)]])</f>
        <v>1</v>
      </c>
      <c r="G84" s="2"/>
      <c r="L84" s="5"/>
      <c r="M84" s="4">
        <f>M83-Table1[[#This Row],[Debits]]+Table1[[#This Row],[Income]]</f>
        <v>1900</v>
      </c>
      <c r="N84" t="str">
        <f>IF(AND(Table1[[#This Row],[Category]]="pay",NOT(Table1[[#This Row],[Debits]]=0)),"bad","good")</f>
        <v>good</v>
      </c>
      <c r="O84" s="5"/>
    </row>
    <row r="85" spans="6:15" x14ac:dyDescent="0.3">
      <c r="F85">
        <f>MONTH(Table1[[#This Row],[Date  (DMY)]])</f>
        <v>1</v>
      </c>
      <c r="G85" s="2"/>
      <c r="L85" s="5"/>
      <c r="M85" s="4">
        <f>M84-Table1[[#This Row],[Debits]]+Table1[[#This Row],[Income]]</f>
        <v>1900</v>
      </c>
      <c r="N85" t="str">
        <f>IF(AND(Table1[[#This Row],[Category]]="pay",NOT(Table1[[#This Row],[Debits]]=0)),"bad","good")</f>
        <v>good</v>
      </c>
      <c r="O85" s="5"/>
    </row>
    <row r="86" spans="6:15" x14ac:dyDescent="0.3">
      <c r="F86">
        <f>MONTH(Table1[[#This Row],[Date  (DMY)]])</f>
        <v>1</v>
      </c>
      <c r="G86" s="2"/>
      <c r="L86" s="5"/>
      <c r="M86" s="4">
        <f>M85-Table1[[#This Row],[Debits]]+Table1[[#This Row],[Income]]</f>
        <v>1900</v>
      </c>
      <c r="N86" t="str">
        <f>IF(AND(Table1[[#This Row],[Category]]="pay",NOT(Table1[[#This Row],[Debits]]=0)),"bad","good")</f>
        <v>good</v>
      </c>
      <c r="O86" s="5"/>
    </row>
    <row r="87" spans="6:15" x14ac:dyDescent="0.3">
      <c r="F87">
        <f>MONTH(Table1[[#This Row],[Date  (DMY)]])</f>
        <v>1</v>
      </c>
      <c r="G87" s="2"/>
      <c r="L87" s="5"/>
      <c r="M87" s="4">
        <f>M86-Table1[[#This Row],[Debits]]+Table1[[#This Row],[Income]]</f>
        <v>1900</v>
      </c>
      <c r="N87" t="str">
        <f>IF(AND(Table1[[#This Row],[Category]]="pay",NOT(Table1[[#This Row],[Debits]]=0)),"bad","good")</f>
        <v>good</v>
      </c>
      <c r="O87" s="5"/>
    </row>
    <row r="88" spans="6:15" x14ac:dyDescent="0.3">
      <c r="F88">
        <f>MONTH(Table1[[#This Row],[Date  (DMY)]])</f>
        <v>1</v>
      </c>
      <c r="G88" s="2"/>
      <c r="L88" s="5"/>
      <c r="M88" s="4">
        <f>M87-Table1[[#This Row],[Debits]]+Table1[[#This Row],[Income]]</f>
        <v>1900</v>
      </c>
      <c r="N88" t="str">
        <f>IF(AND(Table1[[#This Row],[Category]]="pay",NOT(Table1[[#This Row],[Debits]]=0)),"bad","good")</f>
        <v>good</v>
      </c>
      <c r="O88" s="5"/>
    </row>
    <row r="89" spans="6:15" x14ac:dyDescent="0.3">
      <c r="F89">
        <f>MONTH(Table1[[#This Row],[Date  (DMY)]])</f>
        <v>1</v>
      </c>
      <c r="G89" s="2"/>
      <c r="L89" s="5"/>
      <c r="M89" s="4">
        <f>M88-Table1[[#This Row],[Debits]]+Table1[[#This Row],[Income]]</f>
        <v>1900</v>
      </c>
      <c r="N89" t="str">
        <f>IF(AND(Table1[[#This Row],[Category]]="pay",NOT(Table1[[#This Row],[Debits]]=0)),"bad","good")</f>
        <v>good</v>
      </c>
      <c r="O89" s="5"/>
    </row>
    <row r="90" spans="6:15" x14ac:dyDescent="0.3">
      <c r="F90">
        <f>MONTH(Table1[[#This Row],[Date  (DMY)]])</f>
        <v>1</v>
      </c>
      <c r="G90" s="2"/>
      <c r="L90" s="5"/>
      <c r="M90" s="4">
        <f>M89-Table1[[#This Row],[Debits]]+Table1[[#This Row],[Income]]</f>
        <v>1900</v>
      </c>
      <c r="N90" t="str">
        <f>IF(AND(Table1[[#This Row],[Category]]="pay",NOT(Table1[[#This Row],[Debits]]=0)),"bad","good")</f>
        <v>good</v>
      </c>
      <c r="O90" s="5"/>
    </row>
    <row r="91" spans="6:15" x14ac:dyDescent="0.3">
      <c r="F91">
        <f>MONTH(Table1[[#This Row],[Date  (DMY)]])</f>
        <v>1</v>
      </c>
      <c r="G91" s="2"/>
      <c r="L91" s="5"/>
      <c r="M91" s="4">
        <f>M90-Table1[[#This Row],[Debits]]+Table1[[#This Row],[Income]]</f>
        <v>1900</v>
      </c>
      <c r="N91" t="str">
        <f>IF(AND(Table1[[#This Row],[Category]]="pay",NOT(Table1[[#This Row],[Debits]]=0)),"bad","good")</f>
        <v>good</v>
      </c>
      <c r="O91" s="5"/>
    </row>
    <row r="92" spans="6:15" x14ac:dyDescent="0.3">
      <c r="F92">
        <f>MONTH(Table1[[#This Row],[Date  (DMY)]])</f>
        <v>1</v>
      </c>
      <c r="G92" s="2"/>
      <c r="L92" s="5"/>
      <c r="M92" s="4">
        <f>M91-Table1[[#This Row],[Debits]]+Table1[[#This Row],[Income]]</f>
        <v>1900</v>
      </c>
      <c r="N92" t="str">
        <f>IF(AND(Table1[[#This Row],[Category]]="pay",NOT(Table1[[#This Row],[Debits]]=0)),"bad","good")</f>
        <v>good</v>
      </c>
      <c r="O92" s="5"/>
    </row>
    <row r="93" spans="6:15" x14ac:dyDescent="0.3">
      <c r="F93">
        <f>MONTH(Table1[[#This Row],[Date  (DMY)]])</f>
        <v>1</v>
      </c>
      <c r="G93" s="2"/>
      <c r="L93" s="5"/>
      <c r="M93" s="4">
        <f>M92-Table1[[#This Row],[Debits]]+Table1[[#This Row],[Income]]</f>
        <v>1900</v>
      </c>
      <c r="N93" t="str">
        <f>IF(AND(Table1[[#This Row],[Category]]="pay",NOT(Table1[[#This Row],[Debits]]=0)),"bad","good")</f>
        <v>good</v>
      </c>
      <c r="O93" s="5"/>
    </row>
    <row r="94" spans="6:15" x14ac:dyDescent="0.3">
      <c r="F94">
        <f>MONTH(Table1[[#This Row],[Date  (DMY)]])</f>
        <v>1</v>
      </c>
      <c r="G94" s="2"/>
      <c r="L94" s="5"/>
      <c r="M94" s="4">
        <f>M93-Table1[[#This Row],[Debits]]+Table1[[#This Row],[Income]]</f>
        <v>1900</v>
      </c>
      <c r="N94" t="str">
        <f>IF(AND(Table1[[#This Row],[Category]]="pay",NOT(Table1[[#This Row],[Debits]]=0)),"bad","good")</f>
        <v>good</v>
      </c>
      <c r="O94" s="5"/>
    </row>
    <row r="95" spans="6:15" x14ac:dyDescent="0.3">
      <c r="F95">
        <f>MONTH(Table1[[#This Row],[Date  (DMY)]])</f>
        <v>1</v>
      </c>
      <c r="G95" s="2"/>
      <c r="L95" s="5"/>
      <c r="M95" s="4">
        <f>M94-Table1[[#This Row],[Debits]]+Table1[[#This Row],[Income]]</f>
        <v>1900</v>
      </c>
      <c r="N95" t="str">
        <f>IF(AND(Table1[[#This Row],[Category]]="pay",NOT(Table1[[#This Row],[Debits]]=0)),"bad","good")</f>
        <v>good</v>
      </c>
      <c r="O95" s="5"/>
    </row>
    <row r="96" spans="6:15" x14ac:dyDescent="0.3">
      <c r="F96">
        <f>MONTH(Table1[[#This Row],[Date  (DMY)]])</f>
        <v>1</v>
      </c>
      <c r="G96" s="2"/>
      <c r="L96" s="5"/>
      <c r="M96" s="4">
        <f>M95-Table1[[#This Row],[Debits]]+Table1[[#This Row],[Income]]</f>
        <v>1900</v>
      </c>
      <c r="N96" t="str">
        <f>IF(AND(Table1[[#This Row],[Category]]="pay",NOT(Table1[[#This Row],[Debits]]=0)),"bad","good")</f>
        <v>good</v>
      </c>
      <c r="O96" s="5"/>
    </row>
    <row r="97" spans="6:15" x14ac:dyDescent="0.3">
      <c r="F97">
        <f>MONTH(Table1[[#This Row],[Date  (DMY)]])</f>
        <v>1</v>
      </c>
      <c r="G97" s="2"/>
      <c r="L97" s="5"/>
      <c r="M97" s="4">
        <f>M96-Table1[[#This Row],[Debits]]+Table1[[#This Row],[Income]]</f>
        <v>1900</v>
      </c>
      <c r="N97" t="str">
        <f>IF(AND(Table1[[#This Row],[Category]]="pay",NOT(Table1[[#This Row],[Debits]]=0)),"bad","good")</f>
        <v>good</v>
      </c>
      <c r="O97" s="5"/>
    </row>
    <row r="98" spans="6:15" x14ac:dyDescent="0.3">
      <c r="F98">
        <f>MONTH(Table1[[#This Row],[Date  (DMY)]])</f>
        <v>1</v>
      </c>
      <c r="G98" s="2"/>
      <c r="L98" s="5"/>
      <c r="M98" s="4">
        <f>M97-Table1[[#This Row],[Debits]]+Table1[[#This Row],[Income]]</f>
        <v>1900</v>
      </c>
      <c r="N98" t="str">
        <f>IF(AND(Table1[[#This Row],[Category]]="pay",NOT(Table1[[#This Row],[Debits]]=0)),"bad","good")</f>
        <v>good</v>
      </c>
      <c r="O98" s="5"/>
    </row>
    <row r="99" spans="6:15" x14ac:dyDescent="0.3">
      <c r="F99">
        <f>MONTH(Table1[[#This Row],[Date  (DMY)]])</f>
        <v>1</v>
      </c>
      <c r="G99" s="2"/>
      <c r="L99" s="5"/>
      <c r="M99" s="4">
        <f>M98-Table1[[#This Row],[Debits]]+Table1[[#This Row],[Income]]</f>
        <v>1900</v>
      </c>
      <c r="N99" t="str">
        <f>IF(AND(Table1[[#This Row],[Category]]="pay",NOT(Table1[[#This Row],[Debits]]=0)),"bad","good")</f>
        <v>good</v>
      </c>
      <c r="O99" s="5"/>
    </row>
    <row r="100" spans="6:15" x14ac:dyDescent="0.3">
      <c r="F100">
        <f>MONTH(Table1[[#This Row],[Date  (DMY)]])</f>
        <v>1</v>
      </c>
      <c r="G100" s="2"/>
      <c r="L100" s="5"/>
      <c r="M100" s="4">
        <f>M99-Table1[[#This Row],[Debits]]+Table1[[#This Row],[Income]]</f>
        <v>1900</v>
      </c>
      <c r="N100" t="str">
        <f>IF(AND(Table1[[#This Row],[Category]]="pay",NOT(Table1[[#This Row],[Debits]]=0)),"bad","good")</f>
        <v>good</v>
      </c>
      <c r="O100" s="5"/>
    </row>
    <row r="101" spans="6:15" x14ac:dyDescent="0.3">
      <c r="F101">
        <f>MONTH(Table1[[#This Row],[Date  (DMY)]])</f>
        <v>1</v>
      </c>
      <c r="G101" s="2"/>
      <c r="L101" s="5"/>
      <c r="M101" s="4">
        <f>M100-Table1[[#This Row],[Debits]]+Table1[[#This Row],[Income]]</f>
        <v>1900</v>
      </c>
      <c r="N101" t="str">
        <f>IF(AND(Table1[[#This Row],[Category]]="pay",NOT(Table1[[#This Row],[Debits]]=0)),"bad","good")</f>
        <v>good</v>
      </c>
      <c r="O101" s="5"/>
    </row>
    <row r="102" spans="6:15" x14ac:dyDescent="0.3">
      <c r="F102">
        <f>MONTH(Table1[[#This Row],[Date  (DMY)]])</f>
        <v>1</v>
      </c>
      <c r="G102" s="2"/>
      <c r="L102" s="5"/>
      <c r="M102" s="4">
        <f>M101-Table1[[#This Row],[Debits]]+Table1[[#This Row],[Income]]</f>
        <v>1900</v>
      </c>
      <c r="N102" t="str">
        <f>IF(AND(Table1[[#This Row],[Category]]="pay",NOT(Table1[[#This Row],[Debits]]=0)),"bad","good")</f>
        <v>good</v>
      </c>
      <c r="O102" s="5"/>
    </row>
    <row r="103" spans="6:15" x14ac:dyDescent="0.3">
      <c r="F103">
        <f>MONTH(Table1[[#This Row],[Date  (DMY)]])</f>
        <v>1</v>
      </c>
      <c r="G103" s="2"/>
      <c r="L103" s="5"/>
      <c r="M103" s="4">
        <f>M102-Table1[[#This Row],[Debits]]+Table1[[#This Row],[Income]]</f>
        <v>1900</v>
      </c>
      <c r="N103" t="str">
        <f>IF(AND(Table1[[#This Row],[Category]]="pay",NOT(Table1[[#This Row],[Debits]]=0)),"bad","good")</f>
        <v>good</v>
      </c>
      <c r="O103" s="5"/>
    </row>
    <row r="104" spans="6:15" x14ac:dyDescent="0.3">
      <c r="F104">
        <f>MONTH(Table1[[#This Row],[Date  (DMY)]])</f>
        <v>1</v>
      </c>
      <c r="G104" s="2"/>
      <c r="L104" s="5"/>
      <c r="M104" s="4">
        <f>M103-Table1[[#This Row],[Debits]]+Table1[[#This Row],[Income]]</f>
        <v>1900</v>
      </c>
      <c r="N104" t="str">
        <f>IF(AND(Table1[[#This Row],[Category]]="pay",NOT(Table1[[#This Row],[Debits]]=0)),"bad","good")</f>
        <v>good</v>
      </c>
      <c r="O104" s="5"/>
    </row>
    <row r="105" spans="6:15" x14ac:dyDescent="0.3">
      <c r="F105">
        <f>MONTH(Table1[[#This Row],[Date  (DMY)]])</f>
        <v>1</v>
      </c>
      <c r="G105" s="2"/>
      <c r="L105" s="5"/>
      <c r="M105" s="4">
        <f>M104-Table1[[#This Row],[Debits]]+Table1[[#This Row],[Income]]</f>
        <v>1900</v>
      </c>
      <c r="N105" t="str">
        <f>IF(AND(Table1[[#This Row],[Category]]="pay",NOT(Table1[[#This Row],[Debits]]=0)),"bad","good")</f>
        <v>good</v>
      </c>
      <c r="O105" s="5"/>
    </row>
    <row r="106" spans="6:15" x14ac:dyDescent="0.3">
      <c r="F106">
        <f>MONTH(Table1[[#This Row],[Date  (DMY)]])</f>
        <v>1</v>
      </c>
      <c r="G106" s="2"/>
      <c r="L106" s="5"/>
      <c r="M106" s="4">
        <f>M105-Table1[[#This Row],[Debits]]+Table1[[#This Row],[Income]]</f>
        <v>1900</v>
      </c>
      <c r="N106" t="str">
        <f>IF(AND(Table1[[#This Row],[Category]]="pay",NOT(Table1[[#This Row],[Debits]]=0)),"bad","good")</f>
        <v>good</v>
      </c>
      <c r="O106" s="5"/>
    </row>
    <row r="107" spans="6:15" x14ac:dyDescent="0.3">
      <c r="F107">
        <f>MONTH(Table1[[#This Row],[Date  (DMY)]])</f>
        <v>1</v>
      </c>
      <c r="G107" s="2"/>
      <c r="L107" s="5"/>
      <c r="M107" s="4">
        <f>M106-Table1[[#This Row],[Debits]]+Table1[[#This Row],[Income]]</f>
        <v>1900</v>
      </c>
      <c r="N107" t="str">
        <f>IF(AND(Table1[[#This Row],[Category]]="pay",NOT(Table1[[#This Row],[Debits]]=0)),"bad","good")</f>
        <v>good</v>
      </c>
      <c r="O107" s="5"/>
    </row>
    <row r="108" spans="6:15" x14ac:dyDescent="0.3">
      <c r="F108">
        <f>MONTH(Table1[[#This Row],[Date  (DMY)]])</f>
        <v>1</v>
      </c>
      <c r="G108" s="2"/>
      <c r="L108" s="5"/>
      <c r="M108" s="4">
        <f>M107-Table1[[#This Row],[Debits]]+Table1[[#This Row],[Income]]</f>
        <v>1900</v>
      </c>
      <c r="N108" t="str">
        <f>IF(AND(Table1[[#This Row],[Category]]="pay",NOT(Table1[[#This Row],[Debits]]=0)),"bad","good")</f>
        <v>good</v>
      </c>
      <c r="O108" s="5"/>
    </row>
    <row r="109" spans="6:15" x14ac:dyDescent="0.3">
      <c r="F109">
        <f>MONTH(Table1[[#This Row],[Date  (DMY)]])</f>
        <v>1</v>
      </c>
      <c r="G109" s="2"/>
      <c r="L109" s="5"/>
      <c r="M109" s="4">
        <f>M108-Table1[[#This Row],[Debits]]+Table1[[#This Row],[Income]]</f>
        <v>1900</v>
      </c>
      <c r="N109" t="str">
        <f>IF(AND(Table1[[#This Row],[Category]]="pay",NOT(Table1[[#This Row],[Debits]]=0)),"bad","good")</f>
        <v>good</v>
      </c>
      <c r="O109" s="5"/>
    </row>
    <row r="110" spans="6:15" x14ac:dyDescent="0.3">
      <c r="F110">
        <f>MONTH(Table1[[#This Row],[Date  (DMY)]])</f>
        <v>1</v>
      </c>
      <c r="G110" s="2"/>
      <c r="L110" s="5"/>
      <c r="M110" s="4">
        <f>M109-Table1[[#This Row],[Debits]]+Table1[[#This Row],[Income]]</f>
        <v>1900</v>
      </c>
      <c r="N110" t="str">
        <f>IF(AND(Table1[[#This Row],[Category]]="pay",NOT(Table1[[#This Row],[Debits]]=0)),"bad","good")</f>
        <v>good</v>
      </c>
      <c r="O110" s="5"/>
    </row>
    <row r="111" spans="6:15" x14ac:dyDescent="0.3">
      <c r="F111">
        <f>MONTH(Table1[[#This Row],[Date  (DMY)]])</f>
        <v>1</v>
      </c>
      <c r="G111" s="2"/>
      <c r="L111" s="5"/>
      <c r="M111" s="4">
        <f>M110-Table1[[#This Row],[Debits]]+Table1[[#This Row],[Income]]</f>
        <v>1900</v>
      </c>
      <c r="N111" t="str">
        <f>IF(AND(Table1[[#This Row],[Category]]="pay",NOT(Table1[[#This Row],[Debits]]=0)),"bad","good")</f>
        <v>good</v>
      </c>
      <c r="O111" s="5"/>
    </row>
    <row r="112" spans="6:15" x14ac:dyDescent="0.3">
      <c r="F112">
        <f>MONTH(Table1[[#This Row],[Date  (DMY)]])</f>
        <v>1</v>
      </c>
      <c r="G112" s="2"/>
      <c r="L112" s="5"/>
      <c r="M112" s="4">
        <f>M111-Table1[[#This Row],[Debits]]+Table1[[#This Row],[Income]]</f>
        <v>1900</v>
      </c>
      <c r="N112" t="str">
        <f>IF(AND(Table1[[#This Row],[Category]]="pay",NOT(Table1[[#This Row],[Debits]]=0)),"bad","good")</f>
        <v>good</v>
      </c>
      <c r="O112" s="5"/>
    </row>
    <row r="113" spans="6:15" x14ac:dyDescent="0.3">
      <c r="F113">
        <f>MONTH(Table1[[#This Row],[Date  (DMY)]])</f>
        <v>1</v>
      </c>
      <c r="G113" s="2"/>
      <c r="L113" s="5"/>
      <c r="M113" s="4">
        <f>M112-Table1[[#This Row],[Debits]]+Table1[[#This Row],[Income]]</f>
        <v>1900</v>
      </c>
      <c r="N113" t="str">
        <f>IF(AND(Table1[[#This Row],[Category]]="pay",NOT(Table1[[#This Row],[Debits]]=0)),"bad","good")</f>
        <v>good</v>
      </c>
      <c r="O113" s="5"/>
    </row>
    <row r="114" spans="6:15" x14ac:dyDescent="0.3">
      <c r="F114">
        <f>MONTH(Table1[[#This Row],[Date  (DMY)]])</f>
        <v>1</v>
      </c>
      <c r="G114" s="2"/>
      <c r="L114" s="5"/>
      <c r="M114" s="4">
        <f>M113-Table1[[#This Row],[Debits]]+Table1[[#This Row],[Income]]</f>
        <v>1900</v>
      </c>
      <c r="N114" t="str">
        <f>IF(AND(Table1[[#This Row],[Category]]="pay",NOT(Table1[[#This Row],[Debits]]=0)),"bad","good")</f>
        <v>good</v>
      </c>
      <c r="O114" s="5"/>
    </row>
    <row r="115" spans="6:15" x14ac:dyDescent="0.3">
      <c r="F115">
        <f>MONTH(Table1[[#This Row],[Date  (DMY)]])</f>
        <v>1</v>
      </c>
      <c r="G115" s="2"/>
      <c r="L115" s="5"/>
      <c r="M115" s="4">
        <f>M114-Table1[[#This Row],[Debits]]+Table1[[#This Row],[Income]]</f>
        <v>1900</v>
      </c>
      <c r="N115" t="str">
        <f>IF(AND(Table1[[#This Row],[Category]]="pay",NOT(Table1[[#This Row],[Debits]]=0)),"bad","good")</f>
        <v>good</v>
      </c>
      <c r="O115" s="5"/>
    </row>
    <row r="116" spans="6:15" x14ac:dyDescent="0.3">
      <c r="F116">
        <f>MONTH(Table1[[#This Row],[Date  (DMY)]])</f>
        <v>1</v>
      </c>
      <c r="G116" s="2"/>
      <c r="L116" s="5"/>
      <c r="M116" s="4">
        <f>M115-Table1[[#This Row],[Debits]]+Table1[[#This Row],[Income]]</f>
        <v>1900</v>
      </c>
      <c r="N116" t="str">
        <f>IF(AND(Table1[[#This Row],[Category]]="pay",NOT(Table1[[#This Row],[Debits]]=0)),"bad","good")</f>
        <v>good</v>
      </c>
      <c r="O116" s="5"/>
    </row>
    <row r="117" spans="6:15" x14ac:dyDescent="0.3">
      <c r="F117">
        <f>MONTH(Table1[[#This Row],[Date  (DMY)]])</f>
        <v>1</v>
      </c>
      <c r="G117" s="2"/>
      <c r="L117" s="5"/>
      <c r="M117" s="4">
        <f>M116-Table1[[#This Row],[Debits]]+Table1[[#This Row],[Income]]</f>
        <v>1900</v>
      </c>
      <c r="N117" t="str">
        <f>IF(AND(Table1[[#This Row],[Category]]="pay",NOT(Table1[[#This Row],[Debits]]=0)),"bad","good")</f>
        <v>good</v>
      </c>
      <c r="O117" s="5"/>
    </row>
    <row r="118" spans="6:15" x14ac:dyDescent="0.3">
      <c r="F118">
        <f>MONTH(Table1[[#This Row],[Date  (DMY)]])</f>
        <v>1</v>
      </c>
      <c r="G118" s="2"/>
      <c r="L118" s="5"/>
      <c r="M118" s="4">
        <f>M117-Table1[[#This Row],[Debits]]+Table1[[#This Row],[Income]]</f>
        <v>1900</v>
      </c>
      <c r="N118" t="str">
        <f>IF(AND(Table1[[#This Row],[Category]]="pay",NOT(Table1[[#This Row],[Debits]]=0)),"bad","good")</f>
        <v>good</v>
      </c>
      <c r="O118" s="5"/>
    </row>
    <row r="119" spans="6:15" x14ac:dyDescent="0.3">
      <c r="F119">
        <f>MONTH(Table1[[#This Row],[Date  (DMY)]])</f>
        <v>1</v>
      </c>
      <c r="G119" s="2"/>
      <c r="L119" s="5"/>
      <c r="M119" s="4">
        <f>M118-Table1[[#This Row],[Debits]]+Table1[[#This Row],[Income]]</f>
        <v>1900</v>
      </c>
      <c r="N119" t="str">
        <f>IF(AND(Table1[[#This Row],[Category]]="pay",NOT(Table1[[#This Row],[Debits]]=0)),"bad","good")</f>
        <v>good</v>
      </c>
      <c r="O119" s="5"/>
    </row>
    <row r="120" spans="6:15" x14ac:dyDescent="0.3">
      <c r="F120">
        <f>MONTH(Table1[[#This Row],[Date  (DMY)]])</f>
        <v>1</v>
      </c>
      <c r="G120" s="2"/>
      <c r="L120" s="5"/>
      <c r="M120" s="4">
        <f>M119-Table1[[#This Row],[Debits]]+Table1[[#This Row],[Income]]</f>
        <v>1900</v>
      </c>
      <c r="N120" t="str">
        <f>IF(AND(Table1[[#This Row],[Category]]="pay",NOT(Table1[[#This Row],[Debits]]=0)),"bad","good")</f>
        <v>good</v>
      </c>
      <c r="O120" s="5"/>
    </row>
    <row r="121" spans="6:15" x14ac:dyDescent="0.3">
      <c r="F121">
        <f>MONTH(Table1[[#This Row],[Date  (DMY)]])</f>
        <v>1</v>
      </c>
      <c r="G121" s="2"/>
      <c r="L121" s="5"/>
      <c r="M121" s="4">
        <f>M120-Table1[[#This Row],[Debits]]+Table1[[#This Row],[Income]]</f>
        <v>1900</v>
      </c>
      <c r="N121" t="str">
        <f>IF(AND(Table1[[#This Row],[Category]]="pay",NOT(Table1[[#This Row],[Debits]]=0)),"bad","good")</f>
        <v>good</v>
      </c>
      <c r="O121" s="5"/>
    </row>
    <row r="122" spans="6:15" x14ac:dyDescent="0.3">
      <c r="F122">
        <f>MONTH(Table1[[#This Row],[Date  (DMY)]])</f>
        <v>1</v>
      </c>
      <c r="G122" s="2"/>
      <c r="L122" s="5"/>
      <c r="M122" s="4">
        <f>M121-Table1[[#This Row],[Debits]]+Table1[[#This Row],[Income]]</f>
        <v>1900</v>
      </c>
      <c r="N122" t="str">
        <f>IF(AND(Table1[[#This Row],[Category]]="pay",NOT(Table1[[#This Row],[Debits]]=0)),"bad","good")</f>
        <v>good</v>
      </c>
      <c r="O122" s="5"/>
    </row>
    <row r="123" spans="6:15" x14ac:dyDescent="0.3">
      <c r="F123">
        <f>MONTH(Table1[[#This Row],[Date  (DMY)]])</f>
        <v>1</v>
      </c>
      <c r="G123" s="2"/>
      <c r="L123" s="5"/>
      <c r="M123" s="4">
        <f>M122-Table1[[#This Row],[Debits]]+Table1[[#This Row],[Income]]</f>
        <v>1900</v>
      </c>
      <c r="N123" t="str">
        <f>IF(AND(Table1[[#This Row],[Category]]="pay",NOT(Table1[[#This Row],[Debits]]=0)),"bad","good")</f>
        <v>good</v>
      </c>
      <c r="O123" s="5"/>
    </row>
    <row r="124" spans="6:15" x14ac:dyDescent="0.3">
      <c r="F124">
        <f>MONTH(Table1[[#This Row],[Date  (DMY)]])</f>
        <v>1</v>
      </c>
      <c r="G124" s="2"/>
      <c r="L124" s="5"/>
      <c r="M124" s="4">
        <f>M123-Table1[[#This Row],[Debits]]+Table1[[#This Row],[Income]]</f>
        <v>1900</v>
      </c>
      <c r="N124" t="str">
        <f>IF(AND(Table1[[#This Row],[Category]]="pay",NOT(Table1[[#This Row],[Debits]]=0)),"bad","good")</f>
        <v>good</v>
      </c>
      <c r="O124" s="5"/>
    </row>
    <row r="125" spans="6:15" x14ac:dyDescent="0.3">
      <c r="F125">
        <f>MONTH(Table1[[#This Row],[Date  (DMY)]])</f>
        <v>1</v>
      </c>
      <c r="G125" s="2"/>
      <c r="L125" s="5"/>
      <c r="M125" s="4">
        <f>M124-Table1[[#This Row],[Debits]]+Table1[[#This Row],[Income]]</f>
        <v>1900</v>
      </c>
      <c r="N125" t="str">
        <f>IF(AND(Table1[[#This Row],[Category]]="pay",NOT(Table1[[#This Row],[Debits]]=0)),"bad","good")</f>
        <v>good</v>
      </c>
      <c r="O125" s="5"/>
    </row>
    <row r="126" spans="6:15" x14ac:dyDescent="0.3">
      <c r="F126">
        <f>MONTH(Table1[[#This Row],[Date  (DMY)]])</f>
        <v>1</v>
      </c>
      <c r="G126" s="2"/>
      <c r="L126" s="5"/>
      <c r="M126" s="4">
        <f>M125-Table1[[#This Row],[Debits]]+Table1[[#This Row],[Income]]</f>
        <v>1900</v>
      </c>
      <c r="N126" t="str">
        <f>IF(AND(Table1[[#This Row],[Category]]="pay",NOT(Table1[[#This Row],[Debits]]=0)),"bad","good")</f>
        <v>good</v>
      </c>
      <c r="O126" s="5"/>
    </row>
    <row r="127" spans="6:15" x14ac:dyDescent="0.3">
      <c r="F127">
        <f>MONTH(Table1[[#This Row],[Date  (DMY)]])</f>
        <v>1</v>
      </c>
      <c r="G127" s="2"/>
      <c r="H127" s="1"/>
      <c r="K127" s="9"/>
      <c r="L127" s="2"/>
      <c r="M127" s="4">
        <f>M126-Table1[[#This Row],[Debits]]+Table1[[#This Row],[Income]]</f>
        <v>1900</v>
      </c>
      <c r="N127" t="str">
        <f>IF(AND(Table1[[#This Row],[Category]]="pay",NOT(Table1[[#This Row],[Debits]]=0)),"bad","good")</f>
        <v>good</v>
      </c>
      <c r="O127" s="5"/>
    </row>
    <row r="128" spans="6:15" x14ac:dyDescent="0.3">
      <c r="F128">
        <f>MONTH(Table1[[#This Row],[Date  (DMY)]])</f>
        <v>1</v>
      </c>
      <c r="G128" s="2"/>
      <c r="L128" s="5"/>
      <c r="M128" s="4">
        <f>M127-Table1[[#This Row],[Debits]]+Table1[[#This Row],[Income]]</f>
        <v>1900</v>
      </c>
      <c r="N128" t="str">
        <f>IF(AND(Table1[[#This Row],[Category]]="pay",NOT(Table1[[#This Row],[Debits]]=0)),"bad","good")</f>
        <v>good</v>
      </c>
      <c r="O128" s="5"/>
    </row>
    <row r="129" spans="6:15" x14ac:dyDescent="0.3">
      <c r="F129">
        <f>MONTH(Table1[[#This Row],[Date  (DMY)]])</f>
        <v>1</v>
      </c>
      <c r="G129" s="2"/>
      <c r="H129" s="1"/>
      <c r="K129" s="9"/>
      <c r="L129" s="2"/>
      <c r="M129" s="4">
        <f>M128-Table1[[#This Row],[Debits]]+Table1[[#This Row],[Income]]</f>
        <v>1900</v>
      </c>
      <c r="N129" t="str">
        <f>IF(AND(Table1[[#This Row],[Category]]="pay",NOT(Table1[[#This Row],[Debits]]=0)),"bad","good")</f>
        <v>good</v>
      </c>
      <c r="O129" s="5"/>
    </row>
    <row r="130" spans="6:15" x14ac:dyDescent="0.3">
      <c r="F130">
        <f>MONTH(Table1[[#This Row],[Date  (DMY)]])</f>
        <v>1</v>
      </c>
      <c r="G130" s="2"/>
      <c r="L130" s="5"/>
      <c r="M130" s="4">
        <f>M129-Table1[[#This Row],[Debits]]+Table1[[#This Row],[Income]]</f>
        <v>1900</v>
      </c>
      <c r="N130" t="str">
        <f>IF(AND(Table1[[#This Row],[Category]]="pay",NOT(Table1[[#This Row],[Debits]]=0)),"bad","good")</f>
        <v>good</v>
      </c>
      <c r="O130" s="5"/>
    </row>
    <row r="131" spans="6:15" x14ac:dyDescent="0.3">
      <c r="F131">
        <f>MONTH(Table1[[#This Row],[Date  (DMY)]])</f>
        <v>1</v>
      </c>
      <c r="G131" s="2"/>
      <c r="L131" s="5"/>
      <c r="M131" s="4">
        <f>M130-Table1[[#This Row],[Debits]]+Table1[[#This Row],[Income]]</f>
        <v>1900</v>
      </c>
      <c r="N131" t="str">
        <f>IF(AND(Table1[[#This Row],[Category]]="pay",NOT(Table1[[#This Row],[Debits]]=0)),"bad","good")</f>
        <v>good</v>
      </c>
      <c r="O131" s="5"/>
    </row>
    <row r="132" spans="6:15" x14ac:dyDescent="0.3">
      <c r="F132">
        <f>MONTH(Table1[[#This Row],[Date  (DMY)]])</f>
        <v>1</v>
      </c>
      <c r="G132" s="2"/>
      <c r="L132" s="5"/>
      <c r="M132" s="4">
        <f>M131-Table1[[#This Row],[Debits]]+Table1[[#This Row],[Income]]</f>
        <v>1900</v>
      </c>
      <c r="N132" t="str">
        <f>IF(AND(Table1[[#This Row],[Category]]="pay",NOT(Table1[[#This Row],[Debits]]=0)),"bad","good")</f>
        <v>good</v>
      </c>
      <c r="O132" s="5"/>
    </row>
    <row r="133" spans="6:15" x14ac:dyDescent="0.3">
      <c r="F133">
        <f>MONTH(Table1[[#This Row],[Date  (DMY)]])</f>
        <v>1</v>
      </c>
      <c r="G133" s="2"/>
      <c r="L133" s="5"/>
      <c r="M133" s="4">
        <f>M132-Table1[[#This Row],[Debits]]+Table1[[#This Row],[Income]]</f>
        <v>1900</v>
      </c>
      <c r="N133" t="str">
        <f>IF(AND(Table1[[#This Row],[Category]]="pay",NOT(Table1[[#This Row],[Debits]]=0)),"bad","good")</f>
        <v>good</v>
      </c>
      <c r="O133" s="5"/>
    </row>
    <row r="134" spans="6:15" x14ac:dyDescent="0.3">
      <c r="F134">
        <f>MONTH(Table1[[#This Row],[Date  (DMY)]])</f>
        <v>1</v>
      </c>
      <c r="G134" s="2"/>
      <c r="L134" s="2"/>
      <c r="M134" s="4">
        <f>M133-Table1[[#This Row],[Debits]]+Table1[[#This Row],[Income]]</f>
        <v>1900</v>
      </c>
      <c r="N134" t="str">
        <f>IF(AND(Table1[[#This Row],[Category]]="pay",NOT(Table1[[#This Row],[Debits]]=0)),"bad","good")</f>
        <v>good</v>
      </c>
      <c r="O134" s="5"/>
    </row>
    <row r="135" spans="6:15" x14ac:dyDescent="0.3">
      <c r="F135">
        <f>MONTH(Table1[[#This Row],[Date  (DMY)]])</f>
        <v>1</v>
      </c>
      <c r="G135" s="2"/>
      <c r="H135" s="1"/>
      <c r="K135" s="9"/>
      <c r="L135" s="2"/>
      <c r="M135" s="4">
        <f>M134-Table1[[#This Row],[Debits]]+Table1[[#This Row],[Income]]</f>
        <v>1900</v>
      </c>
      <c r="N135" t="str">
        <f>IF(AND(Table1[[#This Row],[Category]]="pay",NOT(Table1[[#This Row],[Debits]]=0)),"bad","good")</f>
        <v>good</v>
      </c>
      <c r="O135" s="5"/>
    </row>
    <row r="136" spans="6:15" x14ac:dyDescent="0.3">
      <c r="F136">
        <f>MONTH(Table1[[#This Row],[Date  (DMY)]])</f>
        <v>1</v>
      </c>
      <c r="G136" s="2"/>
      <c r="H136" s="1"/>
      <c r="K136" s="9"/>
      <c r="L136" s="2"/>
      <c r="M136" s="4">
        <f>M135-Table1[[#This Row],[Debits]]+Table1[[#This Row],[Income]]</f>
        <v>1900</v>
      </c>
      <c r="N136" t="str">
        <f>IF(AND(Table1[[#This Row],[Category]]="pay",NOT(Table1[[#This Row],[Debits]]=0)),"bad","good")</f>
        <v>good</v>
      </c>
      <c r="O136" s="5"/>
    </row>
    <row r="137" spans="6:15" x14ac:dyDescent="0.3">
      <c r="F137">
        <f>MONTH(Table1[[#This Row],[Date  (DMY)]])</f>
        <v>1</v>
      </c>
      <c r="G137" s="2"/>
      <c r="H137" s="1"/>
      <c r="K137" s="9"/>
      <c r="L137" s="2"/>
      <c r="M137" s="4">
        <f>M136-Table1[[#This Row],[Debits]]+Table1[[#This Row],[Income]]</f>
        <v>1900</v>
      </c>
      <c r="N137" t="str">
        <f>IF(AND(Table1[[#This Row],[Category]]="pay",NOT(Table1[[#This Row],[Debits]]=0)),"bad","good")</f>
        <v>good</v>
      </c>
      <c r="O137" s="5"/>
    </row>
    <row r="138" spans="6:15" x14ac:dyDescent="0.3">
      <c r="F138">
        <f>MONTH(Table1[[#This Row],[Date  (DMY)]])</f>
        <v>1</v>
      </c>
      <c r="G138" s="2"/>
      <c r="L138" s="2"/>
      <c r="M138" s="4">
        <f>M137-Table1[[#This Row],[Debits]]+Table1[[#This Row],[Income]]</f>
        <v>1900</v>
      </c>
      <c r="N138" t="str">
        <f>IF(AND(Table1[[#This Row],[Category]]="pay",NOT(Table1[[#This Row],[Debits]]=0)),"bad","good")</f>
        <v>good</v>
      </c>
      <c r="O138" s="5"/>
    </row>
    <row r="139" spans="6:15" x14ac:dyDescent="0.3">
      <c r="F139">
        <f>MONTH(Table1[[#This Row],[Date  (DMY)]])</f>
        <v>1</v>
      </c>
      <c r="G139" s="2"/>
      <c r="L139" s="2"/>
      <c r="M139" s="4">
        <f>M138-Table1[[#This Row],[Debits]]+Table1[[#This Row],[Income]]</f>
        <v>1900</v>
      </c>
      <c r="N139" t="str">
        <f>IF(AND(Table1[[#This Row],[Category]]="pay",NOT(Table1[[#This Row],[Debits]]=0)),"bad","good")</f>
        <v>good</v>
      </c>
      <c r="O139" s="5"/>
    </row>
    <row r="140" spans="6:15" x14ac:dyDescent="0.3">
      <c r="F140">
        <f>MONTH(Table1[[#This Row],[Date  (DMY)]])</f>
        <v>1</v>
      </c>
      <c r="G140" s="2"/>
      <c r="L140" s="2"/>
      <c r="M140" s="4">
        <f>M139-Table1[[#This Row],[Debits]]+Table1[[#This Row],[Income]]</f>
        <v>1900</v>
      </c>
      <c r="N140" t="str">
        <f>IF(AND(Table1[[#This Row],[Category]]="pay",NOT(Table1[[#This Row],[Debits]]=0)),"bad","good")</f>
        <v>good</v>
      </c>
      <c r="O140" s="5"/>
    </row>
    <row r="141" spans="6:15" x14ac:dyDescent="0.3">
      <c r="F141">
        <f>MONTH(Table1[[#This Row],[Date  (DMY)]])</f>
        <v>1</v>
      </c>
      <c r="G141" s="2"/>
      <c r="L141" s="2"/>
      <c r="M141" s="4">
        <f>M140-Table1[[#This Row],[Debits]]+Table1[[#This Row],[Income]]</f>
        <v>1900</v>
      </c>
      <c r="N141" t="str">
        <f>IF(AND(Table1[[#This Row],[Category]]="pay",NOT(Table1[[#This Row],[Debits]]=0)),"bad","good")</f>
        <v>good</v>
      </c>
      <c r="O141" s="5"/>
    </row>
    <row r="142" spans="6:15" x14ac:dyDescent="0.3">
      <c r="F142">
        <f>MONTH(Table1[[#This Row],[Date  (DMY)]])</f>
        <v>1</v>
      </c>
      <c r="G142" s="2"/>
      <c r="L142" s="2"/>
      <c r="M142" s="4">
        <f>M141-Table1[[#This Row],[Debits]]+Table1[[#This Row],[Income]]</f>
        <v>1900</v>
      </c>
      <c r="N142" t="str">
        <f>IF(AND(Table1[[#This Row],[Category]]="pay",NOT(Table1[[#This Row],[Debits]]=0)),"bad","good")</f>
        <v>good</v>
      </c>
      <c r="O142" s="5"/>
    </row>
    <row r="143" spans="6:15" x14ac:dyDescent="0.3">
      <c r="F143">
        <f>MONTH(Table1[[#This Row],[Date  (DMY)]])</f>
        <v>1</v>
      </c>
      <c r="G143" s="10"/>
      <c r="L143"/>
      <c r="M143" s="4">
        <f>M142-Table1[[#This Row],[Debits]]+Table1[[#This Row],[Income]]</f>
        <v>1900</v>
      </c>
      <c r="N143" t="str">
        <f>IF(AND(Table1[[#This Row],[Category]]="pay",NOT(Table1[[#This Row],[Debits]]=0)),"bad","good")</f>
        <v>good</v>
      </c>
      <c r="O143" s="5"/>
    </row>
    <row r="144" spans="6:15" x14ac:dyDescent="0.3">
      <c r="F144">
        <f>MONTH(Table1[[#This Row],[Date  (DMY)]])</f>
        <v>1</v>
      </c>
      <c r="G144" s="10"/>
      <c r="L144"/>
      <c r="M144" s="4">
        <f>M143-Table1[[#This Row],[Debits]]+Table1[[#This Row],[Income]]</f>
        <v>1900</v>
      </c>
      <c r="N144" t="str">
        <f>IF(AND(Table1[[#This Row],[Category]]="pay",NOT(Table1[[#This Row],[Debits]]=0)),"bad","good")</f>
        <v>good</v>
      </c>
      <c r="O144" s="5"/>
    </row>
    <row r="145" spans="6:15" x14ac:dyDescent="0.3">
      <c r="F145">
        <f>MONTH(Table1[[#This Row],[Date  (DMY)]])</f>
        <v>1</v>
      </c>
      <c r="G145" s="10"/>
      <c r="L145"/>
      <c r="M145" s="4">
        <f>M144-Table1[[#This Row],[Debits]]+Table1[[#This Row],[Income]]</f>
        <v>1900</v>
      </c>
      <c r="N145" t="str">
        <f>IF(AND(Table1[[#This Row],[Category]]="pay",NOT(Table1[[#This Row],[Debits]]=0)),"bad","good")</f>
        <v>good</v>
      </c>
      <c r="O145" s="5"/>
    </row>
    <row r="146" spans="6:15" x14ac:dyDescent="0.3">
      <c r="F146">
        <f>MONTH(Table1[[#This Row],[Date  (DMY)]])</f>
        <v>1</v>
      </c>
      <c r="G146" s="10"/>
      <c r="L146"/>
      <c r="M146" s="4">
        <f>M145-Table1[[#This Row],[Debits]]+Table1[[#This Row],[Income]]</f>
        <v>1900</v>
      </c>
      <c r="N146" t="str">
        <f>IF(AND(Table1[[#This Row],[Category]]="pay",NOT(Table1[[#This Row],[Debits]]=0)),"bad","good")</f>
        <v>good</v>
      </c>
      <c r="O146" s="5"/>
    </row>
    <row r="147" spans="6:15" x14ac:dyDescent="0.3">
      <c r="F147">
        <f>MONTH(Table1[[#This Row],[Date  (DMY)]])</f>
        <v>1</v>
      </c>
      <c r="G147" s="10"/>
      <c r="L147"/>
      <c r="M147" s="4">
        <f>M146-Table1[[#This Row],[Debits]]+Table1[[#This Row],[Income]]</f>
        <v>1900</v>
      </c>
      <c r="N147" t="str">
        <f>IF(AND(Table1[[#This Row],[Category]]="pay",NOT(Table1[[#This Row],[Debits]]=0)),"bad","good")</f>
        <v>good</v>
      </c>
      <c r="O147" s="5"/>
    </row>
    <row r="148" spans="6:15" x14ac:dyDescent="0.3">
      <c r="F148">
        <f>MONTH(Table1[[#This Row],[Date  (DMY)]])</f>
        <v>1</v>
      </c>
      <c r="G148" s="10"/>
      <c r="L148"/>
      <c r="M148" s="4">
        <f>M147-Table1[[#This Row],[Debits]]+Table1[[#This Row],[Income]]</f>
        <v>1900</v>
      </c>
      <c r="N148" t="str">
        <f>IF(AND(Table1[[#This Row],[Category]]="pay",NOT(Table1[[#This Row],[Debits]]=0)),"bad","good")</f>
        <v>good</v>
      </c>
      <c r="O148" s="5"/>
    </row>
    <row r="149" spans="6:15" x14ac:dyDescent="0.3">
      <c r="F149">
        <f>MONTH(Table1[[#This Row],[Date  (DMY)]])</f>
        <v>1</v>
      </c>
      <c r="G149" s="10"/>
      <c r="L149"/>
      <c r="M149" s="4">
        <f>M148-Table1[[#This Row],[Debits]]+Table1[[#This Row],[Income]]</f>
        <v>1900</v>
      </c>
      <c r="N149" t="str">
        <f>IF(AND(Table1[[#This Row],[Category]]="pay",NOT(Table1[[#This Row],[Debits]]=0)),"bad","good")</f>
        <v>good</v>
      </c>
      <c r="O149" s="5"/>
    </row>
    <row r="150" spans="6:15" x14ac:dyDescent="0.3">
      <c r="F150">
        <f>MONTH(Table1[[#This Row],[Date  (DMY)]])</f>
        <v>1</v>
      </c>
      <c r="G150" s="10"/>
      <c r="L150"/>
      <c r="M150" s="4">
        <f>M149-Table1[[#This Row],[Debits]]+Table1[[#This Row],[Income]]</f>
        <v>1900</v>
      </c>
      <c r="N150" t="str">
        <f>IF(AND(Table1[[#This Row],[Category]]="pay",NOT(Table1[[#This Row],[Debits]]=0)),"bad","good")</f>
        <v>good</v>
      </c>
      <c r="O150" s="5"/>
    </row>
    <row r="151" spans="6:15" x14ac:dyDescent="0.3">
      <c r="F151">
        <f>MONTH(Table1[[#This Row],[Date  (DMY)]])</f>
        <v>1</v>
      </c>
      <c r="G151" s="10"/>
      <c r="L151"/>
      <c r="M151" s="4">
        <f>M150-Table1[[#This Row],[Debits]]+Table1[[#This Row],[Income]]</f>
        <v>1900</v>
      </c>
      <c r="N151" t="str">
        <f>IF(AND(Table1[[#This Row],[Category]]="pay",NOT(Table1[[#This Row],[Debits]]=0)),"bad","good")</f>
        <v>good</v>
      </c>
      <c r="O151" s="5"/>
    </row>
    <row r="152" spans="6:15" x14ac:dyDescent="0.3">
      <c r="F152">
        <f>MONTH(Table1[[#This Row],[Date  (DMY)]])</f>
        <v>1</v>
      </c>
      <c r="G152" s="10"/>
      <c r="L152"/>
      <c r="M152" s="4">
        <f>M151-Table1[[#This Row],[Debits]]+Table1[[#This Row],[Income]]</f>
        <v>1900</v>
      </c>
      <c r="N152" t="str">
        <f>IF(AND(Table1[[#This Row],[Category]]="pay",NOT(Table1[[#This Row],[Debits]]=0)),"bad","good")</f>
        <v>good</v>
      </c>
      <c r="O152" s="5"/>
    </row>
    <row r="153" spans="6:15" x14ac:dyDescent="0.3">
      <c r="F153">
        <f>MONTH(Table1[[#This Row],[Date  (DMY)]])</f>
        <v>1</v>
      </c>
      <c r="G153" s="10"/>
      <c r="L153"/>
      <c r="M153" s="4">
        <f>M152-Table1[[#This Row],[Debits]]+Table1[[#This Row],[Income]]</f>
        <v>1900</v>
      </c>
      <c r="N153" t="str">
        <f>IF(AND(Table1[[#This Row],[Category]]="pay",NOT(Table1[[#This Row],[Debits]]=0)),"bad","good")</f>
        <v>good</v>
      </c>
      <c r="O153" s="5"/>
    </row>
    <row r="154" spans="6:15" x14ac:dyDescent="0.3">
      <c r="F154">
        <f>MONTH(Table1[[#This Row],[Date  (DMY)]])</f>
        <v>1</v>
      </c>
      <c r="G154" s="10"/>
      <c r="L154"/>
      <c r="M154" s="4">
        <f>M153-Table1[[#This Row],[Debits]]+Table1[[#This Row],[Income]]</f>
        <v>1900</v>
      </c>
      <c r="N154" t="str">
        <f>IF(AND(Table1[[#This Row],[Category]]="pay",NOT(Table1[[#This Row],[Debits]]=0)),"bad","good")</f>
        <v>good</v>
      </c>
      <c r="O154" s="5"/>
    </row>
    <row r="155" spans="6:15" x14ac:dyDescent="0.3">
      <c r="F155">
        <f>MONTH(Table1[[#This Row],[Date  (DMY)]])</f>
        <v>1</v>
      </c>
      <c r="G155" s="10"/>
      <c r="L155"/>
      <c r="M155" s="4">
        <f>M154-Table1[[#This Row],[Debits]]+Table1[[#This Row],[Income]]</f>
        <v>1900</v>
      </c>
      <c r="N155" t="str">
        <f>IF(AND(Table1[[#This Row],[Category]]="pay",NOT(Table1[[#This Row],[Debits]]=0)),"bad","good")</f>
        <v>good</v>
      </c>
      <c r="O155" s="5"/>
    </row>
    <row r="156" spans="6:15" x14ac:dyDescent="0.3">
      <c r="F156">
        <f>MONTH(Table1[[#This Row],[Date  (DMY)]])</f>
        <v>1</v>
      </c>
      <c r="G156" s="10"/>
      <c r="L156"/>
      <c r="M156" s="4">
        <f>M155-Table1[[#This Row],[Debits]]+Table1[[#This Row],[Income]]</f>
        <v>1900</v>
      </c>
      <c r="N156" t="str">
        <f>IF(AND(Table1[[#This Row],[Category]]="pay",NOT(Table1[[#This Row],[Debits]]=0)),"bad","good")</f>
        <v>good</v>
      </c>
      <c r="O156" s="5"/>
    </row>
    <row r="157" spans="6:15" x14ac:dyDescent="0.3">
      <c r="F157">
        <f>MONTH(Table1[[#This Row],[Date  (DMY)]])</f>
        <v>1</v>
      </c>
      <c r="G157" s="10"/>
      <c r="L157"/>
      <c r="M157" s="4">
        <f>M156-Table1[[#This Row],[Debits]]+Table1[[#This Row],[Income]]</f>
        <v>1900</v>
      </c>
      <c r="N157" t="str">
        <f>IF(AND(Table1[[#This Row],[Category]]="pay",NOT(Table1[[#This Row],[Debits]]=0)),"bad","good")</f>
        <v>good</v>
      </c>
      <c r="O157" s="5"/>
    </row>
    <row r="158" spans="6:15" x14ac:dyDescent="0.3">
      <c r="F158">
        <f>MONTH(Table1[[#This Row],[Date  (DMY)]])</f>
        <v>1</v>
      </c>
      <c r="G158" s="10"/>
      <c r="L158"/>
      <c r="M158" s="4">
        <f>M157-Table1[[#This Row],[Debits]]+Table1[[#This Row],[Income]]</f>
        <v>1900</v>
      </c>
      <c r="N158" t="str">
        <f>IF(AND(Table1[[#This Row],[Category]]="pay",NOT(Table1[[#This Row],[Debits]]=0)),"bad","good")</f>
        <v>good</v>
      </c>
      <c r="O158" s="5"/>
    </row>
    <row r="159" spans="6:15" x14ac:dyDescent="0.3">
      <c r="F159">
        <f>MONTH(Table1[[#This Row],[Date  (DMY)]])</f>
        <v>1</v>
      </c>
      <c r="G159" s="10"/>
      <c r="L159"/>
      <c r="M159" s="4">
        <f>M158-Table1[[#This Row],[Debits]]+Table1[[#This Row],[Income]]</f>
        <v>1900</v>
      </c>
      <c r="N159" t="str">
        <f>IF(AND(Table1[[#This Row],[Category]]="pay",NOT(Table1[[#This Row],[Debits]]=0)),"bad","good")</f>
        <v>good</v>
      </c>
      <c r="O159" s="5"/>
    </row>
    <row r="160" spans="6:15" x14ac:dyDescent="0.3">
      <c r="F160">
        <f>MONTH(Table1[[#This Row],[Date  (DMY)]])</f>
        <v>1</v>
      </c>
      <c r="G160" s="10"/>
      <c r="L160"/>
      <c r="M160" s="4">
        <f>M159-Table1[[#This Row],[Debits]]+Table1[[#This Row],[Income]]</f>
        <v>1900</v>
      </c>
      <c r="N160" t="str">
        <f>IF(AND(Table1[[#This Row],[Category]]="pay",NOT(Table1[[#This Row],[Debits]]=0)),"bad","good")</f>
        <v>good</v>
      </c>
      <c r="O160" s="5"/>
    </row>
    <row r="161" spans="6:15" x14ac:dyDescent="0.3">
      <c r="F161">
        <f>MONTH(Table1[[#This Row],[Date  (DMY)]])</f>
        <v>1</v>
      </c>
      <c r="G161" s="10"/>
      <c r="L161"/>
      <c r="M161" s="4">
        <f>M160-Table1[[#This Row],[Debits]]+Table1[[#This Row],[Income]]</f>
        <v>1900</v>
      </c>
      <c r="N161" t="str">
        <f>IF(AND(Table1[[#This Row],[Category]]="pay",NOT(Table1[[#This Row],[Debits]]=0)),"bad","good")</f>
        <v>good</v>
      </c>
      <c r="O161" s="5"/>
    </row>
    <row r="162" spans="6:15" x14ac:dyDescent="0.3">
      <c r="F162">
        <f>MONTH(Table1[[#This Row],[Date  (DMY)]])</f>
        <v>1</v>
      </c>
      <c r="G162" s="10"/>
      <c r="L162"/>
      <c r="M162" s="4">
        <f>M161-Table1[[#This Row],[Debits]]+Table1[[#This Row],[Income]]</f>
        <v>1900</v>
      </c>
      <c r="N162" t="str">
        <f>IF(AND(Table1[[#This Row],[Category]]="pay",NOT(Table1[[#This Row],[Debits]]=0)),"bad","good")</f>
        <v>good</v>
      </c>
      <c r="O162" s="5"/>
    </row>
    <row r="163" spans="6:15" x14ac:dyDescent="0.3">
      <c r="F163">
        <f>MONTH(Table1[[#This Row],[Date  (DMY)]])</f>
        <v>1</v>
      </c>
      <c r="G163" s="10"/>
      <c r="L163"/>
      <c r="M163" s="4">
        <f>M162-Table1[[#This Row],[Debits]]+Table1[[#This Row],[Income]]</f>
        <v>1900</v>
      </c>
      <c r="N163" t="str">
        <f>IF(AND(Table1[[#This Row],[Category]]="pay",NOT(Table1[[#This Row],[Debits]]=0)),"bad","good")</f>
        <v>good</v>
      </c>
      <c r="O163" s="5"/>
    </row>
    <row r="164" spans="6:15" x14ac:dyDescent="0.3">
      <c r="F164">
        <f>MONTH(Table1[[#This Row],[Date  (DMY)]])</f>
        <v>1</v>
      </c>
      <c r="G164" s="10"/>
      <c r="L164"/>
      <c r="M164" s="4">
        <f>M163-Table1[[#This Row],[Debits]]+Table1[[#This Row],[Income]]</f>
        <v>1900</v>
      </c>
      <c r="N164" t="str">
        <f>IF(AND(Table1[[#This Row],[Category]]="pay",NOT(Table1[[#This Row],[Debits]]=0)),"bad","good")</f>
        <v>good</v>
      </c>
      <c r="O164" s="5"/>
    </row>
    <row r="165" spans="6:15" x14ac:dyDescent="0.3">
      <c r="F165">
        <f>MONTH(Table1[[#This Row],[Date  (DMY)]])</f>
        <v>1</v>
      </c>
      <c r="G165" s="10"/>
      <c r="L165"/>
      <c r="M165" s="4">
        <f>M164-Table1[[#This Row],[Debits]]+Table1[[#This Row],[Income]]</f>
        <v>1900</v>
      </c>
      <c r="N165" t="str">
        <f>IF(AND(Table1[[#This Row],[Category]]="pay",NOT(Table1[[#This Row],[Debits]]=0)),"bad","good")</f>
        <v>good</v>
      </c>
      <c r="O165" s="5"/>
    </row>
    <row r="166" spans="6:15" x14ac:dyDescent="0.3">
      <c r="F166">
        <f>MONTH(Table1[[#This Row],[Date  (DMY)]])</f>
        <v>1</v>
      </c>
      <c r="G166" s="10"/>
      <c r="L166"/>
      <c r="M166" s="4">
        <f>M165-Table1[[#This Row],[Debits]]+Table1[[#This Row],[Income]]</f>
        <v>1900</v>
      </c>
      <c r="N166" t="str">
        <f>IF(AND(Table1[[#This Row],[Category]]="pay",NOT(Table1[[#This Row],[Debits]]=0)),"bad","good")</f>
        <v>good</v>
      </c>
      <c r="O166" s="5"/>
    </row>
    <row r="167" spans="6:15" x14ac:dyDescent="0.3">
      <c r="F167">
        <f>MONTH(Table1[[#This Row],[Date  (DMY)]])</f>
        <v>1</v>
      </c>
      <c r="G167" s="10"/>
      <c r="L167"/>
      <c r="M167" s="4">
        <f>M166-Table1[[#This Row],[Debits]]+Table1[[#This Row],[Income]]</f>
        <v>1900</v>
      </c>
      <c r="N167" t="str">
        <f>IF(AND(Table1[[#This Row],[Category]]="pay",NOT(Table1[[#This Row],[Debits]]=0)),"bad","good")</f>
        <v>good</v>
      </c>
      <c r="O167" s="5"/>
    </row>
    <row r="168" spans="6:15" x14ac:dyDescent="0.3">
      <c r="F168">
        <f>MONTH(Table1[[#This Row],[Date  (DMY)]])</f>
        <v>1</v>
      </c>
      <c r="G168" s="10"/>
      <c r="L168"/>
      <c r="M168" s="4">
        <f>M167-Table1[[#This Row],[Debits]]+Table1[[#This Row],[Income]]</f>
        <v>1900</v>
      </c>
      <c r="N168" t="str">
        <f>IF(AND(Table1[[#This Row],[Category]]="pay",NOT(Table1[[#This Row],[Debits]]=0)),"bad","good")</f>
        <v>good</v>
      </c>
      <c r="O168" s="5"/>
    </row>
    <row r="169" spans="6:15" x14ac:dyDescent="0.3">
      <c r="F169">
        <f>MONTH(Table1[[#This Row],[Date  (DMY)]])</f>
        <v>1</v>
      </c>
      <c r="G169" s="10"/>
      <c r="L169"/>
      <c r="M169" s="4">
        <f>M168-Table1[[#This Row],[Debits]]+Table1[[#This Row],[Income]]</f>
        <v>1900</v>
      </c>
      <c r="N169" t="str">
        <f>IF(AND(Table1[[#This Row],[Category]]="pay",NOT(Table1[[#This Row],[Debits]]=0)),"bad","good")</f>
        <v>good</v>
      </c>
      <c r="O169" s="5"/>
    </row>
    <row r="170" spans="6:15" x14ac:dyDescent="0.3">
      <c r="F170">
        <f>MONTH(Table1[[#This Row],[Date  (DMY)]])</f>
        <v>1</v>
      </c>
      <c r="G170" s="10"/>
      <c r="L170"/>
      <c r="M170" s="4">
        <f>M169-Table1[[#This Row],[Debits]]+Table1[[#This Row],[Income]]</f>
        <v>1900</v>
      </c>
      <c r="N170" t="str">
        <f>IF(AND(Table1[[#This Row],[Category]]="pay",NOT(Table1[[#This Row],[Debits]]=0)),"bad","good")</f>
        <v>good</v>
      </c>
      <c r="O170" s="5"/>
    </row>
    <row r="171" spans="6:15" x14ac:dyDescent="0.3">
      <c r="F171">
        <f>MONTH(Table1[[#This Row],[Date  (DMY)]])</f>
        <v>1</v>
      </c>
      <c r="G171" s="10"/>
      <c r="L171"/>
      <c r="M171" s="4">
        <f>M170-Table1[[#This Row],[Debits]]+Table1[[#This Row],[Income]]</f>
        <v>1900</v>
      </c>
      <c r="N171" t="str">
        <f>IF(AND(Table1[[#This Row],[Category]]="pay",NOT(Table1[[#This Row],[Debits]]=0)),"bad","good")</f>
        <v>good</v>
      </c>
      <c r="O171" s="5"/>
    </row>
    <row r="172" spans="6:15" x14ac:dyDescent="0.3">
      <c r="F172">
        <f>MONTH(Table1[[#This Row],[Date  (DMY)]])</f>
        <v>1</v>
      </c>
      <c r="G172" s="10"/>
      <c r="L172"/>
      <c r="M172" s="4">
        <f>M171-Table1[[#This Row],[Debits]]+Table1[[#This Row],[Income]]</f>
        <v>1900</v>
      </c>
      <c r="N172" t="str">
        <f>IF(AND(Table1[[#This Row],[Category]]="pay",NOT(Table1[[#This Row],[Debits]]=0)),"bad","good")</f>
        <v>good</v>
      </c>
      <c r="O172" s="5"/>
    </row>
    <row r="173" spans="6:15" x14ac:dyDescent="0.3">
      <c r="F173">
        <f>MONTH(Table1[[#This Row],[Date  (DMY)]])</f>
        <v>1</v>
      </c>
      <c r="G173" s="10"/>
      <c r="L173"/>
      <c r="M173" s="4">
        <f>M172-Table1[[#This Row],[Debits]]+Table1[[#This Row],[Income]]</f>
        <v>1900</v>
      </c>
      <c r="N173" t="str">
        <f>IF(AND(Table1[[#This Row],[Category]]="pay",NOT(Table1[[#This Row],[Debits]]=0)),"bad","good")</f>
        <v>good</v>
      </c>
      <c r="O173" s="5"/>
    </row>
    <row r="174" spans="6:15" x14ac:dyDescent="0.3">
      <c r="F174">
        <f>MONTH(Table1[[#This Row],[Date  (DMY)]])</f>
        <v>1</v>
      </c>
      <c r="G174" s="10"/>
      <c r="L174"/>
      <c r="M174" s="4">
        <f>M173-Table1[[#This Row],[Debits]]+Table1[[#This Row],[Income]]</f>
        <v>1900</v>
      </c>
      <c r="N174" t="str">
        <f>IF(AND(Table1[[#This Row],[Category]]="pay",NOT(Table1[[#This Row],[Debits]]=0)),"bad","good")</f>
        <v>good</v>
      </c>
      <c r="O174" s="5"/>
    </row>
    <row r="175" spans="6:15" x14ac:dyDescent="0.3">
      <c r="F175">
        <f>MONTH(Table1[[#This Row],[Date  (DMY)]])</f>
        <v>1</v>
      </c>
      <c r="G175" s="10"/>
      <c r="L175"/>
      <c r="M175" s="4">
        <f>M174-Table1[[#This Row],[Debits]]+Table1[[#This Row],[Income]]</f>
        <v>1900</v>
      </c>
      <c r="N175" t="str">
        <f>IF(AND(Table1[[#This Row],[Category]]="pay",NOT(Table1[[#This Row],[Debits]]=0)),"bad","good")</f>
        <v>good</v>
      </c>
      <c r="O175" s="5"/>
    </row>
    <row r="176" spans="6:15" x14ac:dyDescent="0.3">
      <c r="F176">
        <f>MONTH(Table1[[#This Row],[Date  (DMY)]])</f>
        <v>1</v>
      </c>
      <c r="G176" s="10"/>
      <c r="L176"/>
      <c r="M176" s="4">
        <f>M175-Table1[[#This Row],[Debits]]+Table1[[#This Row],[Income]]</f>
        <v>1900</v>
      </c>
      <c r="N176" t="str">
        <f>IF(AND(Table1[[#This Row],[Category]]="pay",NOT(Table1[[#This Row],[Debits]]=0)),"bad","good")</f>
        <v>good</v>
      </c>
      <c r="O176" s="5"/>
    </row>
    <row r="177" spans="6:15" x14ac:dyDescent="0.3">
      <c r="F177">
        <f>MONTH(Table1[[#This Row],[Date  (DMY)]])</f>
        <v>1</v>
      </c>
      <c r="G177" s="10"/>
      <c r="L177"/>
      <c r="M177" s="4">
        <f>M176-Table1[[#This Row],[Debits]]+Table1[[#This Row],[Income]]</f>
        <v>1900</v>
      </c>
      <c r="N177" t="str">
        <f>IF(AND(Table1[[#This Row],[Category]]="pay",NOT(Table1[[#This Row],[Debits]]=0)),"bad","good")</f>
        <v>good</v>
      </c>
      <c r="O177" s="5"/>
    </row>
    <row r="178" spans="6:15" x14ac:dyDescent="0.3">
      <c r="F178">
        <f>MONTH(Table1[[#This Row],[Date  (DMY)]])</f>
        <v>1</v>
      </c>
      <c r="G178" s="10"/>
      <c r="L178"/>
      <c r="M178" s="4">
        <f>M177-Table1[[#This Row],[Debits]]+Table1[[#This Row],[Income]]</f>
        <v>1900</v>
      </c>
      <c r="N178" t="str">
        <f>IF(AND(Table1[[#This Row],[Category]]="pay",NOT(Table1[[#This Row],[Debits]]=0)),"bad","good")</f>
        <v>good</v>
      </c>
      <c r="O178" s="5"/>
    </row>
    <row r="179" spans="6:15" x14ac:dyDescent="0.3">
      <c r="F179">
        <f>MONTH(Table1[[#This Row],[Date  (DMY)]])</f>
        <v>1</v>
      </c>
      <c r="G179" s="10"/>
      <c r="L179"/>
      <c r="M179" s="4">
        <f>M178-Table1[[#This Row],[Debits]]+Table1[[#This Row],[Income]]</f>
        <v>1900</v>
      </c>
      <c r="N179" t="str">
        <f>IF(AND(Table1[[#This Row],[Category]]="pay",NOT(Table1[[#This Row],[Debits]]=0)),"bad","good")</f>
        <v>good</v>
      </c>
      <c r="O179" s="5"/>
    </row>
    <row r="180" spans="6:15" x14ac:dyDescent="0.3">
      <c r="F180">
        <f>MONTH(Table1[[#This Row],[Date  (DMY)]])</f>
        <v>1</v>
      </c>
      <c r="G180" s="10"/>
      <c r="L180"/>
      <c r="M180" s="4">
        <f>M179-Table1[[#This Row],[Debits]]+Table1[[#This Row],[Income]]</f>
        <v>1900</v>
      </c>
      <c r="N180" t="str">
        <f>IF(AND(Table1[[#This Row],[Category]]="pay",NOT(Table1[[#This Row],[Debits]]=0)),"bad","good")</f>
        <v>good</v>
      </c>
      <c r="O180" s="5"/>
    </row>
    <row r="181" spans="6:15" x14ac:dyDescent="0.3">
      <c r="F181">
        <f>MONTH(Table1[[#This Row],[Date  (DMY)]])</f>
        <v>1</v>
      </c>
      <c r="G181" s="10"/>
      <c r="L181"/>
      <c r="M181" s="4">
        <f>M180-Table1[[#This Row],[Debits]]+Table1[[#This Row],[Income]]</f>
        <v>1900</v>
      </c>
      <c r="N181" t="str">
        <f>IF(AND(Table1[[#This Row],[Category]]="pay",NOT(Table1[[#This Row],[Debits]]=0)),"bad","good")</f>
        <v>good</v>
      </c>
      <c r="O181" s="5"/>
    </row>
    <row r="182" spans="6:15" x14ac:dyDescent="0.3">
      <c r="F182">
        <f>MONTH(Table1[[#This Row],[Date  (DMY)]])</f>
        <v>1</v>
      </c>
      <c r="G182" s="10"/>
      <c r="L182"/>
      <c r="M182" s="4">
        <f>M181-Table1[[#This Row],[Debits]]+Table1[[#This Row],[Income]]</f>
        <v>1900</v>
      </c>
      <c r="N182" t="str">
        <f>IF(AND(Table1[[#This Row],[Category]]="pay",NOT(Table1[[#This Row],[Debits]]=0)),"bad","good")</f>
        <v>good</v>
      </c>
      <c r="O182" s="5"/>
    </row>
    <row r="183" spans="6:15" x14ac:dyDescent="0.3">
      <c r="F183">
        <f>MONTH(Table1[[#This Row],[Date  (DMY)]])</f>
        <v>1</v>
      </c>
      <c r="G183" s="10"/>
      <c r="L183"/>
      <c r="M183" s="4">
        <f>M182-Table1[[#This Row],[Debits]]+Table1[[#This Row],[Income]]</f>
        <v>1900</v>
      </c>
      <c r="N183" t="str">
        <f>IF(AND(Table1[[#This Row],[Category]]="pay",NOT(Table1[[#This Row],[Debits]]=0)),"bad","good")</f>
        <v>good</v>
      </c>
      <c r="O183" s="5"/>
    </row>
    <row r="184" spans="6:15" x14ac:dyDescent="0.3">
      <c r="F184">
        <f>MONTH(Table1[[#This Row],[Date  (DMY)]])</f>
        <v>1</v>
      </c>
      <c r="G184" s="10"/>
      <c r="L184"/>
      <c r="M184" s="4">
        <f>M183-Table1[[#This Row],[Debits]]+Table1[[#This Row],[Income]]</f>
        <v>1900</v>
      </c>
      <c r="N184" t="str">
        <f>IF(AND(Table1[[#This Row],[Category]]="pay",NOT(Table1[[#This Row],[Debits]]=0)),"bad","good")</f>
        <v>good</v>
      </c>
      <c r="O184" s="5"/>
    </row>
    <row r="185" spans="6:15" x14ac:dyDescent="0.3">
      <c r="F185">
        <f>MONTH(Table1[[#This Row],[Date  (DMY)]])</f>
        <v>1</v>
      </c>
      <c r="G185" s="10"/>
      <c r="L185"/>
      <c r="M185" s="4">
        <f>M184-Table1[[#This Row],[Debits]]+Table1[[#This Row],[Income]]</f>
        <v>1900</v>
      </c>
      <c r="N185" t="str">
        <f>IF(AND(Table1[[#This Row],[Category]]="pay",NOT(Table1[[#This Row],[Debits]]=0)),"bad","good")</f>
        <v>good</v>
      </c>
      <c r="O185" s="5"/>
    </row>
    <row r="186" spans="6:15" x14ac:dyDescent="0.3">
      <c r="F186">
        <f>MONTH(Table1[[#This Row],[Date  (DMY)]])</f>
        <v>1</v>
      </c>
      <c r="G186" s="10"/>
      <c r="L186"/>
      <c r="M186" s="4">
        <f>M185-Table1[[#This Row],[Debits]]+Table1[[#This Row],[Income]]</f>
        <v>1900</v>
      </c>
      <c r="N186" t="str">
        <f>IF(AND(Table1[[#This Row],[Category]]="pay",NOT(Table1[[#This Row],[Debits]]=0)),"bad","good")</f>
        <v>good</v>
      </c>
      <c r="O186" s="5"/>
    </row>
    <row r="187" spans="6:15" x14ac:dyDescent="0.3">
      <c r="F187">
        <f>MONTH(Table1[[#This Row],[Date  (DMY)]])</f>
        <v>1</v>
      </c>
      <c r="G187" s="10"/>
      <c r="L187"/>
      <c r="M187" s="4">
        <f>M186-Table1[[#This Row],[Debits]]+Table1[[#This Row],[Income]]</f>
        <v>1900</v>
      </c>
      <c r="N187" t="str">
        <f>IF(AND(Table1[[#This Row],[Category]]="pay",NOT(Table1[[#This Row],[Debits]]=0)),"bad","good")</f>
        <v>good</v>
      </c>
      <c r="O187" s="5"/>
    </row>
    <row r="188" spans="6:15" x14ac:dyDescent="0.3">
      <c r="F188">
        <f>MONTH(Table1[[#This Row],[Date  (DMY)]])</f>
        <v>1</v>
      </c>
      <c r="G188" s="10"/>
      <c r="L188"/>
      <c r="M188" s="4">
        <f>M187-Table1[[#This Row],[Debits]]+Table1[[#This Row],[Income]]</f>
        <v>1900</v>
      </c>
      <c r="N188" t="str">
        <f>IF(AND(Table1[[#This Row],[Category]]="pay",NOT(Table1[[#This Row],[Debits]]=0)),"bad","good")</f>
        <v>good</v>
      </c>
      <c r="O188" s="5"/>
    </row>
    <row r="189" spans="6:15" x14ac:dyDescent="0.3">
      <c r="F189">
        <f>MONTH(Table1[[#This Row],[Date  (DMY)]])</f>
        <v>1</v>
      </c>
      <c r="G189" s="10"/>
      <c r="L189"/>
      <c r="M189" s="4">
        <f>M188-Table1[[#This Row],[Debits]]+Table1[[#This Row],[Income]]</f>
        <v>1900</v>
      </c>
      <c r="N189" t="str">
        <f>IF(AND(Table1[[#This Row],[Category]]="pay",NOT(Table1[[#This Row],[Debits]]=0)),"bad","good")</f>
        <v>good</v>
      </c>
      <c r="O189" s="5"/>
    </row>
    <row r="190" spans="6:15" x14ac:dyDescent="0.3">
      <c r="F190">
        <f>MONTH(Table1[[#This Row],[Date  (DMY)]])</f>
        <v>1</v>
      </c>
      <c r="G190" s="10"/>
      <c r="L190"/>
      <c r="M190" s="4">
        <f>M189-Table1[[#This Row],[Debits]]+Table1[[#This Row],[Income]]</f>
        <v>1900</v>
      </c>
      <c r="N190" t="str">
        <f>IF(AND(Table1[[#This Row],[Category]]="pay",NOT(Table1[[#This Row],[Debits]]=0)),"bad","good")</f>
        <v>good</v>
      </c>
      <c r="O190" s="5"/>
    </row>
    <row r="191" spans="6:15" x14ac:dyDescent="0.3">
      <c r="F191">
        <f>MONTH(Table1[[#This Row],[Date  (DMY)]])</f>
        <v>1</v>
      </c>
      <c r="G191" s="10"/>
      <c r="L191" s="5"/>
      <c r="M191" s="4">
        <f>M190-Table1[[#This Row],[Debits]]+Table1[[#This Row],[Income]]</f>
        <v>1900</v>
      </c>
      <c r="N191" t="str">
        <f>IF(AND(Table1[[#This Row],[Category]]="pay",NOT(Table1[[#This Row],[Debits]]=0)),"bad","good")</f>
        <v>good</v>
      </c>
      <c r="O191" s="5"/>
    </row>
    <row r="192" spans="6:15" x14ac:dyDescent="0.3">
      <c r="F192">
        <f>MONTH(Table1[[#This Row],[Date  (DMY)]])</f>
        <v>1</v>
      </c>
      <c r="G192" s="10"/>
      <c r="M192" s="4">
        <f>M191-Table1[[#This Row],[Debits]]+Table1[[#This Row],[Income]]</f>
        <v>1900</v>
      </c>
      <c r="N192" t="str">
        <f>IF(AND(Table1[[#This Row],[Category]]="pay",NOT(Table1[[#This Row],[Debits]]=0)),"bad","good")</f>
        <v>good</v>
      </c>
      <c r="O192" s="5"/>
    </row>
    <row r="193" spans="6:15" x14ac:dyDescent="0.3">
      <c r="F193">
        <f>MONTH(Table1[[#This Row],[Date  (DMY)]])</f>
        <v>1</v>
      </c>
      <c r="G193" s="10"/>
      <c r="M193" s="4">
        <f>M192-Table1[[#This Row],[Debits]]+Table1[[#This Row],[Income]]</f>
        <v>1900</v>
      </c>
      <c r="N193" t="str">
        <f>IF(AND(Table1[[#This Row],[Category]]="pay",NOT(Table1[[#This Row],[Debits]]=0)),"bad","good")</f>
        <v>good</v>
      </c>
      <c r="O193" s="5"/>
    </row>
    <row r="194" spans="6:15" x14ac:dyDescent="0.3">
      <c r="F194">
        <f>MONTH(Table1[[#This Row],[Date  (DMY)]])</f>
        <v>1</v>
      </c>
      <c r="G194" s="10"/>
      <c r="M194" s="4">
        <f>M193-Table1[[#This Row],[Debits]]+Table1[[#This Row],[Income]]</f>
        <v>1900</v>
      </c>
      <c r="N194" t="str">
        <f>IF(AND(Table1[[#This Row],[Category]]="pay",NOT(Table1[[#This Row],[Debits]]=0)),"bad","good")</f>
        <v>good</v>
      </c>
      <c r="O194" s="5"/>
    </row>
    <row r="195" spans="6:15" x14ac:dyDescent="0.3">
      <c r="F195">
        <f>MONTH(Table1[[#This Row],[Date  (DMY)]])</f>
        <v>1</v>
      </c>
      <c r="G195" s="10"/>
      <c r="M195" s="4">
        <f>M194-Table1[[#This Row],[Debits]]+Table1[[#This Row],[Income]]</f>
        <v>1900</v>
      </c>
      <c r="N195" t="str">
        <f>IF(AND(Table1[[#This Row],[Category]]="pay",NOT(Table1[[#This Row],[Debits]]=0)),"bad","good")</f>
        <v>good</v>
      </c>
      <c r="O195" s="5"/>
    </row>
    <row r="196" spans="6:15" x14ac:dyDescent="0.3">
      <c r="F196">
        <f>MONTH(Table1[[#This Row],[Date  (DMY)]])</f>
        <v>1</v>
      </c>
      <c r="G196" s="10"/>
      <c r="M196" s="4">
        <f>M195-Table1[[#This Row],[Debits]]+Table1[[#This Row],[Income]]</f>
        <v>1900</v>
      </c>
      <c r="N196" t="str">
        <f>IF(AND(Table1[[#This Row],[Category]]="pay",NOT(Table1[[#This Row],[Debits]]=0)),"bad","good")</f>
        <v>good</v>
      </c>
      <c r="O196" s="5"/>
    </row>
    <row r="197" spans="6:15" x14ac:dyDescent="0.3">
      <c r="F197">
        <f>MONTH(Table1[[#This Row],[Date  (DMY)]])</f>
        <v>1</v>
      </c>
      <c r="G197" s="10"/>
      <c r="H197" s="5"/>
      <c r="I197"/>
      <c r="J197" s="9"/>
      <c r="K197" s="9"/>
      <c r="L197"/>
      <c r="M197" s="4">
        <f>M196-Table1[[#This Row],[Debits]]+Table1[[#This Row],[Income]]</f>
        <v>1900</v>
      </c>
      <c r="N197" t="str">
        <f>IF(AND(Table1[[#This Row],[Category]]="pay",NOT(Table1[[#This Row],[Debits]]=0)),"bad","good")</f>
        <v>good</v>
      </c>
      <c r="O197" s="5"/>
    </row>
    <row r="198" spans="6:15" x14ac:dyDescent="0.3">
      <c r="F198">
        <f>MONTH(Table1[[#This Row],[Date  (DMY)]])</f>
        <v>1</v>
      </c>
      <c r="G198" s="10"/>
      <c r="M198" s="4">
        <f>M197-Table1[[#This Row],[Debits]]+Table1[[#This Row],[Income]]</f>
        <v>1900</v>
      </c>
      <c r="N198" t="str">
        <f>IF(AND(Table1[[#This Row],[Category]]="pay",NOT(Table1[[#This Row],[Debits]]=0)),"bad","good")</f>
        <v>good</v>
      </c>
      <c r="O198" s="5"/>
    </row>
    <row r="199" spans="6:15" x14ac:dyDescent="0.3">
      <c r="F199">
        <f>MONTH(Table1[[#This Row],[Date  (DMY)]])</f>
        <v>1</v>
      </c>
      <c r="G199" s="10"/>
      <c r="M199" s="4">
        <f>M198-Table1[[#This Row],[Debits]]+Table1[[#This Row],[Income]]</f>
        <v>1900</v>
      </c>
      <c r="N199" t="str">
        <f>IF(AND(Table1[[#This Row],[Category]]="pay",NOT(Table1[[#This Row],[Debits]]=0)),"bad","good")</f>
        <v>good</v>
      </c>
      <c r="O199" s="5"/>
    </row>
    <row r="200" spans="6:15" x14ac:dyDescent="0.3">
      <c r="F200">
        <f>MONTH(Table1[[#This Row],[Date  (DMY)]])</f>
        <v>1</v>
      </c>
      <c r="G200" s="10"/>
      <c r="M200" s="4">
        <f>M199-Table1[[#This Row],[Debits]]+Table1[[#This Row],[Income]]</f>
        <v>1900</v>
      </c>
      <c r="N200" t="str">
        <f>IF(AND(Table1[[#This Row],[Category]]="pay",NOT(Table1[[#This Row],[Debits]]=0)),"bad","good")</f>
        <v>good</v>
      </c>
      <c r="O200" s="5"/>
    </row>
    <row r="201" spans="6:15" x14ac:dyDescent="0.3">
      <c r="F201">
        <f>MONTH(Table1[[#This Row],[Date  (DMY)]])</f>
        <v>1</v>
      </c>
      <c r="G201" s="10"/>
      <c r="M201" s="4">
        <f>M200-Table1[[#This Row],[Debits]]+Table1[[#This Row],[Income]]</f>
        <v>1900</v>
      </c>
      <c r="N201" t="str">
        <f>IF(AND(Table1[[#This Row],[Category]]="pay",NOT(Table1[[#This Row],[Debits]]=0)),"bad","good")</f>
        <v>good</v>
      </c>
      <c r="O201" s="5"/>
    </row>
    <row r="202" spans="6:15" x14ac:dyDescent="0.3">
      <c r="F202">
        <f>MONTH(Table1[[#This Row],[Date  (DMY)]])</f>
        <v>1</v>
      </c>
      <c r="G202" s="10"/>
      <c r="M202" s="4">
        <f>M201-Table1[[#This Row],[Debits]]+Table1[[#This Row],[Income]]</f>
        <v>1900</v>
      </c>
      <c r="N202" t="str">
        <f>IF(AND(Table1[[#This Row],[Category]]="pay",NOT(Table1[[#This Row],[Debits]]=0)),"bad","good")</f>
        <v>good</v>
      </c>
      <c r="O202" s="5"/>
    </row>
    <row r="203" spans="6:15" x14ac:dyDescent="0.3">
      <c r="F203">
        <f>MONTH(Table1[[#This Row],[Date  (DMY)]])</f>
        <v>1</v>
      </c>
      <c r="G203" s="10"/>
      <c r="M203" s="4">
        <f>M202-Table1[[#This Row],[Debits]]+Table1[[#This Row],[Income]]</f>
        <v>1900</v>
      </c>
      <c r="N203" t="str">
        <f>IF(AND(Table1[[#This Row],[Category]]="pay",NOT(Table1[[#This Row],[Debits]]=0)),"bad","good")</f>
        <v>good</v>
      </c>
      <c r="O203" s="5"/>
    </row>
    <row r="204" spans="6:15" x14ac:dyDescent="0.3">
      <c r="F204">
        <f>MONTH(Table1[[#This Row],[Date  (DMY)]])</f>
        <v>1</v>
      </c>
      <c r="G204" s="10"/>
      <c r="M204" s="4">
        <f>M203-Table1[[#This Row],[Debits]]+Table1[[#This Row],[Income]]</f>
        <v>1900</v>
      </c>
      <c r="N204" t="str">
        <f>IF(AND(Table1[[#This Row],[Category]]="pay",NOT(Table1[[#This Row],[Debits]]=0)),"bad","good")</f>
        <v>good</v>
      </c>
      <c r="O204" s="5"/>
    </row>
    <row r="205" spans="6:15" x14ac:dyDescent="0.3">
      <c r="F205">
        <f>MONTH(Table1[[#This Row],[Date  (DMY)]])</f>
        <v>1</v>
      </c>
      <c r="G205" s="10"/>
      <c r="H205" s="5"/>
      <c r="I205"/>
      <c r="J205" s="9"/>
      <c r="K205" s="9"/>
      <c r="L205"/>
      <c r="M205" s="4">
        <f>M204-Table1[[#This Row],[Debits]]+Table1[[#This Row],[Income]]</f>
        <v>1900</v>
      </c>
      <c r="N205" t="str">
        <f>IF(AND(Table1[[#This Row],[Category]]="pay",NOT(Table1[[#This Row],[Debits]]=0)),"bad","good")</f>
        <v>good</v>
      </c>
      <c r="O205" s="5"/>
    </row>
    <row r="206" spans="6:15" x14ac:dyDescent="0.3">
      <c r="F206">
        <f>MONTH(Table1[[#This Row],[Date  (DMY)]])</f>
        <v>1</v>
      </c>
      <c r="G206" s="10"/>
      <c r="H206" s="5"/>
      <c r="I206"/>
      <c r="J206" s="9"/>
      <c r="K206" s="9"/>
      <c r="L206"/>
      <c r="M206" s="4">
        <f>M205-Table1[[#This Row],[Debits]]+Table1[[#This Row],[Income]]</f>
        <v>1900</v>
      </c>
      <c r="N206" t="str">
        <f>IF(AND(Table1[[#This Row],[Category]]="pay",NOT(Table1[[#This Row],[Debits]]=0)),"bad","good")</f>
        <v>good</v>
      </c>
      <c r="O206" s="5"/>
    </row>
    <row r="207" spans="6:15" x14ac:dyDescent="0.3">
      <c r="F207">
        <f>MONTH(Table1[[#This Row],[Date  (DMY)]])</f>
        <v>1</v>
      </c>
      <c r="G207" s="10"/>
      <c r="H207" s="5"/>
      <c r="I207"/>
      <c r="J207" s="9"/>
      <c r="K207" s="9"/>
      <c r="L207"/>
      <c r="M207" s="4">
        <f>M206-Table1[[#This Row],[Debits]]+Table1[[#This Row],[Income]]</f>
        <v>1900</v>
      </c>
      <c r="N207" t="str">
        <f>IF(AND(Table1[[#This Row],[Category]]="pay",NOT(Table1[[#This Row],[Debits]]=0)),"bad","good")</f>
        <v>good</v>
      </c>
      <c r="O207" s="5"/>
    </row>
    <row r="208" spans="6:15" x14ac:dyDescent="0.3">
      <c r="F208">
        <f>MONTH(Table1[[#This Row],[Date  (DMY)]])</f>
        <v>1</v>
      </c>
      <c r="G208" s="10"/>
      <c r="M208" s="4">
        <f>M207-Table1[[#This Row],[Debits]]+Table1[[#This Row],[Income]]</f>
        <v>1900</v>
      </c>
      <c r="N208" t="str">
        <f>IF(AND(Table1[[#This Row],[Category]]="pay",NOT(Table1[[#This Row],[Debits]]=0)),"bad","good")</f>
        <v>good</v>
      </c>
      <c r="O208" s="5"/>
    </row>
    <row r="209" spans="6:15" x14ac:dyDescent="0.3">
      <c r="F209">
        <f>MONTH(Table1[[#This Row],[Date  (DMY)]])</f>
        <v>1</v>
      </c>
      <c r="G209" s="10"/>
      <c r="M209" s="4">
        <f>M208-Table1[[#This Row],[Debits]]+Table1[[#This Row],[Income]]</f>
        <v>1900</v>
      </c>
      <c r="N209" t="str">
        <f>IF(AND(Table1[[#This Row],[Category]]="pay",NOT(Table1[[#This Row],[Debits]]=0)),"bad","good")</f>
        <v>good</v>
      </c>
      <c r="O209" s="5"/>
    </row>
    <row r="210" spans="6:15" x14ac:dyDescent="0.3">
      <c r="F210">
        <f>MONTH(Table1[[#This Row],[Date  (DMY)]])</f>
        <v>1</v>
      </c>
      <c r="G210" s="10"/>
      <c r="H210" s="5"/>
      <c r="I210"/>
      <c r="J210" s="9"/>
      <c r="K210" s="9"/>
      <c r="L210"/>
      <c r="M210" s="4">
        <f>M209-Table1[[#This Row],[Debits]]+Table1[[#This Row],[Income]]</f>
        <v>1900</v>
      </c>
      <c r="N210" t="str">
        <f>IF(AND(Table1[[#This Row],[Category]]="pay",NOT(Table1[[#This Row],[Debits]]=0)),"bad","good")</f>
        <v>good</v>
      </c>
      <c r="O210" s="5"/>
    </row>
    <row r="211" spans="6:15" x14ac:dyDescent="0.3">
      <c r="F211">
        <f>MONTH(Table1[[#This Row],[Date  (DMY)]])</f>
        <v>1</v>
      </c>
      <c r="G211" s="10"/>
      <c r="H211" s="5"/>
      <c r="I211"/>
      <c r="J211" s="9"/>
      <c r="K211" s="9"/>
      <c r="L211"/>
      <c r="M211" s="4">
        <f>M210-Table1[[#This Row],[Debits]]+Table1[[#This Row],[Income]]</f>
        <v>1900</v>
      </c>
      <c r="N211" t="str">
        <f>IF(AND(Table1[[#This Row],[Category]]="pay",NOT(Table1[[#This Row],[Debits]]=0)),"bad","good")</f>
        <v>good</v>
      </c>
      <c r="O211" s="5"/>
    </row>
    <row r="212" spans="6:15" x14ac:dyDescent="0.3">
      <c r="F212">
        <f>MONTH(Table1[[#This Row],[Date  (DMY)]])</f>
        <v>1</v>
      </c>
      <c r="G212" s="10"/>
      <c r="H212" s="5"/>
      <c r="I212"/>
      <c r="J212" s="9"/>
      <c r="K212" s="9"/>
      <c r="L212"/>
      <c r="M212" s="4">
        <f>M211-Table1[[#This Row],[Debits]]+Table1[[#This Row],[Income]]</f>
        <v>1900</v>
      </c>
      <c r="N212" t="str">
        <f>IF(AND(Table1[[#This Row],[Category]]="pay",NOT(Table1[[#This Row],[Debits]]=0)),"bad","good")</f>
        <v>good</v>
      </c>
      <c r="O212" s="5"/>
    </row>
    <row r="213" spans="6:15" x14ac:dyDescent="0.3">
      <c r="F213">
        <f>MONTH(Table1[[#This Row],[Date  (DMY)]])</f>
        <v>1</v>
      </c>
      <c r="G213" s="10"/>
      <c r="M213" s="4">
        <f>M212-Table1[[#This Row],[Debits]]+Table1[[#This Row],[Income]]</f>
        <v>1900</v>
      </c>
      <c r="N213" t="str">
        <f>IF(AND(Table1[[#This Row],[Category]]="pay",NOT(Table1[[#This Row],[Debits]]=0)),"bad","good")</f>
        <v>good</v>
      </c>
      <c r="O213" s="5"/>
    </row>
    <row r="214" spans="6:15" x14ac:dyDescent="0.3">
      <c r="F214">
        <f>MONTH(Table1[[#This Row],[Date  (DMY)]])</f>
        <v>1</v>
      </c>
      <c r="G214" s="10"/>
      <c r="M214" s="4">
        <f>M213-Table1[[#This Row],[Debits]]+Table1[[#This Row],[Income]]</f>
        <v>1900</v>
      </c>
      <c r="N214" t="str">
        <f>IF(AND(Table1[[#This Row],[Category]]="pay",NOT(Table1[[#This Row],[Debits]]=0)),"bad","good")</f>
        <v>good</v>
      </c>
      <c r="O214" s="5"/>
    </row>
    <row r="215" spans="6:15" x14ac:dyDescent="0.3">
      <c r="F215">
        <f>MONTH(Table1[[#This Row],[Date  (DMY)]])</f>
        <v>1</v>
      </c>
      <c r="G215" s="10"/>
      <c r="H215" s="5"/>
      <c r="I215"/>
      <c r="J215" s="9"/>
      <c r="K215" s="9"/>
      <c r="L215"/>
      <c r="M215" s="4">
        <f>M214-Table1[[#This Row],[Debits]]+Table1[[#This Row],[Income]]</f>
        <v>1900</v>
      </c>
      <c r="N215" t="str">
        <f>IF(AND(Table1[[#This Row],[Category]]="pay",NOT(Table1[[#This Row],[Debits]]=0)),"bad","good")</f>
        <v>good</v>
      </c>
      <c r="O215" s="5"/>
    </row>
    <row r="216" spans="6:15" x14ac:dyDescent="0.3">
      <c r="F216">
        <f>MONTH(Table1[[#This Row],[Date  (DMY)]])</f>
        <v>1</v>
      </c>
      <c r="G216" s="10"/>
      <c r="H216" s="5"/>
      <c r="I216"/>
      <c r="J216" s="9"/>
      <c r="K216" s="9"/>
      <c r="L216"/>
      <c r="M216" s="4">
        <f>M215-Table1[[#This Row],[Debits]]+Table1[[#This Row],[Income]]</f>
        <v>1900</v>
      </c>
      <c r="N216" t="str">
        <f>IF(AND(Table1[[#This Row],[Category]]="pay",NOT(Table1[[#This Row],[Debits]]=0)),"bad","good")</f>
        <v>good</v>
      </c>
      <c r="O216" s="5"/>
    </row>
    <row r="217" spans="6:15" x14ac:dyDescent="0.3">
      <c r="F217">
        <f>MONTH(Table1[[#This Row],[Date  (DMY)]])</f>
        <v>1</v>
      </c>
      <c r="G217" s="10"/>
      <c r="M217" s="4">
        <f>M216-Table1[[#This Row],[Debits]]+Table1[[#This Row],[Income]]</f>
        <v>1900</v>
      </c>
      <c r="N217" t="str">
        <f>IF(AND(Table1[[#This Row],[Category]]="pay",NOT(Table1[[#This Row],[Debits]]=0)),"bad","good")</f>
        <v>good</v>
      </c>
      <c r="O217" s="5"/>
    </row>
    <row r="218" spans="6:15" x14ac:dyDescent="0.3">
      <c r="F218">
        <f>MONTH(Table1[[#This Row],[Date  (DMY)]])</f>
        <v>1</v>
      </c>
      <c r="G218" s="10"/>
      <c r="M218" s="4">
        <f>M217-Table1[[#This Row],[Debits]]+Table1[[#This Row],[Income]]</f>
        <v>1900</v>
      </c>
      <c r="N218" t="str">
        <f>IF(AND(Table1[[#This Row],[Category]]="pay",NOT(Table1[[#This Row],[Debits]]=0)),"bad","good")</f>
        <v>good</v>
      </c>
      <c r="O218" s="5"/>
    </row>
    <row r="219" spans="6:15" x14ac:dyDescent="0.3">
      <c r="F219">
        <f>MONTH(Table1[[#This Row],[Date  (DMY)]])</f>
        <v>1</v>
      </c>
      <c r="G219" s="10"/>
      <c r="M219" s="4">
        <f>M218-Table1[[#This Row],[Debits]]+Table1[[#This Row],[Income]]</f>
        <v>1900</v>
      </c>
      <c r="N219" t="str">
        <f>IF(AND(Table1[[#This Row],[Category]]="pay",NOT(Table1[[#This Row],[Debits]]=0)),"bad","good")</f>
        <v>good</v>
      </c>
      <c r="O219" s="5"/>
    </row>
    <row r="220" spans="6:15" x14ac:dyDescent="0.3">
      <c r="F220">
        <f>MONTH(Table1[[#This Row],[Date  (DMY)]])</f>
        <v>1</v>
      </c>
      <c r="G220" s="10"/>
      <c r="M220" s="4">
        <f>M219-Table1[[#This Row],[Debits]]+Table1[[#This Row],[Income]]</f>
        <v>1900</v>
      </c>
      <c r="N220" t="str">
        <f>IF(AND(Table1[[#This Row],[Category]]="pay",NOT(Table1[[#This Row],[Debits]]=0)),"bad","good")</f>
        <v>good</v>
      </c>
      <c r="O220" s="5"/>
    </row>
    <row r="221" spans="6:15" x14ac:dyDescent="0.3">
      <c r="F221">
        <f>MONTH(Table1[[#This Row],[Date  (DMY)]])</f>
        <v>1</v>
      </c>
      <c r="G221" s="10"/>
      <c r="H221" s="5"/>
      <c r="I221"/>
      <c r="J221" s="9"/>
      <c r="K221" s="9"/>
      <c r="L221"/>
      <c r="M221" s="4">
        <f>M220-Table1[[#This Row],[Debits]]+Table1[[#This Row],[Income]]</f>
        <v>1900</v>
      </c>
      <c r="N221" t="str">
        <f>IF(AND(Table1[[#This Row],[Category]]="pay",NOT(Table1[[#This Row],[Debits]]=0)),"bad","good")</f>
        <v>good</v>
      </c>
      <c r="O221" s="5"/>
    </row>
    <row r="222" spans="6:15" x14ac:dyDescent="0.3">
      <c r="F222">
        <f>MONTH(Table1[[#This Row],[Date  (DMY)]])</f>
        <v>1</v>
      </c>
      <c r="G222" s="10"/>
      <c r="M222" s="4">
        <f>M221-Table1[[#This Row],[Debits]]+Table1[[#This Row],[Income]]</f>
        <v>1900</v>
      </c>
      <c r="N222" t="str">
        <f>IF(AND(Table1[[#This Row],[Category]]="pay",NOT(Table1[[#This Row],[Debits]]=0)),"bad","good")</f>
        <v>good</v>
      </c>
      <c r="O222" s="5"/>
    </row>
    <row r="223" spans="6:15" x14ac:dyDescent="0.3">
      <c r="F223">
        <f>MONTH(Table1[[#This Row],[Date  (DMY)]])</f>
        <v>1</v>
      </c>
      <c r="G223" s="10"/>
      <c r="M223" s="4">
        <f>M222-Table1[[#This Row],[Debits]]+Table1[[#This Row],[Income]]</f>
        <v>1900</v>
      </c>
      <c r="N223" t="str">
        <f>IF(AND(Table1[[#This Row],[Category]]="pay",NOT(Table1[[#This Row],[Debits]]=0)),"bad","good")</f>
        <v>good</v>
      </c>
      <c r="O223" s="5"/>
    </row>
    <row r="224" spans="6:15" x14ac:dyDescent="0.3">
      <c r="F224">
        <f>MONTH(Table1[[#This Row],[Date  (DMY)]])</f>
        <v>1</v>
      </c>
      <c r="G224" s="10"/>
      <c r="M224" s="4">
        <f>M223-Table1[[#This Row],[Debits]]+Table1[[#This Row],[Income]]</f>
        <v>1900</v>
      </c>
      <c r="N224" t="str">
        <f>IF(AND(Table1[[#This Row],[Category]]="pay",NOT(Table1[[#This Row],[Debits]]=0)),"bad","good")</f>
        <v>good</v>
      </c>
      <c r="O224" s="5"/>
    </row>
    <row r="225" spans="6:15" x14ac:dyDescent="0.3">
      <c r="F225">
        <f>MONTH(Table1[[#This Row],[Date  (DMY)]])</f>
        <v>1</v>
      </c>
      <c r="G225" s="10"/>
      <c r="H225" s="5"/>
      <c r="I225"/>
      <c r="J225" s="9"/>
      <c r="K225" s="9"/>
      <c r="L225"/>
      <c r="M225" s="4">
        <f>M224-Table1[[#This Row],[Debits]]+Table1[[#This Row],[Income]]</f>
        <v>1900</v>
      </c>
      <c r="N225" t="str">
        <f>IF(AND(Table1[[#This Row],[Category]]="pay",NOT(Table1[[#This Row],[Debits]]=0)),"bad","good")</f>
        <v>good</v>
      </c>
      <c r="O225" s="5"/>
    </row>
    <row r="226" spans="6:15" x14ac:dyDescent="0.3">
      <c r="F226">
        <f>MONTH(Table1[[#This Row],[Date  (DMY)]])</f>
        <v>1</v>
      </c>
      <c r="G226" s="10"/>
      <c r="H226" s="5"/>
      <c r="I226"/>
      <c r="J226" s="9"/>
      <c r="K226" s="9"/>
      <c r="L226"/>
      <c r="M226" s="4">
        <f>M225-Table1[[#This Row],[Debits]]+Table1[[#This Row],[Income]]</f>
        <v>1900</v>
      </c>
      <c r="N226" t="str">
        <f>IF(AND(Table1[[#This Row],[Category]]="pay",NOT(Table1[[#This Row],[Debits]]=0)),"bad","good")</f>
        <v>good</v>
      </c>
      <c r="O226" s="5"/>
    </row>
    <row r="227" spans="6:15" x14ac:dyDescent="0.3">
      <c r="F227">
        <f>MONTH(Table1[[#This Row],[Date  (DMY)]])</f>
        <v>1</v>
      </c>
      <c r="G227" s="10"/>
      <c r="H227" s="5"/>
      <c r="I227"/>
      <c r="J227" s="9"/>
      <c r="K227" s="9"/>
      <c r="L227"/>
      <c r="M227" s="4">
        <f>M226-Table1[[#This Row],[Debits]]+Table1[[#This Row],[Income]]</f>
        <v>1900</v>
      </c>
      <c r="N227" t="str">
        <f>IF(AND(Table1[[#This Row],[Category]]="pay",NOT(Table1[[#This Row],[Debits]]=0)),"bad","good")</f>
        <v>good</v>
      </c>
      <c r="O227" s="5"/>
    </row>
    <row r="228" spans="6:15" x14ac:dyDescent="0.3">
      <c r="F228">
        <f>MONTH(Table1[[#This Row],[Date  (DMY)]])</f>
        <v>1</v>
      </c>
      <c r="G228" s="10"/>
      <c r="M228" s="4">
        <f>M227-Table1[[#This Row],[Debits]]+Table1[[#This Row],[Income]]</f>
        <v>1900</v>
      </c>
      <c r="N228" t="str">
        <f>IF(AND(Table1[[#This Row],[Category]]="pay",NOT(Table1[[#This Row],[Debits]]=0)),"bad","good")</f>
        <v>good</v>
      </c>
      <c r="O228" s="5"/>
    </row>
    <row r="229" spans="6:15" x14ac:dyDescent="0.3">
      <c r="F229">
        <f>MONTH(Table1[[#This Row],[Date  (DMY)]])</f>
        <v>1</v>
      </c>
      <c r="G229" s="10"/>
      <c r="M229" s="4">
        <f>M228-Table1[[#This Row],[Debits]]+Table1[[#This Row],[Income]]</f>
        <v>1900</v>
      </c>
      <c r="N229" t="str">
        <f>IF(AND(Table1[[#This Row],[Category]]="pay",NOT(Table1[[#This Row],[Debits]]=0)),"bad","good")</f>
        <v>good</v>
      </c>
      <c r="O229" s="5"/>
    </row>
    <row r="230" spans="6:15" x14ac:dyDescent="0.3">
      <c r="F230">
        <f>MONTH(Table1[[#This Row],[Date  (DMY)]])</f>
        <v>1</v>
      </c>
      <c r="G230" s="10"/>
      <c r="M230" s="4">
        <f>M229-Table1[[#This Row],[Debits]]+Table1[[#This Row],[Income]]</f>
        <v>1900</v>
      </c>
      <c r="N230" t="str">
        <f>IF(AND(Table1[[#This Row],[Category]]="pay",NOT(Table1[[#This Row],[Debits]]=0)),"bad","good")</f>
        <v>good</v>
      </c>
      <c r="O230" s="5"/>
    </row>
    <row r="231" spans="6:15" x14ac:dyDescent="0.3">
      <c r="F231">
        <f>MONTH(Table1[[#This Row],[Date  (DMY)]])</f>
        <v>1</v>
      </c>
      <c r="G231" s="10"/>
      <c r="H231" s="5"/>
      <c r="I231"/>
      <c r="J231" s="9"/>
      <c r="K231" s="9"/>
      <c r="L231"/>
      <c r="M231" s="4">
        <f>M230-Table1[[#This Row],[Debits]]+Table1[[#This Row],[Income]]</f>
        <v>1900</v>
      </c>
      <c r="N231" t="str">
        <f>IF(AND(Table1[[#This Row],[Category]]="pay",NOT(Table1[[#This Row],[Debits]]=0)),"bad","good")</f>
        <v>good</v>
      </c>
      <c r="O231" s="5"/>
    </row>
    <row r="232" spans="6:15" x14ac:dyDescent="0.3">
      <c r="F232">
        <f>MONTH(Table1[[#This Row],[Date  (DMY)]])</f>
        <v>1</v>
      </c>
      <c r="G232" s="10"/>
      <c r="M232" s="4">
        <f>M231-Table1[[#This Row],[Debits]]+Table1[[#This Row],[Income]]</f>
        <v>1900</v>
      </c>
      <c r="N232" t="str">
        <f>IF(AND(Table1[[#This Row],[Category]]="pay",NOT(Table1[[#This Row],[Debits]]=0)),"bad","good")</f>
        <v>good</v>
      </c>
      <c r="O232" s="5"/>
    </row>
    <row r="233" spans="6:15" x14ac:dyDescent="0.3">
      <c r="F233">
        <f>MONTH(Table1[[#This Row],[Date  (DMY)]])</f>
        <v>1</v>
      </c>
      <c r="G233" s="10"/>
      <c r="M233" s="4">
        <f>M232-Table1[[#This Row],[Debits]]+Table1[[#This Row],[Income]]</f>
        <v>1900</v>
      </c>
      <c r="N233" t="str">
        <f>IF(AND(Table1[[#This Row],[Category]]="pay",NOT(Table1[[#This Row],[Debits]]=0)),"bad","good")</f>
        <v>good</v>
      </c>
      <c r="O233" s="5"/>
    </row>
    <row r="234" spans="6:15" x14ac:dyDescent="0.3">
      <c r="F234">
        <f>MONTH(Table1[[#This Row],[Date  (DMY)]])</f>
        <v>1</v>
      </c>
      <c r="G234" s="10"/>
      <c r="H234" s="5"/>
      <c r="I234"/>
      <c r="J234" s="9"/>
      <c r="K234" s="9"/>
      <c r="L234"/>
      <c r="M234" s="4">
        <f>M233-Table1[[#This Row],[Debits]]+Table1[[#This Row],[Income]]</f>
        <v>1900</v>
      </c>
      <c r="N234" t="str">
        <f>IF(AND(Table1[[#This Row],[Category]]="pay",NOT(Table1[[#This Row],[Debits]]=0)),"bad","good")</f>
        <v>good</v>
      </c>
      <c r="O234" s="5"/>
    </row>
    <row r="235" spans="6:15" x14ac:dyDescent="0.3">
      <c r="F235">
        <f>MONTH(Table1[[#This Row],[Date  (DMY)]])</f>
        <v>1</v>
      </c>
      <c r="G235" s="10"/>
      <c r="H235" s="5"/>
      <c r="I235"/>
      <c r="J235" s="9"/>
      <c r="K235" s="9"/>
      <c r="L235"/>
      <c r="M235" s="4">
        <f>M234-Table1[[#This Row],[Debits]]+Table1[[#This Row],[Income]]</f>
        <v>1900</v>
      </c>
      <c r="N235" t="str">
        <f>IF(AND(Table1[[#This Row],[Category]]="pay",NOT(Table1[[#This Row],[Debits]]=0)),"bad","good")</f>
        <v>good</v>
      </c>
      <c r="O235" s="5"/>
    </row>
    <row r="236" spans="6:15" x14ac:dyDescent="0.3">
      <c r="F236">
        <f>MONTH(Table1[[#This Row],[Date  (DMY)]])</f>
        <v>1</v>
      </c>
      <c r="G236" s="10"/>
      <c r="H236" s="5"/>
      <c r="I236"/>
      <c r="J236" s="9"/>
      <c r="K236" s="9"/>
      <c r="L236"/>
      <c r="M236" s="4">
        <f>M235-Table1[[#This Row],[Debits]]+Table1[[#This Row],[Income]]</f>
        <v>1900</v>
      </c>
      <c r="N236" t="str">
        <f>IF(AND(Table1[[#This Row],[Category]]="pay",NOT(Table1[[#This Row],[Debits]]=0)),"bad","good")</f>
        <v>good</v>
      </c>
      <c r="O236" s="5"/>
    </row>
    <row r="237" spans="6:15" x14ac:dyDescent="0.3">
      <c r="F237">
        <f>MONTH(Table1[[#This Row],[Date  (DMY)]])</f>
        <v>1</v>
      </c>
      <c r="G237" s="10"/>
      <c r="M237" s="4">
        <f>M236-Table1[[#This Row],[Debits]]+Table1[[#This Row],[Income]]</f>
        <v>1900</v>
      </c>
      <c r="N237" t="str">
        <f>IF(AND(Table1[[#This Row],[Category]]="pay",NOT(Table1[[#This Row],[Debits]]=0)),"bad","good")</f>
        <v>good</v>
      </c>
      <c r="O237" s="5"/>
    </row>
    <row r="238" spans="6:15" x14ac:dyDescent="0.3">
      <c r="F238">
        <f>MONTH(Table1[[#This Row],[Date  (DMY)]])</f>
        <v>1</v>
      </c>
      <c r="G238" s="10"/>
      <c r="M238" s="4">
        <f>M237-Table1[[#This Row],[Debits]]+Table1[[#This Row],[Income]]</f>
        <v>1900</v>
      </c>
      <c r="N238" t="str">
        <f>IF(AND(Table1[[#This Row],[Category]]="pay",NOT(Table1[[#This Row],[Debits]]=0)),"bad","good")</f>
        <v>good</v>
      </c>
      <c r="O238" s="5"/>
    </row>
    <row r="239" spans="6:15" x14ac:dyDescent="0.3">
      <c r="F239">
        <f>MONTH(Table1[[#This Row],[Date  (DMY)]])</f>
        <v>1</v>
      </c>
      <c r="G239" s="10"/>
      <c r="H239" s="5"/>
      <c r="I239"/>
      <c r="J239" s="9"/>
      <c r="K239" s="9"/>
      <c r="L239"/>
      <c r="M239" s="4">
        <f>M238-Table1[[#This Row],[Debits]]+Table1[[#This Row],[Income]]</f>
        <v>1900</v>
      </c>
      <c r="N239" t="str">
        <f>IF(AND(Table1[[#This Row],[Category]]="pay",NOT(Table1[[#This Row],[Debits]]=0)),"bad","good")</f>
        <v>good</v>
      </c>
      <c r="O239" s="5"/>
    </row>
    <row r="240" spans="6:15" x14ac:dyDescent="0.3">
      <c r="F240">
        <f>MONTH(Table1[[#This Row],[Date  (DMY)]])</f>
        <v>1</v>
      </c>
      <c r="G240" s="10"/>
      <c r="H240" s="5"/>
      <c r="I240"/>
      <c r="J240" s="9"/>
      <c r="K240" s="9"/>
      <c r="L240"/>
      <c r="M240" s="4">
        <f>M239-Table1[[#This Row],[Debits]]+Table1[[#This Row],[Income]]</f>
        <v>1900</v>
      </c>
      <c r="N240" t="str">
        <f>IF(AND(Table1[[#This Row],[Category]]="pay",NOT(Table1[[#This Row],[Debits]]=0)),"bad","good")</f>
        <v>good</v>
      </c>
      <c r="O240" s="5"/>
    </row>
    <row r="241" spans="6:15" x14ac:dyDescent="0.3">
      <c r="F241">
        <f>MONTH(Table1[[#This Row],[Date  (DMY)]])</f>
        <v>1</v>
      </c>
      <c r="G241" s="10"/>
      <c r="H241" s="5"/>
      <c r="I241"/>
      <c r="J241" s="9"/>
      <c r="K241" s="9"/>
      <c r="L241"/>
      <c r="M241" s="4">
        <f>M240-Table1[[#This Row],[Debits]]+Table1[[#This Row],[Income]]</f>
        <v>1900</v>
      </c>
      <c r="N241" t="str">
        <f>IF(AND(Table1[[#This Row],[Category]]="pay",NOT(Table1[[#This Row],[Debits]]=0)),"bad","good")</f>
        <v>good</v>
      </c>
      <c r="O241" s="5"/>
    </row>
    <row r="242" spans="6:15" x14ac:dyDescent="0.3">
      <c r="F242">
        <f>MONTH(Table1[[#This Row],[Date  (DMY)]])</f>
        <v>1</v>
      </c>
      <c r="G242" s="10"/>
      <c r="M242" s="4">
        <f>M241-Table1[[#This Row],[Debits]]+Table1[[#This Row],[Income]]</f>
        <v>1900</v>
      </c>
      <c r="N242" t="str">
        <f>IF(AND(Table1[[#This Row],[Category]]="pay",NOT(Table1[[#This Row],[Debits]]=0)),"bad","good")</f>
        <v>good</v>
      </c>
      <c r="O242" s="5"/>
    </row>
    <row r="243" spans="6:15" x14ac:dyDescent="0.3">
      <c r="F243">
        <f>MONTH(Table1[[#This Row],[Date  (DMY)]])</f>
        <v>1</v>
      </c>
      <c r="G243" s="10"/>
      <c r="H243" s="5"/>
      <c r="I243"/>
      <c r="J243" s="9"/>
      <c r="K243" s="9"/>
      <c r="L243"/>
      <c r="M243" s="4">
        <f>M242-Table1[[#This Row],[Debits]]+Table1[[#This Row],[Income]]</f>
        <v>1900</v>
      </c>
      <c r="N243" t="str">
        <f>IF(AND(Table1[[#This Row],[Category]]="pay",NOT(Table1[[#This Row],[Debits]]=0)),"bad","good")</f>
        <v>good</v>
      </c>
      <c r="O243" s="5"/>
    </row>
    <row r="244" spans="6:15" x14ac:dyDescent="0.3">
      <c r="F244">
        <f>MONTH(Table1[[#This Row],[Date  (DMY)]])</f>
        <v>1</v>
      </c>
      <c r="G244" s="10"/>
      <c r="H244" s="5"/>
      <c r="I244"/>
      <c r="J244" s="9"/>
      <c r="K244" s="9"/>
      <c r="L244"/>
      <c r="M244" s="4">
        <f>M243-Table1[[#This Row],[Debits]]+Table1[[#This Row],[Income]]</f>
        <v>1900</v>
      </c>
      <c r="N244" t="str">
        <f>IF(AND(Table1[[#This Row],[Category]]="pay",NOT(Table1[[#This Row],[Debits]]=0)),"bad","good")</f>
        <v>good</v>
      </c>
      <c r="O244" s="5"/>
    </row>
    <row r="245" spans="6:15" x14ac:dyDescent="0.3">
      <c r="F245">
        <f>MONTH(Table1[[#This Row],[Date  (DMY)]])</f>
        <v>1</v>
      </c>
      <c r="G245" s="10"/>
      <c r="M245" s="4">
        <f>M244-Table1[[#This Row],[Debits]]+Table1[[#This Row],[Income]]</f>
        <v>1900</v>
      </c>
      <c r="N245" t="str">
        <f>IF(AND(Table1[[#This Row],[Category]]="pay",NOT(Table1[[#This Row],[Debits]]=0)),"bad","good")</f>
        <v>good</v>
      </c>
      <c r="O245" s="5"/>
    </row>
    <row r="246" spans="6:15" x14ac:dyDescent="0.3">
      <c r="F246">
        <f>MONTH(Table1[[#This Row],[Date  (DMY)]])</f>
        <v>1</v>
      </c>
      <c r="G246" s="10"/>
      <c r="M246" s="4">
        <f>M245-Table1[[#This Row],[Debits]]+Table1[[#This Row],[Income]]</f>
        <v>1900</v>
      </c>
      <c r="N246" t="str">
        <f>IF(AND(Table1[[#This Row],[Category]]="pay",NOT(Table1[[#This Row],[Debits]]=0)),"bad","good")</f>
        <v>good</v>
      </c>
      <c r="O246" s="5"/>
    </row>
    <row r="247" spans="6:15" x14ac:dyDescent="0.3">
      <c r="F247">
        <f>MONTH(Table1[[#This Row],[Date  (DMY)]])</f>
        <v>1</v>
      </c>
      <c r="G247" s="10"/>
      <c r="M247" s="4">
        <f>M246-Table1[[#This Row],[Debits]]+Table1[[#This Row],[Income]]</f>
        <v>1900</v>
      </c>
      <c r="N247" t="str">
        <f>IF(AND(Table1[[#This Row],[Category]]="pay",NOT(Table1[[#This Row],[Debits]]=0)),"bad","good")</f>
        <v>good</v>
      </c>
      <c r="O247" s="5"/>
    </row>
    <row r="248" spans="6:15" x14ac:dyDescent="0.3">
      <c r="F248">
        <f>MONTH(Table1[[#This Row],[Date  (DMY)]])</f>
        <v>1</v>
      </c>
      <c r="G248" s="10"/>
      <c r="M248" s="4">
        <f>M247-Table1[[#This Row],[Debits]]+Table1[[#This Row],[Income]]</f>
        <v>1900</v>
      </c>
      <c r="N248" t="str">
        <f>IF(AND(Table1[[#This Row],[Category]]="pay",NOT(Table1[[#This Row],[Debits]]=0)),"bad","good")</f>
        <v>good</v>
      </c>
      <c r="O248" s="5"/>
    </row>
    <row r="249" spans="6:15" x14ac:dyDescent="0.3">
      <c r="F249">
        <f>MONTH(Table1[[#This Row],[Date  (DMY)]])</f>
        <v>1</v>
      </c>
      <c r="G249" s="10"/>
      <c r="H249" s="5"/>
      <c r="I249"/>
      <c r="J249" s="9"/>
      <c r="K249" s="9"/>
      <c r="L249"/>
      <c r="M249" s="4">
        <f>M248-Table1[[#This Row],[Debits]]+Table1[[#This Row],[Income]]</f>
        <v>1900</v>
      </c>
      <c r="N249" t="str">
        <f>IF(AND(Table1[[#This Row],[Category]]="pay",NOT(Table1[[#This Row],[Debits]]=0)),"bad","good")</f>
        <v>good</v>
      </c>
      <c r="O249" s="5"/>
    </row>
    <row r="250" spans="6:15" x14ac:dyDescent="0.3">
      <c r="F250">
        <f>MONTH(Table1[[#This Row],[Date  (DMY)]])</f>
        <v>1</v>
      </c>
      <c r="G250" s="10"/>
      <c r="H250" s="5"/>
      <c r="I250"/>
      <c r="J250" s="9"/>
      <c r="K250" s="9"/>
      <c r="L250"/>
      <c r="M250" s="4">
        <f>M249-Table1[[#This Row],[Debits]]+Table1[[#This Row],[Income]]</f>
        <v>1900</v>
      </c>
      <c r="N250" t="str">
        <f>IF(AND(Table1[[#This Row],[Category]]="pay",NOT(Table1[[#This Row],[Debits]]=0)),"bad","good")</f>
        <v>good</v>
      </c>
      <c r="O250" s="5"/>
    </row>
    <row r="251" spans="6:15" x14ac:dyDescent="0.3">
      <c r="F251">
        <f>MONTH(Table1[[#This Row],[Date  (DMY)]])</f>
        <v>1</v>
      </c>
      <c r="G251" s="10"/>
      <c r="M251" s="4">
        <f>M250-Table1[[#This Row],[Debits]]+Table1[[#This Row],[Income]]</f>
        <v>1900</v>
      </c>
      <c r="N251" t="str">
        <f>IF(AND(Table1[[#This Row],[Category]]="pay",NOT(Table1[[#This Row],[Debits]]=0)),"bad","good")</f>
        <v>good</v>
      </c>
      <c r="O251" s="5"/>
    </row>
    <row r="252" spans="6:15" x14ac:dyDescent="0.3">
      <c r="F252">
        <f>MONTH(Table1[[#This Row],[Date  (DMY)]])</f>
        <v>1</v>
      </c>
      <c r="G252" s="10"/>
      <c r="H252" s="5"/>
      <c r="I252"/>
      <c r="J252" s="9"/>
      <c r="K252" s="9"/>
      <c r="L252"/>
      <c r="M252" s="4">
        <f>M251-Table1[[#This Row],[Debits]]+Table1[[#This Row],[Income]]</f>
        <v>1900</v>
      </c>
      <c r="N252" t="str">
        <f>IF(AND(Table1[[#This Row],[Category]]="pay",NOT(Table1[[#This Row],[Debits]]=0)),"bad","good")</f>
        <v>good</v>
      </c>
      <c r="O252" s="5"/>
    </row>
    <row r="253" spans="6:15" x14ac:dyDescent="0.3">
      <c r="F253">
        <f>MONTH(Table1[[#This Row],[Date  (DMY)]])</f>
        <v>1</v>
      </c>
      <c r="G253" s="10"/>
      <c r="H253" s="5"/>
      <c r="I253"/>
      <c r="J253" s="9"/>
      <c r="K253" s="9"/>
      <c r="L253"/>
      <c r="M253" s="4">
        <f>M252-Table1[[#This Row],[Debits]]+Table1[[#This Row],[Income]]</f>
        <v>1900</v>
      </c>
      <c r="N253" t="str">
        <f>IF(AND(Table1[[#This Row],[Category]]="pay",NOT(Table1[[#This Row],[Debits]]=0)),"bad","good")</f>
        <v>good</v>
      </c>
      <c r="O253" s="5"/>
    </row>
    <row r="254" spans="6:15" x14ac:dyDescent="0.3">
      <c r="F254">
        <f>MONTH(Table1[[#This Row],[Date  (DMY)]])</f>
        <v>1</v>
      </c>
      <c r="G254" s="10"/>
      <c r="H254" s="5"/>
      <c r="I254"/>
      <c r="J254" s="9"/>
      <c r="K254" s="9"/>
      <c r="L254"/>
      <c r="M254" s="4">
        <f>M253-Table1[[#This Row],[Debits]]+Table1[[#This Row],[Income]]</f>
        <v>1900</v>
      </c>
      <c r="N254" t="str">
        <f>IF(AND(Table1[[#This Row],[Category]]="pay",NOT(Table1[[#This Row],[Debits]]=0)),"bad","good")</f>
        <v>good</v>
      </c>
      <c r="O254" s="5"/>
    </row>
    <row r="255" spans="6:15" x14ac:dyDescent="0.3">
      <c r="F255">
        <f>MONTH(Table1[[#This Row],[Date  (DMY)]])</f>
        <v>1</v>
      </c>
      <c r="G255" s="10"/>
      <c r="H255" s="5"/>
      <c r="I255"/>
      <c r="J255" s="9"/>
      <c r="K255" s="9"/>
      <c r="L255"/>
      <c r="M255" s="4">
        <f>M254-Table1[[#This Row],[Debits]]+Table1[[#This Row],[Income]]</f>
        <v>1900</v>
      </c>
      <c r="N255" t="str">
        <f>IF(AND(Table1[[#This Row],[Category]]="pay",NOT(Table1[[#This Row],[Debits]]=0)),"bad","good")</f>
        <v>good</v>
      </c>
      <c r="O255" s="5"/>
    </row>
    <row r="256" spans="6:15" x14ac:dyDescent="0.3">
      <c r="F256">
        <f>MONTH(Table1[[#This Row],[Date  (DMY)]])</f>
        <v>1</v>
      </c>
      <c r="G256" s="10"/>
      <c r="H256" s="5"/>
      <c r="I256"/>
      <c r="J256" s="9"/>
      <c r="K256" s="9"/>
      <c r="L256"/>
      <c r="M256" s="4">
        <f>M255-Table1[[#This Row],[Debits]]+Table1[[#This Row],[Income]]</f>
        <v>1900</v>
      </c>
      <c r="N256" t="str">
        <f>IF(AND(Table1[[#This Row],[Category]]="pay",NOT(Table1[[#This Row],[Debits]]=0)),"bad","good")</f>
        <v>good</v>
      </c>
      <c r="O256" s="5"/>
    </row>
    <row r="257" spans="6:15" x14ac:dyDescent="0.3">
      <c r="F257">
        <f>MONTH(Table1[[#This Row],[Date  (DMY)]])</f>
        <v>1</v>
      </c>
      <c r="G257" s="10"/>
      <c r="M257" s="4">
        <f>M256-Table1[[#This Row],[Debits]]+Table1[[#This Row],[Income]]</f>
        <v>1900</v>
      </c>
      <c r="N257" t="str">
        <f>IF(AND(Table1[[#This Row],[Category]]="pay",NOT(Table1[[#This Row],[Debits]]=0)),"bad","good")</f>
        <v>good</v>
      </c>
      <c r="O257" s="5"/>
    </row>
    <row r="258" spans="6:15" x14ac:dyDescent="0.3">
      <c r="F258">
        <f>MONTH(Table1[[#This Row],[Date  (DMY)]])</f>
        <v>1</v>
      </c>
      <c r="G258" s="10"/>
      <c r="M258" s="4">
        <f>M257-Table1[[#This Row],[Debits]]+Table1[[#This Row],[Income]]</f>
        <v>1900</v>
      </c>
      <c r="N258" t="str">
        <f>IF(AND(Table1[[#This Row],[Category]]="pay",NOT(Table1[[#This Row],[Debits]]=0)),"bad","good")</f>
        <v>good</v>
      </c>
      <c r="O258" s="5"/>
    </row>
    <row r="259" spans="6:15" x14ac:dyDescent="0.3">
      <c r="F259">
        <f>MONTH(Table1[[#This Row],[Date  (DMY)]])</f>
        <v>1</v>
      </c>
      <c r="G259" s="10"/>
      <c r="M259" s="4">
        <f>M258-Table1[[#This Row],[Debits]]+Table1[[#This Row],[Income]]</f>
        <v>1900</v>
      </c>
      <c r="N259" t="str">
        <f>IF(AND(Table1[[#This Row],[Category]]="pay",NOT(Table1[[#This Row],[Debits]]=0)),"bad","good")</f>
        <v>good</v>
      </c>
      <c r="O259" s="5"/>
    </row>
    <row r="260" spans="6:15" x14ac:dyDescent="0.3">
      <c r="F260">
        <f>MONTH(Table1[[#This Row],[Date  (DMY)]])</f>
        <v>1</v>
      </c>
      <c r="G260" s="10"/>
      <c r="M260" s="4">
        <f>M259-Table1[[#This Row],[Debits]]+Table1[[#This Row],[Income]]</f>
        <v>1900</v>
      </c>
      <c r="N260" t="str">
        <f>IF(AND(Table1[[#This Row],[Category]]="pay",NOT(Table1[[#This Row],[Debits]]=0)),"bad","good")</f>
        <v>good</v>
      </c>
      <c r="O260" s="5"/>
    </row>
    <row r="261" spans="6:15" x14ac:dyDescent="0.3">
      <c r="F261">
        <f>MONTH(Table1[[#This Row],[Date  (DMY)]])</f>
        <v>1</v>
      </c>
      <c r="G261" s="10"/>
      <c r="H261" s="5"/>
      <c r="I261"/>
      <c r="J261" s="9"/>
      <c r="K261" s="9"/>
      <c r="L261"/>
      <c r="M261" s="4">
        <f>M260-Table1[[#This Row],[Debits]]+Table1[[#This Row],[Income]]</f>
        <v>1900</v>
      </c>
      <c r="N261" t="str">
        <f>IF(AND(Table1[[#This Row],[Category]]="pay",NOT(Table1[[#This Row],[Debits]]=0)),"bad","good")</f>
        <v>good</v>
      </c>
      <c r="O261" s="5"/>
    </row>
    <row r="262" spans="6:15" x14ac:dyDescent="0.3">
      <c r="F262">
        <f>MONTH(Table1[[#This Row],[Date  (DMY)]])</f>
        <v>1</v>
      </c>
      <c r="G262" s="10"/>
      <c r="H262" s="5"/>
      <c r="I262"/>
      <c r="J262" s="9"/>
      <c r="K262" s="9"/>
      <c r="L262"/>
      <c r="M262" s="4">
        <f>M261-Table1[[#This Row],[Debits]]+Table1[[#This Row],[Income]]</f>
        <v>1900</v>
      </c>
      <c r="N262" t="str">
        <f>IF(AND(Table1[[#This Row],[Category]]="pay",NOT(Table1[[#This Row],[Debits]]=0)),"bad","good")</f>
        <v>good</v>
      </c>
      <c r="O262" s="5"/>
    </row>
    <row r="263" spans="6:15" x14ac:dyDescent="0.3">
      <c r="F263">
        <f>MONTH(Table1[[#This Row],[Date  (DMY)]])</f>
        <v>1</v>
      </c>
      <c r="G263" s="10"/>
      <c r="H263" s="5"/>
      <c r="I263"/>
      <c r="J263" s="9"/>
      <c r="K263" s="9"/>
      <c r="L263"/>
      <c r="M263" s="4">
        <f>M262-Table1[[#This Row],[Debits]]+Table1[[#This Row],[Income]]</f>
        <v>1900</v>
      </c>
      <c r="N263" t="str">
        <f>IF(AND(Table1[[#This Row],[Category]]="pay",NOT(Table1[[#This Row],[Debits]]=0)),"bad","good")</f>
        <v>good</v>
      </c>
      <c r="O263" s="5"/>
    </row>
    <row r="264" spans="6:15" x14ac:dyDescent="0.3">
      <c r="F264">
        <f>MONTH(Table1[[#This Row],[Date  (DMY)]])</f>
        <v>1</v>
      </c>
      <c r="G264" s="10"/>
      <c r="M264" s="4">
        <f>M263-Table1[[#This Row],[Debits]]+Table1[[#This Row],[Income]]</f>
        <v>1900</v>
      </c>
      <c r="N264" t="str">
        <f>IF(AND(Table1[[#This Row],[Category]]="pay",NOT(Table1[[#This Row],[Debits]]=0)),"bad","good")</f>
        <v>good</v>
      </c>
      <c r="O264" s="5"/>
    </row>
    <row r="265" spans="6:15" x14ac:dyDescent="0.3">
      <c r="F265">
        <f>MONTH(Table1[[#This Row],[Date  (DMY)]])</f>
        <v>1</v>
      </c>
      <c r="G265" s="10"/>
      <c r="H265" s="5"/>
      <c r="I265"/>
      <c r="J265" s="9"/>
      <c r="K265" s="9"/>
      <c r="L265"/>
      <c r="M265" s="4">
        <f>M264-Table1[[#This Row],[Debits]]+Table1[[#This Row],[Income]]</f>
        <v>1900</v>
      </c>
      <c r="N265" t="str">
        <f>IF(AND(Table1[[#This Row],[Category]]="pay",NOT(Table1[[#This Row],[Debits]]=0)),"bad","good")</f>
        <v>good</v>
      </c>
      <c r="O265" s="5"/>
    </row>
    <row r="266" spans="6:15" x14ac:dyDescent="0.3">
      <c r="F266">
        <f>MONTH(Table1[[#This Row],[Date  (DMY)]])</f>
        <v>1</v>
      </c>
      <c r="G266" s="10"/>
      <c r="H266" s="5"/>
      <c r="I266"/>
      <c r="J266" s="9"/>
      <c r="K266" s="9"/>
      <c r="L266"/>
      <c r="M266" s="4">
        <f>M265-Table1[[#This Row],[Debits]]+Table1[[#This Row],[Income]]</f>
        <v>1900</v>
      </c>
      <c r="N266" t="str">
        <f>IF(AND(Table1[[#This Row],[Category]]="pay",NOT(Table1[[#This Row],[Debits]]=0)),"bad","good")</f>
        <v>good</v>
      </c>
      <c r="O266" s="5"/>
    </row>
    <row r="267" spans="6:15" x14ac:dyDescent="0.3">
      <c r="F267">
        <f>MONTH(Table1[[#This Row],[Date  (DMY)]])</f>
        <v>1</v>
      </c>
      <c r="G267" s="10"/>
      <c r="M267" s="4">
        <f>M266-Table1[[#This Row],[Debits]]+Table1[[#This Row],[Income]]</f>
        <v>1900</v>
      </c>
      <c r="N267" t="str">
        <f>IF(AND(Table1[[#This Row],[Category]]="pay",NOT(Table1[[#This Row],[Debits]]=0)),"bad","good")</f>
        <v>good</v>
      </c>
      <c r="O267" s="5"/>
    </row>
    <row r="268" spans="6:15" x14ac:dyDescent="0.3">
      <c r="F268">
        <f>MONTH(Table1[[#This Row],[Date  (DMY)]])</f>
        <v>1</v>
      </c>
      <c r="G268" s="10"/>
      <c r="M268" s="4">
        <f>M267-Table1[[#This Row],[Debits]]+Table1[[#This Row],[Income]]</f>
        <v>1900</v>
      </c>
      <c r="N268" t="str">
        <f>IF(AND(Table1[[#This Row],[Category]]="pay",NOT(Table1[[#This Row],[Debits]]=0)),"bad","good")</f>
        <v>good</v>
      </c>
      <c r="O268" s="5"/>
    </row>
    <row r="269" spans="6:15" x14ac:dyDescent="0.3">
      <c r="F269">
        <f>MONTH(Table1[[#This Row],[Date  (DMY)]])</f>
        <v>1</v>
      </c>
      <c r="G269" s="10"/>
      <c r="M269" s="4">
        <f>M268-Table1[[#This Row],[Debits]]+Table1[[#This Row],[Income]]</f>
        <v>1900</v>
      </c>
      <c r="N269" t="str">
        <f>IF(AND(Table1[[#This Row],[Category]]="pay",NOT(Table1[[#This Row],[Debits]]=0)),"bad","good")</f>
        <v>good</v>
      </c>
      <c r="O269" s="5"/>
    </row>
    <row r="270" spans="6:15" x14ac:dyDescent="0.3">
      <c r="F270">
        <f>MONTH(Table1[[#This Row],[Date  (DMY)]])</f>
        <v>1</v>
      </c>
      <c r="G270" s="10"/>
      <c r="M270" s="4">
        <f>M269-Table1[[#This Row],[Debits]]+Table1[[#This Row],[Income]]</f>
        <v>1900</v>
      </c>
      <c r="N270" t="str">
        <f>IF(AND(Table1[[#This Row],[Category]]="pay",NOT(Table1[[#This Row],[Debits]]=0)),"bad","good")</f>
        <v>good</v>
      </c>
      <c r="O270" s="5"/>
    </row>
    <row r="271" spans="6:15" x14ac:dyDescent="0.3">
      <c r="F271">
        <f>MONTH(Table1[[#This Row],[Date  (DMY)]])</f>
        <v>1</v>
      </c>
      <c r="G271" s="10"/>
      <c r="M271" s="4">
        <f>M270-Table1[[#This Row],[Debits]]+Table1[[#This Row],[Income]]</f>
        <v>1900</v>
      </c>
      <c r="N271" t="str">
        <f>IF(AND(Table1[[#This Row],[Category]]="pay",NOT(Table1[[#This Row],[Debits]]=0)),"bad","good")</f>
        <v>good</v>
      </c>
      <c r="O271" s="5"/>
    </row>
    <row r="272" spans="6:15" x14ac:dyDescent="0.3">
      <c r="F272">
        <f>MONTH(Table1[[#This Row],[Date  (DMY)]])</f>
        <v>1</v>
      </c>
      <c r="G272" s="10"/>
      <c r="M272" s="4">
        <f>M271-Table1[[#This Row],[Debits]]+Table1[[#This Row],[Income]]</f>
        <v>1900</v>
      </c>
      <c r="N272" t="str">
        <f>IF(AND(Table1[[#This Row],[Category]]="pay",NOT(Table1[[#This Row],[Debits]]=0)),"bad","good")</f>
        <v>good</v>
      </c>
      <c r="O272" s="5"/>
    </row>
    <row r="273" spans="6:15" x14ac:dyDescent="0.3">
      <c r="F273">
        <f>MONTH(Table1[[#This Row],[Date  (DMY)]])</f>
        <v>1</v>
      </c>
      <c r="G273" s="10"/>
      <c r="H273" s="5"/>
      <c r="I273"/>
      <c r="J273" s="9"/>
      <c r="K273" s="9"/>
      <c r="L273"/>
      <c r="M273" s="4">
        <f>M272-Table1[[#This Row],[Debits]]+Table1[[#This Row],[Income]]</f>
        <v>1900</v>
      </c>
      <c r="N273" t="str">
        <f>IF(AND(Table1[[#This Row],[Category]]="pay",NOT(Table1[[#This Row],[Debits]]=0)),"bad","good")</f>
        <v>good</v>
      </c>
      <c r="O273" s="5"/>
    </row>
    <row r="274" spans="6:15" x14ac:dyDescent="0.3">
      <c r="F274">
        <f>MONTH(Table1[[#This Row],[Date  (DMY)]])</f>
        <v>1</v>
      </c>
      <c r="G274" s="10"/>
      <c r="M274" s="4">
        <f>M273-Table1[[#This Row],[Debits]]+Table1[[#This Row],[Income]]</f>
        <v>1900</v>
      </c>
      <c r="N274" t="str">
        <f>IF(AND(Table1[[#This Row],[Category]]="pay",NOT(Table1[[#This Row],[Debits]]=0)),"bad","good")</f>
        <v>good</v>
      </c>
      <c r="O274" s="5"/>
    </row>
    <row r="275" spans="6:15" x14ac:dyDescent="0.3">
      <c r="F275">
        <f>MONTH(Table1[[#This Row],[Date  (DMY)]])</f>
        <v>1</v>
      </c>
      <c r="G275" s="10"/>
      <c r="M275" s="4">
        <f>M274-Table1[[#This Row],[Debits]]+Table1[[#This Row],[Income]]</f>
        <v>1900</v>
      </c>
      <c r="N275" t="str">
        <f>IF(AND(Table1[[#This Row],[Category]]="pay",NOT(Table1[[#This Row],[Debits]]=0)),"bad","good")</f>
        <v>good</v>
      </c>
      <c r="O275" s="5"/>
    </row>
    <row r="276" spans="6:15" x14ac:dyDescent="0.3">
      <c r="F276">
        <f>MONTH(Table1[[#This Row],[Date  (DMY)]])</f>
        <v>1</v>
      </c>
      <c r="G276" s="10"/>
      <c r="H276" s="5"/>
      <c r="I276"/>
      <c r="J276" s="9"/>
      <c r="K276" s="9"/>
      <c r="L276"/>
      <c r="M276" s="4">
        <f>M275-Table1[[#This Row],[Debits]]+Table1[[#This Row],[Income]]</f>
        <v>1900</v>
      </c>
      <c r="N276" t="str">
        <f>IF(AND(Table1[[#This Row],[Category]]="pay",NOT(Table1[[#This Row],[Debits]]=0)),"bad","good")</f>
        <v>good</v>
      </c>
      <c r="O276" s="5"/>
    </row>
    <row r="277" spans="6:15" x14ac:dyDescent="0.3">
      <c r="F277">
        <f>MONTH(Table1[[#This Row],[Date  (DMY)]])</f>
        <v>1</v>
      </c>
      <c r="G277" s="10"/>
      <c r="M277" s="4">
        <f>M276-Table1[[#This Row],[Debits]]+Table1[[#This Row],[Income]]</f>
        <v>1900</v>
      </c>
      <c r="N277" t="str">
        <f>IF(AND(Table1[[#This Row],[Category]]="pay",NOT(Table1[[#This Row],[Debits]]=0)),"bad","good")</f>
        <v>good</v>
      </c>
      <c r="O277" s="5"/>
    </row>
    <row r="278" spans="6:15" x14ac:dyDescent="0.3">
      <c r="F278">
        <f>MONTH(Table1[[#This Row],[Date  (DMY)]])</f>
        <v>1</v>
      </c>
      <c r="G278" s="10"/>
      <c r="H278" s="5"/>
      <c r="I278"/>
      <c r="J278" s="9"/>
      <c r="K278" s="9"/>
      <c r="L278"/>
      <c r="M278" s="4">
        <f>M277-Table1[[#This Row],[Debits]]+Table1[[#This Row],[Income]]</f>
        <v>1900</v>
      </c>
      <c r="N278" t="str">
        <f>IF(AND(Table1[[#This Row],[Category]]="pay",NOT(Table1[[#This Row],[Debits]]=0)),"bad","good")</f>
        <v>good</v>
      </c>
      <c r="O278" s="5"/>
    </row>
    <row r="279" spans="6:15" x14ac:dyDescent="0.3">
      <c r="F279">
        <f>MONTH(Table1[[#This Row],[Date  (DMY)]])</f>
        <v>1</v>
      </c>
      <c r="G279" s="10"/>
      <c r="M279" s="4">
        <f>M278-Table1[[#This Row],[Debits]]+Table1[[#This Row],[Income]]</f>
        <v>1900</v>
      </c>
      <c r="N279" t="str">
        <f>IF(AND(Table1[[#This Row],[Category]]="pay",NOT(Table1[[#This Row],[Debits]]=0)),"bad","good")</f>
        <v>good</v>
      </c>
      <c r="O279" s="5"/>
    </row>
    <row r="280" spans="6:15" x14ac:dyDescent="0.3">
      <c r="F280">
        <f>MONTH(Table1[[#This Row],[Date  (DMY)]])</f>
        <v>1</v>
      </c>
      <c r="G280" s="10"/>
      <c r="L280" s="5"/>
      <c r="M280" s="4">
        <f>M279-Table1[[#This Row],[Debits]]+Table1[[#This Row],[Income]]</f>
        <v>1900</v>
      </c>
      <c r="N280" t="str">
        <f>IF(AND(Table1[[#This Row],[Category]]="pay",NOT(Table1[[#This Row],[Debits]]=0)),"bad","good")</f>
        <v>good</v>
      </c>
      <c r="O280" s="5"/>
    </row>
    <row r="281" spans="6:15" x14ac:dyDescent="0.3">
      <c r="F281">
        <f>MONTH(Table1[[#This Row],[Date  (DMY)]])</f>
        <v>1</v>
      </c>
      <c r="G281" s="10"/>
      <c r="L281" s="5"/>
      <c r="M281" s="4">
        <f>M280-Table1[[#This Row],[Debits]]+Table1[[#This Row],[Income]]</f>
        <v>1900</v>
      </c>
      <c r="N281" t="str">
        <f>IF(AND(Table1[[#This Row],[Category]]="pay",NOT(Table1[[#This Row],[Debits]]=0)),"bad","good")</f>
        <v>good</v>
      </c>
      <c r="O281" s="5"/>
    </row>
    <row r="282" spans="6:15" x14ac:dyDescent="0.3">
      <c r="F282">
        <f>MONTH(Table1[[#This Row],[Date  (DMY)]])</f>
        <v>1</v>
      </c>
      <c r="G282" s="10"/>
      <c r="H282" s="5"/>
      <c r="I282"/>
      <c r="J282" s="9"/>
      <c r="K282" s="9"/>
      <c r="L282"/>
      <c r="M282" s="4">
        <f>M281-Table1[[#This Row],[Debits]]+Table1[[#This Row],[Income]]</f>
        <v>1900</v>
      </c>
      <c r="N282" t="str">
        <f>IF(AND(Table1[[#This Row],[Category]]="pay",NOT(Table1[[#This Row],[Debits]]=0)),"bad","good")</f>
        <v>good</v>
      </c>
      <c r="O282" s="5"/>
    </row>
    <row r="283" spans="6:15" x14ac:dyDescent="0.3">
      <c r="F283">
        <f>MONTH(Table1[[#This Row],[Date  (DMY)]])</f>
        <v>1</v>
      </c>
      <c r="G283" s="10"/>
      <c r="H283" s="5"/>
      <c r="I283"/>
      <c r="J283" s="9"/>
      <c r="K283" s="9"/>
      <c r="L283"/>
      <c r="M283" s="4">
        <f>M282-Table1[[#This Row],[Debits]]+Table1[[#This Row],[Income]]</f>
        <v>1900</v>
      </c>
      <c r="N283" t="str">
        <f>IF(AND(Table1[[#This Row],[Category]]="pay",NOT(Table1[[#This Row],[Debits]]=0)),"bad","good")</f>
        <v>good</v>
      </c>
      <c r="O283" s="5"/>
    </row>
    <row r="284" spans="6:15" x14ac:dyDescent="0.3">
      <c r="F284">
        <f>MONTH(Table1[[#This Row],[Date  (DMY)]])</f>
        <v>1</v>
      </c>
      <c r="G284" s="10"/>
      <c r="H284" s="5"/>
      <c r="I284"/>
      <c r="J284" s="9"/>
      <c r="K284" s="9"/>
      <c r="L284"/>
      <c r="M284" s="4">
        <f>M283-Table1[[#This Row],[Debits]]+Table1[[#This Row],[Income]]</f>
        <v>1900</v>
      </c>
      <c r="N284" t="str">
        <f>IF(AND(Table1[[#This Row],[Category]]="pay",NOT(Table1[[#This Row],[Debits]]=0)),"bad","good")</f>
        <v>good</v>
      </c>
      <c r="O284" s="5"/>
    </row>
    <row r="285" spans="6:15" x14ac:dyDescent="0.3">
      <c r="F285">
        <f>MONTH(Table1[[#This Row],[Date  (DMY)]])</f>
        <v>1</v>
      </c>
      <c r="G285" s="10"/>
      <c r="L285" s="5"/>
      <c r="M285" s="4">
        <f>M284-Table1[[#This Row],[Debits]]+Table1[[#This Row],[Income]]</f>
        <v>1900</v>
      </c>
      <c r="N285" t="str">
        <f>IF(AND(Table1[[#This Row],[Category]]="pay",NOT(Table1[[#This Row],[Debits]]=0)),"bad","good")</f>
        <v>good</v>
      </c>
      <c r="O285" s="5"/>
    </row>
    <row r="286" spans="6:15" x14ac:dyDescent="0.3">
      <c r="F286">
        <f>MONTH(Table1[[#This Row],[Date  (DMY)]])</f>
        <v>1</v>
      </c>
      <c r="G286" s="10"/>
      <c r="L286" s="5"/>
      <c r="M286" s="4">
        <f>M285-Table1[[#This Row],[Debits]]+Table1[[#This Row],[Income]]</f>
        <v>1900</v>
      </c>
      <c r="N286" t="str">
        <f>IF(AND(Table1[[#This Row],[Category]]="pay",NOT(Table1[[#This Row],[Debits]]=0)),"bad","good")</f>
        <v>good</v>
      </c>
      <c r="O286" s="5"/>
    </row>
    <row r="287" spans="6:15" x14ac:dyDescent="0.3">
      <c r="F287">
        <f>MONTH(Table1[[#This Row],[Date  (DMY)]])</f>
        <v>1</v>
      </c>
      <c r="G287" s="10"/>
      <c r="H287" s="5"/>
      <c r="I287"/>
      <c r="J287" s="9"/>
      <c r="K287" s="9"/>
      <c r="L287"/>
      <c r="M287" s="4">
        <f>M286-Table1[[#This Row],[Debits]]+Table1[[#This Row],[Income]]</f>
        <v>1900</v>
      </c>
      <c r="N287" t="str">
        <f>IF(AND(Table1[[#This Row],[Category]]="pay",NOT(Table1[[#This Row],[Debits]]=0)),"bad","good")</f>
        <v>good</v>
      </c>
      <c r="O287" s="5"/>
    </row>
    <row r="288" spans="6:15" x14ac:dyDescent="0.3">
      <c r="F288">
        <f>MONTH(Table1[[#This Row],[Date  (DMY)]])</f>
        <v>1</v>
      </c>
      <c r="G288" s="10"/>
      <c r="L288" s="5"/>
      <c r="M288" s="4">
        <f>M287-Table1[[#This Row],[Debits]]+Table1[[#This Row],[Income]]</f>
        <v>1900</v>
      </c>
      <c r="N288" t="str">
        <f>IF(AND(Table1[[#This Row],[Category]]="pay",NOT(Table1[[#This Row],[Debits]]=0)),"bad","good")</f>
        <v>good</v>
      </c>
      <c r="O288" s="5"/>
    </row>
    <row r="289" spans="6:15" x14ac:dyDescent="0.3">
      <c r="F289">
        <f>MONTH(Table1[[#This Row],[Date  (DMY)]])</f>
        <v>1</v>
      </c>
      <c r="G289" s="10"/>
      <c r="L289" s="5"/>
      <c r="M289" s="4">
        <f>M288-Table1[[#This Row],[Debits]]+Table1[[#This Row],[Income]]</f>
        <v>1900</v>
      </c>
      <c r="N289" t="str">
        <f>IF(AND(Table1[[#This Row],[Category]]="pay",NOT(Table1[[#This Row],[Debits]]=0)),"bad","good")</f>
        <v>good</v>
      </c>
      <c r="O289" s="5"/>
    </row>
    <row r="290" spans="6:15" x14ac:dyDescent="0.3">
      <c r="F290">
        <f>MONTH(Table1[[#This Row],[Date  (DMY)]])</f>
        <v>1</v>
      </c>
      <c r="G290" s="10"/>
      <c r="L290" s="5"/>
      <c r="M290" s="4">
        <f>M289-Table1[[#This Row],[Debits]]+Table1[[#This Row],[Income]]</f>
        <v>1900</v>
      </c>
      <c r="N290" t="str">
        <f>IF(AND(Table1[[#This Row],[Category]]="pay",NOT(Table1[[#This Row],[Debits]]=0)),"bad","good")</f>
        <v>good</v>
      </c>
      <c r="O290" s="5"/>
    </row>
    <row r="291" spans="6:15" x14ac:dyDescent="0.3">
      <c r="F291">
        <f>MONTH(Table1[[#This Row],[Date  (DMY)]])</f>
        <v>1</v>
      </c>
      <c r="G291" s="10"/>
      <c r="L291" s="5"/>
      <c r="M291" s="4">
        <f>M290-Table1[[#This Row],[Debits]]+Table1[[#This Row],[Income]]</f>
        <v>1900</v>
      </c>
      <c r="N291" t="str">
        <f>IF(AND(Table1[[#This Row],[Category]]="pay",NOT(Table1[[#This Row],[Debits]]=0)),"bad","good")</f>
        <v>good</v>
      </c>
      <c r="O291" s="5"/>
    </row>
    <row r="292" spans="6:15" x14ac:dyDescent="0.3">
      <c r="F292">
        <f>MONTH(Table1[[#This Row],[Date  (DMY)]])</f>
        <v>1</v>
      </c>
      <c r="G292" s="10"/>
      <c r="H292" s="5"/>
      <c r="I292"/>
      <c r="J292" s="9"/>
      <c r="K292" s="9"/>
      <c r="L292"/>
      <c r="M292" s="4">
        <f>M291-Table1[[#This Row],[Debits]]+Table1[[#This Row],[Income]]</f>
        <v>1900</v>
      </c>
      <c r="N292" t="str">
        <f>IF(AND(Table1[[#This Row],[Category]]="pay",NOT(Table1[[#This Row],[Debits]]=0)),"bad","good")</f>
        <v>good</v>
      </c>
      <c r="O292" s="5"/>
    </row>
    <row r="293" spans="6:15" x14ac:dyDescent="0.3">
      <c r="F293">
        <f>MONTH(Table1[[#This Row],[Date  (DMY)]])</f>
        <v>1</v>
      </c>
      <c r="G293" s="10"/>
      <c r="L293" s="5"/>
      <c r="M293" s="4">
        <f>M292-Table1[[#This Row],[Debits]]+Table1[[#This Row],[Income]]</f>
        <v>1900</v>
      </c>
      <c r="N293" t="str">
        <f>IF(AND(Table1[[#This Row],[Category]]="pay",NOT(Table1[[#This Row],[Debits]]=0)),"bad","good")</f>
        <v>good</v>
      </c>
      <c r="O293" s="5"/>
    </row>
    <row r="294" spans="6:15" x14ac:dyDescent="0.3">
      <c r="F294">
        <f>MONTH(Table1[[#This Row],[Date  (DMY)]])</f>
        <v>1</v>
      </c>
      <c r="G294" s="10"/>
      <c r="H294" s="5"/>
      <c r="I294"/>
      <c r="J294" s="9"/>
      <c r="K294" s="9"/>
      <c r="L294"/>
      <c r="M294" s="4">
        <f>M293-Table1[[#This Row],[Debits]]+Table1[[#This Row],[Income]]</f>
        <v>1900</v>
      </c>
      <c r="N294" t="str">
        <f>IF(AND(Table1[[#This Row],[Category]]="pay",NOT(Table1[[#This Row],[Debits]]=0)),"bad","good")</f>
        <v>good</v>
      </c>
      <c r="O294" s="5"/>
    </row>
    <row r="295" spans="6:15" x14ac:dyDescent="0.3">
      <c r="F295">
        <f>MONTH(Table1[[#This Row],[Date  (DMY)]])</f>
        <v>1</v>
      </c>
      <c r="G295" s="10"/>
      <c r="H295" s="5"/>
      <c r="I295"/>
      <c r="J295" s="9"/>
      <c r="K295" s="9"/>
      <c r="L295"/>
      <c r="M295" s="4">
        <f>M294-Table1[[#This Row],[Debits]]+Table1[[#This Row],[Income]]</f>
        <v>1900</v>
      </c>
      <c r="N295" t="str">
        <f>IF(AND(Table1[[#This Row],[Category]]="pay",NOT(Table1[[#This Row],[Debits]]=0)),"bad","good")</f>
        <v>good</v>
      </c>
      <c r="O295" s="5"/>
    </row>
    <row r="296" spans="6:15" x14ac:dyDescent="0.3">
      <c r="F296">
        <f>MONTH(Table1[[#This Row],[Date  (DMY)]])</f>
        <v>1</v>
      </c>
      <c r="G296" s="10"/>
      <c r="H296" s="5"/>
      <c r="I296"/>
      <c r="J296" s="9"/>
      <c r="K296" s="9"/>
      <c r="L296"/>
      <c r="M296" s="4">
        <f>M295-Table1[[#This Row],[Debits]]+Table1[[#This Row],[Income]]</f>
        <v>1900</v>
      </c>
      <c r="N296" t="str">
        <f>IF(AND(Table1[[#This Row],[Category]]="pay",NOT(Table1[[#This Row],[Debits]]=0)),"bad","good")</f>
        <v>good</v>
      </c>
      <c r="O296" s="5"/>
    </row>
    <row r="297" spans="6:15" x14ac:dyDescent="0.3">
      <c r="F297">
        <f>MONTH(Table1[[#This Row],[Date  (DMY)]])</f>
        <v>1</v>
      </c>
      <c r="G297" s="10"/>
      <c r="L297" s="5"/>
      <c r="M297" s="4">
        <f>M296-Table1[[#This Row],[Debits]]+Table1[[#This Row],[Income]]</f>
        <v>1900</v>
      </c>
      <c r="N297" t="str">
        <f>IF(AND(Table1[[#This Row],[Category]]="pay",NOT(Table1[[#This Row],[Debits]]=0)),"bad","good")</f>
        <v>good</v>
      </c>
      <c r="O297" s="5"/>
    </row>
    <row r="298" spans="6:15" x14ac:dyDescent="0.3">
      <c r="F298">
        <f>MONTH(Table1[[#This Row],[Date  (DMY)]])</f>
        <v>1</v>
      </c>
      <c r="G298" s="10"/>
      <c r="L298" s="5"/>
      <c r="M298" s="4">
        <f>M297-Table1[[#This Row],[Debits]]+Table1[[#This Row],[Income]]</f>
        <v>1900</v>
      </c>
      <c r="N298" t="str">
        <f>IF(AND(Table1[[#This Row],[Category]]="pay",NOT(Table1[[#This Row],[Debits]]=0)),"bad","good")</f>
        <v>good</v>
      </c>
      <c r="O298" s="5"/>
    </row>
    <row r="299" spans="6:15" x14ac:dyDescent="0.3">
      <c r="F299">
        <f>MONTH(Table1[[#This Row],[Date  (DMY)]])</f>
        <v>1</v>
      </c>
      <c r="G299" s="10"/>
      <c r="L299" s="5"/>
      <c r="M299" s="4">
        <f>M298-Table1[[#This Row],[Debits]]+Table1[[#This Row],[Income]]</f>
        <v>1900</v>
      </c>
      <c r="N299" t="str">
        <f>IF(AND(Table1[[#This Row],[Category]]="pay",NOT(Table1[[#This Row],[Debits]]=0)),"bad","good")</f>
        <v>good</v>
      </c>
      <c r="O299" s="5"/>
    </row>
    <row r="300" spans="6:15" x14ac:dyDescent="0.3">
      <c r="F300">
        <f>MONTH(Table1[[#This Row],[Date  (DMY)]])</f>
        <v>1</v>
      </c>
      <c r="G300" s="10"/>
      <c r="L300" s="5"/>
      <c r="M300" s="4">
        <f>M299-Table1[[#This Row],[Debits]]+Table1[[#This Row],[Income]]</f>
        <v>1900</v>
      </c>
      <c r="N300" t="str">
        <f>IF(AND(Table1[[#This Row],[Category]]="pay",NOT(Table1[[#This Row],[Debits]]=0)),"bad","good")</f>
        <v>good</v>
      </c>
      <c r="O300" s="5"/>
    </row>
    <row r="301" spans="6:15" x14ac:dyDescent="0.3">
      <c r="F301">
        <f>MONTH(Table1[[#This Row],[Date  (DMY)]])</f>
        <v>1</v>
      </c>
      <c r="G301" s="10"/>
      <c r="L301" s="5"/>
      <c r="M301" s="4">
        <f>M300-Table1[[#This Row],[Debits]]+Table1[[#This Row],[Income]]</f>
        <v>1900</v>
      </c>
      <c r="N301" t="str">
        <f>IF(AND(Table1[[#This Row],[Category]]="pay",NOT(Table1[[#This Row],[Debits]]=0)),"bad","good")</f>
        <v>good</v>
      </c>
      <c r="O301" s="5"/>
    </row>
    <row r="302" spans="6:15" x14ac:dyDescent="0.3">
      <c r="F302">
        <f>MONTH(Table1[[#This Row],[Date  (DMY)]])</f>
        <v>1</v>
      </c>
      <c r="G302" s="10"/>
      <c r="L302" s="5"/>
      <c r="M302" s="4">
        <f>M301-Table1[[#This Row],[Debits]]+Table1[[#This Row],[Income]]</f>
        <v>1900</v>
      </c>
      <c r="N302" t="str">
        <f>IF(AND(Table1[[#This Row],[Category]]="pay",NOT(Table1[[#This Row],[Debits]]=0)),"bad","good")</f>
        <v>good</v>
      </c>
      <c r="O302" s="5"/>
    </row>
    <row r="303" spans="6:15" x14ac:dyDescent="0.3">
      <c r="F303">
        <f>MONTH(Table1[[#This Row],[Date  (DMY)]])</f>
        <v>1</v>
      </c>
      <c r="G303" s="10"/>
      <c r="L303" s="5"/>
      <c r="M303" s="4">
        <f>M302-Table1[[#This Row],[Debits]]+Table1[[#This Row],[Income]]</f>
        <v>1900</v>
      </c>
      <c r="N303" t="str">
        <f>IF(AND(Table1[[#This Row],[Category]]="pay",NOT(Table1[[#This Row],[Debits]]=0)),"bad","good")</f>
        <v>good</v>
      </c>
      <c r="O303" s="5"/>
    </row>
    <row r="304" spans="6:15" x14ac:dyDescent="0.3">
      <c r="F304">
        <f>MONTH(Table1[[#This Row],[Date  (DMY)]])</f>
        <v>1</v>
      </c>
      <c r="G304" s="10"/>
      <c r="L304" s="5"/>
      <c r="M304" s="4">
        <f>M303-Table1[[#This Row],[Debits]]+Table1[[#This Row],[Income]]</f>
        <v>1900</v>
      </c>
      <c r="N304" t="str">
        <f>IF(AND(Table1[[#This Row],[Category]]="pay",NOT(Table1[[#This Row],[Debits]]=0)),"bad","good")</f>
        <v>good</v>
      </c>
      <c r="O304" s="5"/>
    </row>
    <row r="305" spans="6:15" x14ac:dyDescent="0.3">
      <c r="F305">
        <f>MONTH(Table1[[#This Row],[Date  (DMY)]])</f>
        <v>1</v>
      </c>
      <c r="G305" s="10"/>
      <c r="L305" s="5"/>
      <c r="M305" s="4">
        <f>M304-Table1[[#This Row],[Debits]]+Table1[[#This Row],[Income]]</f>
        <v>1900</v>
      </c>
      <c r="N305" t="str">
        <f>IF(AND(Table1[[#This Row],[Category]]="pay",NOT(Table1[[#This Row],[Debits]]=0)),"bad","good")</f>
        <v>good</v>
      </c>
      <c r="O305" s="5"/>
    </row>
    <row r="306" spans="6:15" x14ac:dyDescent="0.3">
      <c r="F306">
        <f>MONTH(Table1[[#This Row],[Date  (DMY)]])</f>
        <v>1</v>
      </c>
      <c r="G306" s="10"/>
      <c r="L306" s="5"/>
      <c r="M306" s="4">
        <f>M305-Table1[[#This Row],[Debits]]+Table1[[#This Row],[Income]]</f>
        <v>1900</v>
      </c>
      <c r="N306" t="str">
        <f>IF(AND(Table1[[#This Row],[Category]]="pay",NOT(Table1[[#This Row],[Debits]]=0)),"bad","good")</f>
        <v>good</v>
      </c>
      <c r="O306" s="5"/>
    </row>
    <row r="307" spans="6:15" x14ac:dyDescent="0.3">
      <c r="F307">
        <f>MONTH(Table1[[#This Row],[Date  (DMY)]])</f>
        <v>1</v>
      </c>
      <c r="G307" s="10"/>
      <c r="L307" s="5"/>
      <c r="M307" s="4">
        <f>M306-Table1[[#This Row],[Debits]]+Table1[[#This Row],[Income]]</f>
        <v>1900</v>
      </c>
      <c r="N307" t="str">
        <f>IF(AND(Table1[[#This Row],[Category]]="pay",NOT(Table1[[#This Row],[Debits]]=0)),"bad","good")</f>
        <v>good</v>
      </c>
      <c r="O307" s="5"/>
    </row>
    <row r="308" spans="6:15" x14ac:dyDescent="0.3">
      <c r="F308">
        <f>MONTH(Table1[[#This Row],[Date  (DMY)]])</f>
        <v>1</v>
      </c>
      <c r="G308" s="10"/>
      <c r="L308" s="5"/>
      <c r="M308" s="4">
        <f>M307-Table1[[#This Row],[Debits]]+Table1[[#This Row],[Income]]</f>
        <v>1900</v>
      </c>
      <c r="N308" t="str">
        <f>IF(AND(Table1[[#This Row],[Category]]="pay",NOT(Table1[[#This Row],[Debits]]=0)),"bad","good")</f>
        <v>good</v>
      </c>
      <c r="O308" s="5"/>
    </row>
    <row r="309" spans="6:15" x14ac:dyDescent="0.3">
      <c r="F309">
        <f>MONTH(Table1[[#This Row],[Date  (DMY)]])</f>
        <v>1</v>
      </c>
      <c r="G309" s="10"/>
      <c r="L309" s="5"/>
      <c r="M309" s="4">
        <f>M308-Table1[[#This Row],[Debits]]+Table1[[#This Row],[Income]]</f>
        <v>1900</v>
      </c>
      <c r="N309" t="str">
        <f>IF(AND(Table1[[#This Row],[Category]]="pay",NOT(Table1[[#This Row],[Debits]]=0)),"bad","good")</f>
        <v>good</v>
      </c>
      <c r="O309" s="5"/>
    </row>
    <row r="310" spans="6:15" x14ac:dyDescent="0.3">
      <c r="F310">
        <f>MONTH(Table1[[#This Row],[Date  (DMY)]])</f>
        <v>1</v>
      </c>
      <c r="G310" s="10"/>
      <c r="L310" s="5"/>
      <c r="M310" s="4">
        <f>M309-Table1[[#This Row],[Debits]]+Table1[[#This Row],[Income]]</f>
        <v>1900</v>
      </c>
      <c r="N310" t="str">
        <f>IF(AND(Table1[[#This Row],[Category]]="pay",NOT(Table1[[#This Row],[Debits]]=0)),"bad","good")</f>
        <v>good</v>
      </c>
      <c r="O310" s="5"/>
    </row>
    <row r="311" spans="6:15" x14ac:dyDescent="0.3">
      <c r="F311">
        <f>MONTH(Table1[[#This Row],[Date  (DMY)]])</f>
        <v>1</v>
      </c>
      <c r="G311" s="10"/>
      <c r="L311" s="5"/>
      <c r="M311" s="4">
        <f>M310-Table1[[#This Row],[Debits]]+Table1[[#This Row],[Income]]</f>
        <v>1900</v>
      </c>
      <c r="N311" t="str">
        <f>IF(AND(Table1[[#This Row],[Category]]="pay",NOT(Table1[[#This Row],[Debits]]=0)),"bad","good")</f>
        <v>good</v>
      </c>
      <c r="O311" s="5"/>
    </row>
    <row r="312" spans="6:15" x14ac:dyDescent="0.3">
      <c r="F312">
        <f>MONTH(Table1[[#This Row],[Date  (DMY)]])</f>
        <v>1</v>
      </c>
      <c r="G312" s="10"/>
      <c r="L312" s="5"/>
      <c r="M312" s="4">
        <f>M311-Table1[[#This Row],[Debits]]+Table1[[#This Row],[Income]]</f>
        <v>1900</v>
      </c>
      <c r="N312" t="str">
        <f>IF(AND(Table1[[#This Row],[Category]]="pay",NOT(Table1[[#This Row],[Debits]]=0)),"bad","good")</f>
        <v>good</v>
      </c>
      <c r="O312" s="5"/>
    </row>
    <row r="313" spans="6:15" x14ac:dyDescent="0.3">
      <c r="F313">
        <f>MONTH(Table1[[#This Row],[Date  (DMY)]])</f>
        <v>1</v>
      </c>
      <c r="G313" s="10"/>
      <c r="L313" s="5"/>
      <c r="M313" s="4">
        <f>M312-Table1[[#This Row],[Debits]]+Table1[[#This Row],[Income]]</f>
        <v>1900</v>
      </c>
      <c r="N313" t="str">
        <f>IF(AND(Table1[[#This Row],[Category]]="pay",NOT(Table1[[#This Row],[Debits]]=0)),"bad","good")</f>
        <v>good</v>
      </c>
      <c r="O313" s="5"/>
    </row>
    <row r="314" spans="6:15" x14ac:dyDescent="0.3">
      <c r="F314">
        <f>MONTH(Table1[[#This Row],[Date  (DMY)]])</f>
        <v>1</v>
      </c>
      <c r="G314" s="10"/>
      <c r="L314" s="5"/>
      <c r="M314" s="4">
        <f>M313-Table1[[#This Row],[Debits]]+Table1[[#This Row],[Income]]</f>
        <v>1900</v>
      </c>
      <c r="N314" t="str">
        <f>IF(AND(Table1[[#This Row],[Category]]="pay",NOT(Table1[[#This Row],[Debits]]=0)),"bad","good")</f>
        <v>good</v>
      </c>
      <c r="O314" s="5"/>
    </row>
    <row r="315" spans="6:15" x14ac:dyDescent="0.3">
      <c r="F315">
        <f>MONTH(Table1[[#This Row],[Date  (DMY)]])</f>
        <v>1</v>
      </c>
      <c r="G315" s="10"/>
      <c r="L315" s="5"/>
      <c r="M315" s="4">
        <f>M314-Table1[[#This Row],[Debits]]+Table1[[#This Row],[Income]]</f>
        <v>1900</v>
      </c>
      <c r="N315" t="str">
        <f>IF(AND(Table1[[#This Row],[Category]]="pay",NOT(Table1[[#This Row],[Debits]]=0)),"bad","good")</f>
        <v>good</v>
      </c>
      <c r="O315" s="5"/>
    </row>
    <row r="316" spans="6:15" x14ac:dyDescent="0.3">
      <c r="F316">
        <f>MONTH(Table1[[#This Row],[Date  (DMY)]])</f>
        <v>1</v>
      </c>
      <c r="G316" s="10"/>
      <c r="L316" s="5"/>
      <c r="M316" s="4">
        <f>M315-Table1[[#This Row],[Debits]]+Table1[[#This Row],[Income]]</f>
        <v>1900</v>
      </c>
      <c r="N316" t="str">
        <f>IF(AND(Table1[[#This Row],[Category]]="pay",NOT(Table1[[#This Row],[Debits]]=0)),"bad","good")</f>
        <v>good</v>
      </c>
      <c r="O316" s="5"/>
    </row>
    <row r="317" spans="6:15" x14ac:dyDescent="0.3">
      <c r="F317">
        <f>MONTH(Table1[[#This Row],[Date  (DMY)]])</f>
        <v>1</v>
      </c>
      <c r="G317" s="10"/>
      <c r="L317" s="5"/>
      <c r="M317" s="4">
        <f>M316-Table1[[#This Row],[Debits]]+Table1[[#This Row],[Income]]</f>
        <v>1900</v>
      </c>
      <c r="N317" t="str">
        <f>IF(AND(Table1[[#This Row],[Category]]="pay",NOT(Table1[[#This Row],[Debits]]=0)),"bad","good")</f>
        <v>good</v>
      </c>
      <c r="O317" s="5"/>
    </row>
    <row r="318" spans="6:15" x14ac:dyDescent="0.3">
      <c r="F318">
        <f>MONTH(Table1[[#This Row],[Date  (DMY)]])</f>
        <v>1</v>
      </c>
      <c r="G318" s="10"/>
      <c r="L318" s="5"/>
      <c r="M318" s="4">
        <f>M317-Table1[[#This Row],[Debits]]+Table1[[#This Row],[Income]]</f>
        <v>1900</v>
      </c>
      <c r="N318" t="str">
        <f>IF(AND(Table1[[#This Row],[Category]]="pay",NOT(Table1[[#This Row],[Debits]]=0)),"bad","good")</f>
        <v>good</v>
      </c>
      <c r="O318" s="5"/>
    </row>
    <row r="319" spans="6:15" x14ac:dyDescent="0.3">
      <c r="F319">
        <f>MONTH(Table1[[#This Row],[Date  (DMY)]])</f>
        <v>1</v>
      </c>
      <c r="G319" s="10"/>
      <c r="L319" s="5"/>
      <c r="M319" s="4">
        <f>M318-Table1[[#This Row],[Debits]]+Table1[[#This Row],[Income]]</f>
        <v>1900</v>
      </c>
      <c r="N319" t="str">
        <f>IF(AND(Table1[[#This Row],[Category]]="pay",NOT(Table1[[#This Row],[Debits]]=0)),"bad","good")</f>
        <v>good</v>
      </c>
      <c r="O319" s="5"/>
    </row>
    <row r="320" spans="6:15" x14ac:dyDescent="0.3">
      <c r="F320">
        <f>MONTH(Table1[[#This Row],[Date  (DMY)]])</f>
        <v>1</v>
      </c>
      <c r="G320" s="10"/>
      <c r="L320" s="5"/>
      <c r="M320" s="4">
        <f>M319-Table1[[#This Row],[Debits]]+Table1[[#This Row],[Income]]</f>
        <v>1900</v>
      </c>
      <c r="N320" t="str">
        <f>IF(AND(Table1[[#This Row],[Category]]="pay",NOT(Table1[[#This Row],[Debits]]=0)),"bad","good")</f>
        <v>good</v>
      </c>
      <c r="O320" s="5"/>
    </row>
    <row r="321" spans="6:15" x14ac:dyDescent="0.3">
      <c r="F321">
        <f>MONTH(Table1[[#This Row],[Date  (DMY)]])</f>
        <v>1</v>
      </c>
      <c r="G321" s="10"/>
      <c r="L321" s="5"/>
      <c r="M321" s="4">
        <f>M320-Table1[[#This Row],[Debits]]+Table1[[#This Row],[Income]]</f>
        <v>1900</v>
      </c>
      <c r="N321" t="str">
        <f>IF(AND(Table1[[#This Row],[Category]]="pay",NOT(Table1[[#This Row],[Debits]]=0)),"bad","good")</f>
        <v>good</v>
      </c>
      <c r="O321" s="5"/>
    </row>
    <row r="322" spans="6:15" x14ac:dyDescent="0.3">
      <c r="F322">
        <f>MONTH(Table1[[#This Row],[Date  (DMY)]])</f>
        <v>1</v>
      </c>
      <c r="G322" s="10"/>
      <c r="L322" s="5"/>
      <c r="M322" s="4">
        <f>M321-Table1[[#This Row],[Debits]]+Table1[[#This Row],[Income]]</f>
        <v>1900</v>
      </c>
      <c r="N322" t="str">
        <f>IF(AND(Table1[[#This Row],[Category]]="pay",NOT(Table1[[#This Row],[Debits]]=0)),"bad","good")</f>
        <v>good</v>
      </c>
      <c r="O322" s="5"/>
    </row>
    <row r="323" spans="6:15" x14ac:dyDescent="0.3">
      <c r="F323">
        <f>MONTH(Table1[[#This Row],[Date  (DMY)]])</f>
        <v>1</v>
      </c>
      <c r="G323" s="10"/>
      <c r="L323" s="5"/>
      <c r="M323" s="4">
        <f>M322-Table1[[#This Row],[Debits]]+Table1[[#This Row],[Income]]</f>
        <v>1900</v>
      </c>
      <c r="N323" t="str">
        <f>IF(AND(Table1[[#This Row],[Category]]="pay",NOT(Table1[[#This Row],[Debits]]=0)),"bad","good")</f>
        <v>good</v>
      </c>
      <c r="O323" s="5"/>
    </row>
    <row r="324" spans="6:15" x14ac:dyDescent="0.3">
      <c r="F324">
        <f>MONTH(Table1[[#This Row],[Date  (DMY)]])</f>
        <v>1</v>
      </c>
      <c r="G324" s="10"/>
      <c r="L324" s="5"/>
      <c r="M324" s="4">
        <f>M323-Table1[[#This Row],[Debits]]+Table1[[#This Row],[Income]]</f>
        <v>1900</v>
      </c>
      <c r="N324" t="str">
        <f>IF(AND(Table1[[#This Row],[Category]]="pay",NOT(Table1[[#This Row],[Debits]]=0)),"bad","good")</f>
        <v>good</v>
      </c>
      <c r="O324" s="5"/>
    </row>
    <row r="325" spans="6:15" x14ac:dyDescent="0.3">
      <c r="F325">
        <f>MONTH(Table1[[#This Row],[Date  (DMY)]])</f>
        <v>1</v>
      </c>
      <c r="G325" s="10"/>
      <c r="L325" s="5"/>
      <c r="M325" s="4">
        <f>M324-Table1[[#This Row],[Debits]]+Table1[[#This Row],[Income]]</f>
        <v>1900</v>
      </c>
      <c r="N325" t="str">
        <f>IF(AND(Table1[[#This Row],[Category]]="pay",NOT(Table1[[#This Row],[Debits]]=0)),"bad","good")</f>
        <v>good</v>
      </c>
      <c r="O325" s="5"/>
    </row>
    <row r="326" spans="6:15" x14ac:dyDescent="0.3">
      <c r="F326">
        <f>MONTH(Table1[[#This Row],[Date  (DMY)]])</f>
        <v>1</v>
      </c>
      <c r="G326" s="10"/>
      <c r="L326" s="5"/>
      <c r="M326" s="4">
        <f>M325-Table1[[#This Row],[Debits]]+Table1[[#This Row],[Income]]</f>
        <v>1900</v>
      </c>
      <c r="N326" t="str">
        <f>IF(AND(Table1[[#This Row],[Category]]="pay",NOT(Table1[[#This Row],[Debits]]=0)),"bad","good")</f>
        <v>good</v>
      </c>
      <c r="O326" s="5"/>
    </row>
    <row r="327" spans="6:15" x14ac:dyDescent="0.3">
      <c r="F327">
        <f>MONTH(Table1[[#This Row],[Date  (DMY)]])</f>
        <v>1</v>
      </c>
      <c r="G327" s="10"/>
      <c r="L327" s="5"/>
      <c r="M327" s="4">
        <f>M326-Table1[[#This Row],[Debits]]+Table1[[#This Row],[Income]]</f>
        <v>1900</v>
      </c>
      <c r="N327" t="str">
        <f>IF(AND(Table1[[#This Row],[Category]]="pay",NOT(Table1[[#This Row],[Debits]]=0)),"bad","good")</f>
        <v>good</v>
      </c>
      <c r="O327" s="5"/>
    </row>
    <row r="328" spans="6:15" x14ac:dyDescent="0.3">
      <c r="F328">
        <f>MONTH(Table1[[#This Row],[Date  (DMY)]])</f>
        <v>1</v>
      </c>
      <c r="G328" s="10"/>
      <c r="L328" s="5"/>
      <c r="M328" s="4">
        <f>M327-Table1[[#This Row],[Debits]]+Table1[[#This Row],[Income]]</f>
        <v>1900</v>
      </c>
      <c r="N328" t="str">
        <f>IF(AND(Table1[[#This Row],[Category]]="pay",NOT(Table1[[#This Row],[Debits]]=0)),"bad","good")</f>
        <v>good</v>
      </c>
      <c r="O328" s="5"/>
    </row>
    <row r="329" spans="6:15" x14ac:dyDescent="0.3">
      <c r="F329">
        <f>MONTH(Table1[[#This Row],[Date  (DMY)]])</f>
        <v>1</v>
      </c>
      <c r="G329" s="10"/>
      <c r="L329" s="5"/>
      <c r="M329" s="4">
        <f>M328-Table1[[#This Row],[Debits]]+Table1[[#This Row],[Income]]</f>
        <v>1900</v>
      </c>
      <c r="N329" t="str">
        <f>IF(AND(Table1[[#This Row],[Category]]="pay",NOT(Table1[[#This Row],[Debits]]=0)),"bad","good")</f>
        <v>good</v>
      </c>
      <c r="O329" s="5"/>
    </row>
    <row r="330" spans="6:15" x14ac:dyDescent="0.3">
      <c r="F330">
        <f>MONTH(Table1[[#This Row],[Date  (DMY)]])</f>
        <v>1</v>
      </c>
      <c r="G330" s="10"/>
      <c r="L330" s="5"/>
      <c r="M330" s="4">
        <f>M329-Table1[[#This Row],[Debits]]+Table1[[#This Row],[Income]]</f>
        <v>1900</v>
      </c>
      <c r="N330" t="str">
        <f>IF(AND(Table1[[#This Row],[Category]]="pay",NOT(Table1[[#This Row],[Debits]]=0)),"bad","good")</f>
        <v>good</v>
      </c>
      <c r="O330" s="5"/>
    </row>
    <row r="331" spans="6:15" x14ac:dyDescent="0.3">
      <c r="F331">
        <f>MONTH(Table1[[#This Row],[Date  (DMY)]])</f>
        <v>1</v>
      </c>
      <c r="G331" s="10"/>
      <c r="L331" s="5"/>
      <c r="M331" s="4">
        <f>M330-Table1[[#This Row],[Debits]]+Table1[[#This Row],[Income]]</f>
        <v>1900</v>
      </c>
      <c r="N331" t="str">
        <f>IF(AND(Table1[[#This Row],[Category]]="pay",NOT(Table1[[#This Row],[Debits]]=0)),"bad","good")</f>
        <v>good</v>
      </c>
      <c r="O331" s="5"/>
    </row>
    <row r="332" spans="6:15" x14ac:dyDescent="0.3">
      <c r="F332">
        <f>MONTH(Table1[[#This Row],[Date  (DMY)]])</f>
        <v>1</v>
      </c>
      <c r="G332" s="10"/>
      <c r="L332" s="5"/>
      <c r="M332" s="4">
        <f>M331-Table1[[#This Row],[Debits]]+Table1[[#This Row],[Income]]</f>
        <v>1900</v>
      </c>
      <c r="N332" t="str">
        <f>IF(AND(Table1[[#This Row],[Category]]="pay",NOT(Table1[[#This Row],[Debits]]=0)),"bad","good")</f>
        <v>good</v>
      </c>
      <c r="O332" s="5"/>
    </row>
    <row r="333" spans="6:15" x14ac:dyDescent="0.3">
      <c r="F333">
        <f>MONTH(Table1[[#This Row],[Date  (DMY)]])</f>
        <v>1</v>
      </c>
      <c r="G333" s="10"/>
      <c r="L333" s="5"/>
      <c r="M333" s="4">
        <f>M332-Table1[[#This Row],[Debits]]+Table1[[#This Row],[Income]]</f>
        <v>1900</v>
      </c>
      <c r="N333" t="str">
        <f>IF(AND(Table1[[#This Row],[Category]]="pay",NOT(Table1[[#This Row],[Debits]]=0)),"bad","good")</f>
        <v>good</v>
      </c>
      <c r="O333" s="5"/>
    </row>
    <row r="334" spans="6:15" x14ac:dyDescent="0.3">
      <c r="F334">
        <f>MONTH(Table1[[#This Row],[Date  (DMY)]])</f>
        <v>1</v>
      </c>
      <c r="G334" s="10"/>
      <c r="L334" s="5"/>
      <c r="M334" s="4">
        <f>M333-Table1[[#This Row],[Debits]]+Table1[[#This Row],[Income]]</f>
        <v>1900</v>
      </c>
      <c r="N334" t="str">
        <f>IF(AND(Table1[[#This Row],[Category]]="pay",NOT(Table1[[#This Row],[Debits]]=0)),"bad","good")</f>
        <v>good</v>
      </c>
      <c r="O334" s="5"/>
    </row>
    <row r="335" spans="6:15" x14ac:dyDescent="0.3">
      <c r="F335">
        <f>MONTH(Table1[[#This Row],[Date  (DMY)]])</f>
        <v>1</v>
      </c>
      <c r="G335" s="10"/>
      <c r="L335" s="5"/>
      <c r="M335" s="4">
        <f>M334-Table1[[#This Row],[Debits]]+Table1[[#This Row],[Income]]</f>
        <v>1900</v>
      </c>
      <c r="N335" t="str">
        <f>IF(AND(Table1[[#This Row],[Category]]="pay",NOT(Table1[[#This Row],[Debits]]=0)),"bad","good")</f>
        <v>good</v>
      </c>
      <c r="O335" s="5"/>
    </row>
    <row r="336" spans="6:15" x14ac:dyDescent="0.3">
      <c r="F336">
        <f>MONTH(Table1[[#This Row],[Date  (DMY)]])</f>
        <v>1</v>
      </c>
      <c r="G336" s="10"/>
      <c r="L336" s="5"/>
      <c r="M336" s="4">
        <f>M335-Table1[[#This Row],[Debits]]+Table1[[#This Row],[Income]]</f>
        <v>1900</v>
      </c>
      <c r="N336" t="str">
        <f>IF(AND(Table1[[#This Row],[Category]]="pay",NOT(Table1[[#This Row],[Debits]]=0)),"bad","good")</f>
        <v>good</v>
      </c>
      <c r="O336" s="5"/>
    </row>
    <row r="337" spans="6:15" x14ac:dyDescent="0.3">
      <c r="F337">
        <f>MONTH(Table1[[#This Row],[Date  (DMY)]])</f>
        <v>1</v>
      </c>
      <c r="G337" s="10"/>
      <c r="L337" s="5"/>
      <c r="M337" s="4">
        <f>M336-Table1[[#This Row],[Debits]]+Table1[[#This Row],[Income]]</f>
        <v>1900</v>
      </c>
      <c r="N337" t="str">
        <f>IF(AND(Table1[[#This Row],[Category]]="pay",NOT(Table1[[#This Row],[Debits]]=0)),"bad","good")</f>
        <v>good</v>
      </c>
      <c r="O337" s="5"/>
    </row>
    <row r="338" spans="6:15" x14ac:dyDescent="0.3">
      <c r="F338">
        <f>MONTH(Table1[[#This Row],[Date  (DMY)]])</f>
        <v>1</v>
      </c>
      <c r="G338" s="10"/>
      <c r="L338" s="5"/>
      <c r="M338" s="4">
        <f>M337-Table1[[#This Row],[Debits]]+Table1[[#This Row],[Income]]</f>
        <v>1900</v>
      </c>
      <c r="N338" t="str">
        <f>IF(AND(Table1[[#This Row],[Category]]="pay",NOT(Table1[[#This Row],[Debits]]=0)),"bad","good")</f>
        <v>good</v>
      </c>
      <c r="O338" s="5"/>
    </row>
    <row r="339" spans="6:15" x14ac:dyDescent="0.3">
      <c r="F339">
        <f>MONTH(Table1[[#This Row],[Date  (DMY)]])</f>
        <v>1</v>
      </c>
      <c r="G339" s="10"/>
      <c r="L339" s="5"/>
      <c r="M339" s="4">
        <f>M338-Table1[[#This Row],[Debits]]+Table1[[#This Row],[Income]]</f>
        <v>1900</v>
      </c>
      <c r="N339" t="str">
        <f>IF(AND(Table1[[#This Row],[Category]]="pay",NOT(Table1[[#This Row],[Debits]]=0)),"bad","good")</f>
        <v>good</v>
      </c>
      <c r="O339" s="5"/>
    </row>
    <row r="340" spans="6:15" x14ac:dyDescent="0.3">
      <c r="F340">
        <f>MONTH(Table1[[#This Row],[Date  (DMY)]])</f>
        <v>1</v>
      </c>
      <c r="G340" s="10"/>
      <c r="L340" s="5"/>
      <c r="M340" s="4">
        <f>M339-Table1[[#This Row],[Debits]]+Table1[[#This Row],[Income]]</f>
        <v>1900</v>
      </c>
      <c r="N340" t="str">
        <f>IF(AND(Table1[[#This Row],[Category]]="pay",NOT(Table1[[#This Row],[Debits]]=0)),"bad","good")</f>
        <v>good</v>
      </c>
      <c r="O340" s="5"/>
    </row>
    <row r="341" spans="6:15" x14ac:dyDescent="0.3">
      <c r="F341">
        <f>MONTH(Table1[[#This Row],[Date  (DMY)]])</f>
        <v>1</v>
      </c>
      <c r="G341" s="10"/>
      <c r="L341" s="5"/>
      <c r="M341" s="4">
        <f>M340-Table1[[#This Row],[Debits]]+Table1[[#This Row],[Income]]</f>
        <v>1900</v>
      </c>
      <c r="N341" t="str">
        <f>IF(AND(Table1[[#This Row],[Category]]="pay",NOT(Table1[[#This Row],[Debits]]=0)),"bad","good")</f>
        <v>good</v>
      </c>
      <c r="O341" s="5"/>
    </row>
    <row r="342" spans="6:15" x14ac:dyDescent="0.3">
      <c r="F342">
        <f>MONTH(Table1[[#This Row],[Date  (DMY)]])</f>
        <v>1</v>
      </c>
      <c r="G342" s="10"/>
      <c r="L342" s="5"/>
      <c r="M342" s="4">
        <f>M341-Table1[[#This Row],[Debits]]+Table1[[#This Row],[Income]]</f>
        <v>1900</v>
      </c>
      <c r="N342" t="str">
        <f>IF(AND(Table1[[#This Row],[Category]]="pay",NOT(Table1[[#This Row],[Debits]]=0)),"bad","good")</f>
        <v>good</v>
      </c>
      <c r="O342" s="5"/>
    </row>
    <row r="343" spans="6:15" x14ac:dyDescent="0.3">
      <c r="F343">
        <f>MONTH(Table1[[#This Row],[Date  (DMY)]])</f>
        <v>1</v>
      </c>
      <c r="G343" s="10"/>
      <c r="L343" s="5"/>
      <c r="M343" s="4">
        <f>M342-Table1[[#This Row],[Debits]]+Table1[[#This Row],[Income]]</f>
        <v>1900</v>
      </c>
      <c r="N343" t="str">
        <f>IF(AND(Table1[[#This Row],[Category]]="pay",NOT(Table1[[#This Row],[Debits]]=0)),"bad","good")</f>
        <v>good</v>
      </c>
      <c r="O343" s="5"/>
    </row>
    <row r="344" spans="6:15" x14ac:dyDescent="0.3">
      <c r="F344">
        <f>MONTH(Table1[[#This Row],[Date  (DMY)]])</f>
        <v>1</v>
      </c>
      <c r="G344" s="10"/>
      <c r="L344" s="5"/>
      <c r="M344" s="4">
        <f>M343-Table1[[#This Row],[Debits]]+Table1[[#This Row],[Income]]</f>
        <v>1900</v>
      </c>
      <c r="N344" t="str">
        <f>IF(AND(Table1[[#This Row],[Category]]="pay",NOT(Table1[[#This Row],[Debits]]=0)),"bad","good")</f>
        <v>good</v>
      </c>
      <c r="O344" s="5"/>
    </row>
    <row r="345" spans="6:15" x14ac:dyDescent="0.3">
      <c r="F345">
        <f>MONTH(Table1[[#This Row],[Date  (DMY)]])</f>
        <v>1</v>
      </c>
      <c r="G345" s="10"/>
      <c r="L345" s="5"/>
      <c r="M345" s="4">
        <f>M344-Table1[[#This Row],[Debits]]+Table1[[#This Row],[Income]]</f>
        <v>1900</v>
      </c>
      <c r="N345" t="str">
        <f>IF(AND(Table1[[#This Row],[Category]]="pay",NOT(Table1[[#This Row],[Debits]]=0)),"bad","good")</f>
        <v>good</v>
      </c>
      <c r="O345" s="5"/>
    </row>
    <row r="346" spans="6:15" x14ac:dyDescent="0.3">
      <c r="F346">
        <f>MONTH(Table1[[#This Row],[Date  (DMY)]])</f>
        <v>1</v>
      </c>
      <c r="G346" s="10"/>
      <c r="L346" s="5"/>
      <c r="M346" s="4">
        <f>M345-Table1[[#This Row],[Debits]]+Table1[[#This Row],[Income]]</f>
        <v>1900</v>
      </c>
      <c r="N346" t="str">
        <f>IF(AND(Table1[[#This Row],[Category]]="pay",NOT(Table1[[#This Row],[Debits]]=0)),"bad","good")</f>
        <v>good</v>
      </c>
      <c r="O346" s="5"/>
    </row>
    <row r="347" spans="6:15" x14ac:dyDescent="0.3">
      <c r="F347">
        <f>MONTH(Table1[[#This Row],[Date  (DMY)]])</f>
        <v>1</v>
      </c>
      <c r="G347" s="10"/>
      <c r="L347" s="5"/>
      <c r="M347" s="4">
        <f>M346-Table1[[#This Row],[Debits]]+Table1[[#This Row],[Income]]</f>
        <v>1900</v>
      </c>
      <c r="N347" t="str">
        <f>IF(AND(Table1[[#This Row],[Category]]="pay",NOT(Table1[[#This Row],[Debits]]=0)),"bad","good")</f>
        <v>good</v>
      </c>
      <c r="O347" s="5"/>
    </row>
    <row r="348" spans="6:15" x14ac:dyDescent="0.3">
      <c r="F348">
        <f>MONTH(Table1[[#This Row],[Date  (DMY)]])</f>
        <v>1</v>
      </c>
      <c r="G348" s="10"/>
      <c r="L348" s="5"/>
      <c r="M348" s="4">
        <f>M347-Table1[[#This Row],[Debits]]+Table1[[#This Row],[Income]]</f>
        <v>1900</v>
      </c>
      <c r="N348" t="str">
        <f>IF(AND(Table1[[#This Row],[Category]]="pay",NOT(Table1[[#This Row],[Debits]]=0)),"bad","good")</f>
        <v>good</v>
      </c>
      <c r="O348" s="5"/>
    </row>
    <row r="349" spans="6:15" x14ac:dyDescent="0.3">
      <c r="F349">
        <f>MONTH(Table1[[#This Row],[Date  (DMY)]])</f>
        <v>1</v>
      </c>
      <c r="G349" s="10"/>
      <c r="L349" s="5"/>
      <c r="M349" s="4">
        <f>M348-Table1[[#This Row],[Debits]]+Table1[[#This Row],[Income]]</f>
        <v>1900</v>
      </c>
      <c r="N349" t="str">
        <f>IF(AND(Table1[[#This Row],[Category]]="pay",NOT(Table1[[#This Row],[Debits]]=0)),"bad","good")</f>
        <v>good</v>
      </c>
      <c r="O349" s="5"/>
    </row>
    <row r="350" spans="6:15" x14ac:dyDescent="0.3">
      <c r="F350">
        <f>MONTH(Table1[[#This Row],[Date  (DMY)]])</f>
        <v>1</v>
      </c>
      <c r="G350" s="10"/>
      <c r="L350" s="5"/>
      <c r="M350" s="4">
        <f>M349-Table1[[#This Row],[Debits]]+Table1[[#This Row],[Income]]</f>
        <v>1900</v>
      </c>
      <c r="N350" t="str">
        <f>IF(AND(Table1[[#This Row],[Category]]="pay",NOT(Table1[[#This Row],[Debits]]=0)),"bad","good")</f>
        <v>good</v>
      </c>
      <c r="O350" s="5"/>
    </row>
    <row r="351" spans="6:15" x14ac:dyDescent="0.3">
      <c r="F351">
        <f>MONTH(Table1[[#This Row],[Date  (DMY)]])</f>
        <v>1</v>
      </c>
      <c r="G351" s="10"/>
      <c r="L351" s="5"/>
      <c r="M351" s="4">
        <f>M350-Table1[[#This Row],[Debits]]+Table1[[#This Row],[Income]]</f>
        <v>1900</v>
      </c>
      <c r="N351" t="str">
        <f>IF(AND(Table1[[#This Row],[Category]]="pay",NOT(Table1[[#This Row],[Debits]]=0)),"bad","good")</f>
        <v>good</v>
      </c>
      <c r="O351" s="5"/>
    </row>
    <row r="352" spans="6:15" x14ac:dyDescent="0.3">
      <c r="F352">
        <f>MONTH(Table1[[#This Row],[Date  (DMY)]])</f>
        <v>1</v>
      </c>
      <c r="G352" s="10"/>
      <c r="L352" s="5"/>
      <c r="M352" s="4">
        <f>M351-Table1[[#This Row],[Debits]]+Table1[[#This Row],[Income]]</f>
        <v>1900</v>
      </c>
      <c r="N352" t="str">
        <f>IF(AND(Table1[[#This Row],[Category]]="pay",NOT(Table1[[#This Row],[Debits]]=0)),"bad","good")</f>
        <v>good</v>
      </c>
      <c r="O352" s="5"/>
    </row>
    <row r="353" spans="6:15" x14ac:dyDescent="0.3">
      <c r="F353">
        <f>MONTH(Table1[[#This Row],[Date  (DMY)]])</f>
        <v>1</v>
      </c>
      <c r="G353" s="10"/>
      <c r="L353" s="5"/>
      <c r="M353" s="4">
        <f>M352-Table1[[#This Row],[Debits]]+Table1[[#This Row],[Income]]</f>
        <v>1900</v>
      </c>
      <c r="N353" t="str">
        <f>IF(AND(Table1[[#This Row],[Category]]="pay",NOT(Table1[[#This Row],[Debits]]=0)),"bad","good")</f>
        <v>good</v>
      </c>
      <c r="O353" s="5"/>
    </row>
    <row r="354" spans="6:15" x14ac:dyDescent="0.3">
      <c r="F354">
        <f>MONTH(Table1[[#This Row],[Date  (DMY)]])</f>
        <v>1</v>
      </c>
      <c r="G354" s="10"/>
      <c r="L354" s="5"/>
      <c r="M354" s="4">
        <f>M353-Table1[[#This Row],[Debits]]+Table1[[#This Row],[Income]]</f>
        <v>1900</v>
      </c>
      <c r="N354" t="str">
        <f>IF(AND(Table1[[#This Row],[Category]]="pay",NOT(Table1[[#This Row],[Debits]]=0)),"bad","good")</f>
        <v>good</v>
      </c>
      <c r="O354" s="5"/>
    </row>
    <row r="355" spans="6:15" x14ac:dyDescent="0.3">
      <c r="F355">
        <f>MONTH(Table1[[#This Row],[Date  (DMY)]])</f>
        <v>1</v>
      </c>
      <c r="G355" s="10"/>
      <c r="L355" s="5"/>
      <c r="M355" s="4">
        <f>M354-Table1[[#This Row],[Debits]]+Table1[[#This Row],[Income]]</f>
        <v>1900</v>
      </c>
      <c r="N355" t="str">
        <f>IF(AND(Table1[[#This Row],[Category]]="pay",NOT(Table1[[#This Row],[Debits]]=0)),"bad","good")</f>
        <v>good</v>
      </c>
      <c r="O355" s="5"/>
    </row>
    <row r="356" spans="6:15" x14ac:dyDescent="0.3">
      <c r="F356">
        <f>MONTH(Table1[[#This Row],[Date  (DMY)]])</f>
        <v>1</v>
      </c>
      <c r="G356" s="10"/>
      <c r="L356" s="5"/>
      <c r="M356" s="4">
        <f>M355-Table1[[#This Row],[Debits]]+Table1[[#This Row],[Income]]</f>
        <v>1900</v>
      </c>
      <c r="N356" t="str">
        <f>IF(AND(Table1[[#This Row],[Category]]="pay",NOT(Table1[[#This Row],[Debits]]=0)),"bad","good")</f>
        <v>good</v>
      </c>
      <c r="O356" s="5"/>
    </row>
    <row r="357" spans="6:15" x14ac:dyDescent="0.3">
      <c r="F357">
        <f>MONTH(Table1[[#This Row],[Date  (DMY)]])</f>
        <v>1</v>
      </c>
      <c r="G357" s="10"/>
      <c r="L357" s="5"/>
      <c r="M357" s="4">
        <f>M356-Table1[[#This Row],[Debits]]+Table1[[#This Row],[Income]]</f>
        <v>1900</v>
      </c>
      <c r="N357" t="str">
        <f>IF(AND(Table1[[#This Row],[Category]]="pay",NOT(Table1[[#This Row],[Debits]]=0)),"bad","good")</f>
        <v>good</v>
      </c>
      <c r="O357" s="5"/>
    </row>
    <row r="358" spans="6:15" x14ac:dyDescent="0.3">
      <c r="F358">
        <f>MONTH(Table1[[#This Row],[Date  (DMY)]])</f>
        <v>1</v>
      </c>
      <c r="G358" s="10"/>
      <c r="L358" s="5"/>
      <c r="M358" s="4">
        <f>M357-Table1[[#This Row],[Debits]]+Table1[[#This Row],[Income]]</f>
        <v>1900</v>
      </c>
      <c r="N358" t="str">
        <f>IF(AND(Table1[[#This Row],[Category]]="pay",NOT(Table1[[#This Row],[Debits]]=0)),"bad","good")</f>
        <v>good</v>
      </c>
      <c r="O358" s="5"/>
    </row>
    <row r="359" spans="6:15" x14ac:dyDescent="0.3">
      <c r="F359">
        <f>MONTH(Table1[[#This Row],[Date  (DMY)]])</f>
        <v>1</v>
      </c>
      <c r="G359" s="10"/>
      <c r="L359" s="5"/>
      <c r="M359" s="4">
        <f>M358-Table1[[#This Row],[Debits]]+Table1[[#This Row],[Income]]</f>
        <v>1900</v>
      </c>
      <c r="N359" t="str">
        <f>IF(AND(Table1[[#This Row],[Category]]="pay",NOT(Table1[[#This Row],[Debits]]=0)),"bad","good")</f>
        <v>good</v>
      </c>
      <c r="O359" s="5"/>
    </row>
    <row r="360" spans="6:15" x14ac:dyDescent="0.3">
      <c r="F360">
        <f>MONTH(Table1[[#This Row],[Date  (DMY)]])</f>
        <v>1</v>
      </c>
      <c r="G360" s="10"/>
      <c r="L360" s="5"/>
      <c r="M360" s="4">
        <f>M359-Table1[[#This Row],[Debits]]+Table1[[#This Row],[Income]]</f>
        <v>1900</v>
      </c>
      <c r="N360" t="str">
        <f>IF(AND(Table1[[#This Row],[Category]]="pay",NOT(Table1[[#This Row],[Debits]]=0)),"bad","good")</f>
        <v>good</v>
      </c>
      <c r="O360" s="5"/>
    </row>
    <row r="361" spans="6:15" x14ac:dyDescent="0.3">
      <c r="F361">
        <f>MONTH(Table1[[#This Row],[Date  (DMY)]])</f>
        <v>1</v>
      </c>
      <c r="G361" s="10"/>
      <c r="L361" s="5"/>
      <c r="M361" s="4">
        <f>M360-Table1[[#This Row],[Debits]]+Table1[[#This Row],[Income]]</f>
        <v>1900</v>
      </c>
      <c r="N361" t="str">
        <f>IF(AND(Table1[[#This Row],[Category]]="pay",NOT(Table1[[#This Row],[Debits]]=0)),"bad","good")</f>
        <v>good</v>
      </c>
      <c r="O361" s="5"/>
    </row>
    <row r="362" spans="6:15" x14ac:dyDescent="0.3">
      <c r="F362">
        <f>MONTH(Table1[[#This Row],[Date  (DMY)]])</f>
        <v>1</v>
      </c>
      <c r="G362" s="2"/>
      <c r="L362" s="5"/>
      <c r="M362" s="4">
        <f>M361-Table1[[#This Row],[Debits]]+Table1[[#This Row],[Income]]</f>
        <v>1900</v>
      </c>
      <c r="N362" t="str">
        <f>IF(AND(Table1[[#This Row],[Category]]="pay",NOT(Table1[[#This Row],[Debits]]=0)),"bad","good")</f>
        <v>good</v>
      </c>
      <c r="O362" s="5"/>
    </row>
    <row r="363" spans="6:15" x14ac:dyDescent="0.3">
      <c r="F363">
        <f>MONTH(Table1[[#This Row],[Date  (DMY)]])</f>
        <v>1</v>
      </c>
      <c r="G363" s="2"/>
      <c r="L363" s="5"/>
      <c r="M363" s="4">
        <f>M362-Table1[[#This Row],[Debits]]+Table1[[#This Row],[Income]]</f>
        <v>1900</v>
      </c>
      <c r="N363" t="str">
        <f>IF(AND(Table1[[#This Row],[Category]]="pay",NOT(Table1[[#This Row],[Debits]]=0)),"bad","good")</f>
        <v>good</v>
      </c>
      <c r="O363" s="5"/>
    </row>
    <row r="364" spans="6:15" x14ac:dyDescent="0.3">
      <c r="F364">
        <f>MONTH(Table1[[#This Row],[Date  (DMY)]])</f>
        <v>1</v>
      </c>
      <c r="G364" s="2"/>
      <c r="L364" s="5"/>
      <c r="M364" s="4">
        <f>M363-Table1[[#This Row],[Debits]]+Table1[[#This Row],[Income]]</f>
        <v>1900</v>
      </c>
      <c r="N364" t="str">
        <f>IF(AND(Table1[[#This Row],[Category]]="pay",NOT(Table1[[#This Row],[Debits]]=0)),"bad","good")</f>
        <v>good</v>
      </c>
      <c r="O364" s="5"/>
    </row>
    <row r="365" spans="6:15" x14ac:dyDescent="0.3">
      <c r="F365">
        <f>MONTH(Table1[[#This Row],[Date  (DMY)]])</f>
        <v>1</v>
      </c>
      <c r="G365" s="2"/>
      <c r="L365" s="5"/>
      <c r="M365" s="4">
        <f>M364-Table1[[#This Row],[Debits]]+Table1[[#This Row],[Income]]</f>
        <v>1900</v>
      </c>
      <c r="N365" t="str">
        <f>IF(AND(Table1[[#This Row],[Category]]="pay",NOT(Table1[[#This Row],[Debits]]=0)),"bad","good")</f>
        <v>good</v>
      </c>
      <c r="O365" s="5"/>
    </row>
    <row r="366" spans="6:15" x14ac:dyDescent="0.3">
      <c r="F366">
        <f>MONTH(Table1[[#This Row],[Date  (DMY)]])</f>
        <v>1</v>
      </c>
      <c r="G366" s="2"/>
      <c r="L366" s="5"/>
      <c r="M366" s="4">
        <f>M365-Table1[[#This Row],[Debits]]+Table1[[#This Row],[Income]]</f>
        <v>1900</v>
      </c>
      <c r="N366" t="str">
        <f>IF(AND(Table1[[#This Row],[Category]]="pay",NOT(Table1[[#This Row],[Debits]]=0)),"bad","good")</f>
        <v>good</v>
      </c>
      <c r="O366" s="5"/>
    </row>
    <row r="367" spans="6:15" x14ac:dyDescent="0.3">
      <c r="F367">
        <f>MONTH(Table1[[#This Row],[Date  (DMY)]])</f>
        <v>1</v>
      </c>
      <c r="G367" s="2"/>
      <c r="L367" s="5"/>
      <c r="M367" s="4">
        <f>M366-Table1[[#This Row],[Debits]]+Table1[[#This Row],[Income]]</f>
        <v>1900</v>
      </c>
      <c r="N367" t="str">
        <f>IF(AND(Table1[[#This Row],[Category]]="pay",NOT(Table1[[#This Row],[Debits]]=0)),"bad","good")</f>
        <v>good</v>
      </c>
      <c r="O367" s="5"/>
    </row>
    <row r="368" spans="6:15" x14ac:dyDescent="0.3">
      <c r="F368">
        <f>MONTH(Table1[[#This Row],[Date  (DMY)]])</f>
        <v>1</v>
      </c>
      <c r="G368" s="2"/>
      <c r="L368" s="5"/>
      <c r="M368" s="4">
        <f>M367-Table1[[#This Row],[Debits]]+Table1[[#This Row],[Income]]</f>
        <v>1900</v>
      </c>
      <c r="N368" t="str">
        <f>IF(AND(Table1[[#This Row],[Category]]="pay",NOT(Table1[[#This Row],[Debits]]=0)),"bad","good")</f>
        <v>good</v>
      </c>
      <c r="O368" s="5"/>
    </row>
    <row r="369" spans="6:15" x14ac:dyDescent="0.3">
      <c r="F369">
        <f>MONTH(Table1[[#This Row],[Date  (DMY)]])</f>
        <v>1</v>
      </c>
      <c r="G369" s="2"/>
      <c r="L369" s="5"/>
      <c r="M369" s="4">
        <f>M368-Table1[[#This Row],[Debits]]+Table1[[#This Row],[Income]]</f>
        <v>1900</v>
      </c>
      <c r="N369" t="str">
        <f>IF(AND(Table1[[#This Row],[Category]]="pay",NOT(Table1[[#This Row],[Debits]]=0)),"bad","good")</f>
        <v>good</v>
      </c>
      <c r="O369" s="5"/>
    </row>
    <row r="370" spans="6:15" x14ac:dyDescent="0.3">
      <c r="F370">
        <f>MONTH(Table1[[#This Row],[Date  (DMY)]])</f>
        <v>1</v>
      </c>
      <c r="G370" s="2"/>
      <c r="L370" s="5"/>
      <c r="M370" s="4">
        <f>M369-Table1[[#This Row],[Debits]]+Table1[[#This Row],[Income]]</f>
        <v>1900</v>
      </c>
      <c r="N370" t="str">
        <f>IF(AND(Table1[[#This Row],[Category]]="pay",NOT(Table1[[#This Row],[Debits]]=0)),"bad","good")</f>
        <v>good</v>
      </c>
      <c r="O370" s="5"/>
    </row>
    <row r="371" spans="6:15" x14ac:dyDescent="0.3">
      <c r="F371">
        <f>MONTH(Table1[[#This Row],[Date  (DMY)]])</f>
        <v>1</v>
      </c>
      <c r="G371" s="2"/>
      <c r="L371" s="5"/>
      <c r="M371" s="4">
        <f>M370-Table1[[#This Row],[Debits]]+Table1[[#This Row],[Income]]</f>
        <v>1900</v>
      </c>
      <c r="N371" t="str">
        <f>IF(AND(Table1[[#This Row],[Category]]="pay",NOT(Table1[[#This Row],[Debits]]=0)),"bad","good")</f>
        <v>good</v>
      </c>
      <c r="O371" s="5"/>
    </row>
    <row r="372" spans="6:15" x14ac:dyDescent="0.3">
      <c r="F372">
        <f>MONTH(Table1[[#This Row],[Date  (DMY)]])</f>
        <v>1</v>
      </c>
      <c r="G372" s="2"/>
      <c r="L372" s="5"/>
      <c r="M372" s="4">
        <f>M371-Table1[[#This Row],[Debits]]+Table1[[#This Row],[Income]]</f>
        <v>1900</v>
      </c>
      <c r="N372" t="str">
        <f>IF(AND(Table1[[#This Row],[Category]]="pay",NOT(Table1[[#This Row],[Debits]]=0)),"bad","good")</f>
        <v>good</v>
      </c>
      <c r="O372" s="5"/>
    </row>
    <row r="373" spans="6:15" x14ac:dyDescent="0.3">
      <c r="F373">
        <f>MONTH(Table1[[#This Row],[Date  (DMY)]])</f>
        <v>1</v>
      </c>
      <c r="G373" s="2"/>
      <c r="L373" s="5"/>
      <c r="M373" s="4">
        <f>M372-Table1[[#This Row],[Debits]]+Table1[[#This Row],[Income]]</f>
        <v>1900</v>
      </c>
      <c r="N373" t="str">
        <f>IF(AND(Table1[[#This Row],[Category]]="pay",NOT(Table1[[#This Row],[Debits]]=0)),"bad","good")</f>
        <v>good</v>
      </c>
      <c r="O373" s="5"/>
    </row>
    <row r="374" spans="6:15" x14ac:dyDescent="0.3">
      <c r="F374">
        <f>MONTH(Table1[[#This Row],[Date  (DMY)]])</f>
        <v>1</v>
      </c>
      <c r="G374" s="2"/>
      <c r="L374" s="5"/>
      <c r="M374" s="4">
        <f>M373-Table1[[#This Row],[Debits]]+Table1[[#This Row],[Income]]</f>
        <v>1900</v>
      </c>
      <c r="N374" t="str">
        <f>IF(AND(Table1[[#This Row],[Category]]="pay",NOT(Table1[[#This Row],[Debits]]=0)),"bad","good")</f>
        <v>good</v>
      </c>
      <c r="O374" s="5"/>
    </row>
    <row r="375" spans="6:15" x14ac:dyDescent="0.3">
      <c r="F375">
        <f>MONTH(Table1[[#This Row],[Date  (DMY)]])</f>
        <v>1</v>
      </c>
      <c r="G375" s="2"/>
      <c r="L375" s="5"/>
      <c r="M375" s="4">
        <f>M374-Table1[[#This Row],[Debits]]+Table1[[#This Row],[Income]]</f>
        <v>1900</v>
      </c>
      <c r="N375" t="str">
        <f>IF(AND(Table1[[#This Row],[Category]]="pay",NOT(Table1[[#This Row],[Debits]]=0)),"bad","good")</f>
        <v>good</v>
      </c>
      <c r="O375" s="5"/>
    </row>
    <row r="376" spans="6:15" x14ac:dyDescent="0.3">
      <c r="F376">
        <f>MONTH(Table1[[#This Row],[Date  (DMY)]])</f>
        <v>1</v>
      </c>
      <c r="G376" s="2"/>
      <c r="L376" s="5"/>
      <c r="M376" s="4">
        <f>M375-Table1[[#This Row],[Debits]]+Table1[[#This Row],[Income]]</f>
        <v>1900</v>
      </c>
      <c r="N376" t="str">
        <f>IF(AND(Table1[[#This Row],[Category]]="pay",NOT(Table1[[#This Row],[Debits]]=0)),"bad","good")</f>
        <v>good</v>
      </c>
      <c r="O376" s="5"/>
    </row>
    <row r="377" spans="6:15" x14ac:dyDescent="0.3">
      <c r="F377">
        <f>MONTH(Table1[[#This Row],[Date  (DMY)]])</f>
        <v>1</v>
      </c>
      <c r="G377" s="2"/>
      <c r="L377" s="5"/>
      <c r="M377" s="4">
        <f>M376-Table1[[#This Row],[Debits]]+Table1[[#This Row],[Income]]</f>
        <v>1900</v>
      </c>
      <c r="N377" t="str">
        <f>IF(AND(Table1[[#This Row],[Category]]="pay",NOT(Table1[[#This Row],[Debits]]=0)),"bad","good")</f>
        <v>good</v>
      </c>
      <c r="O377" s="5"/>
    </row>
    <row r="378" spans="6:15" x14ac:dyDescent="0.3">
      <c r="F378">
        <f>MONTH(Table1[[#This Row],[Date  (DMY)]])</f>
        <v>1</v>
      </c>
      <c r="G378" s="2"/>
      <c r="L378" s="5"/>
      <c r="M378" s="4">
        <f>M377-Table1[[#This Row],[Debits]]+Table1[[#This Row],[Income]]</f>
        <v>1900</v>
      </c>
      <c r="N378" t="str">
        <f>IF(AND(Table1[[#This Row],[Category]]="pay",NOT(Table1[[#This Row],[Debits]]=0)),"bad","good")</f>
        <v>good</v>
      </c>
      <c r="O378" s="5"/>
    </row>
    <row r="379" spans="6:15" x14ac:dyDescent="0.3">
      <c r="F379">
        <f>MONTH(Table1[[#This Row],[Date  (DMY)]])</f>
        <v>1</v>
      </c>
      <c r="G379" s="2"/>
      <c r="L379" s="5"/>
      <c r="M379" s="4">
        <f>M378-Table1[[#This Row],[Debits]]+Table1[[#This Row],[Income]]</f>
        <v>1900</v>
      </c>
      <c r="N379" t="str">
        <f>IF(AND(Table1[[#This Row],[Category]]="pay",NOT(Table1[[#This Row],[Debits]]=0)),"bad","good")</f>
        <v>good</v>
      </c>
      <c r="O379" s="5"/>
    </row>
    <row r="380" spans="6:15" x14ac:dyDescent="0.3">
      <c r="F380">
        <f>MONTH(Table1[[#This Row],[Date  (DMY)]])</f>
        <v>1</v>
      </c>
      <c r="G380" s="2"/>
      <c r="L380" s="5"/>
      <c r="M380" s="4">
        <f>M379-Table1[[#This Row],[Debits]]+Table1[[#This Row],[Income]]</f>
        <v>1900</v>
      </c>
      <c r="N380" t="str">
        <f>IF(AND(Table1[[#This Row],[Category]]="pay",NOT(Table1[[#This Row],[Debits]]=0)),"bad","good")</f>
        <v>good</v>
      </c>
      <c r="O380" s="5"/>
    </row>
    <row r="381" spans="6:15" x14ac:dyDescent="0.3">
      <c r="F381">
        <f>MONTH(Table1[[#This Row],[Date  (DMY)]])</f>
        <v>1</v>
      </c>
      <c r="G381" s="2"/>
      <c r="L381" s="5"/>
      <c r="M381" s="4">
        <f>M380-Table1[[#This Row],[Debits]]+Table1[[#This Row],[Income]]</f>
        <v>1900</v>
      </c>
      <c r="N381" t="str">
        <f>IF(AND(Table1[[#This Row],[Category]]="pay",NOT(Table1[[#This Row],[Debits]]=0)),"bad","good")</f>
        <v>good</v>
      </c>
      <c r="O381" s="5"/>
    </row>
    <row r="382" spans="6:15" x14ac:dyDescent="0.3">
      <c r="F382">
        <f>MONTH(Table1[[#This Row],[Date  (DMY)]])</f>
        <v>1</v>
      </c>
      <c r="G382" s="2"/>
      <c r="L382" s="5"/>
      <c r="M382" s="4">
        <f>M381-Table1[[#This Row],[Debits]]+Table1[[#This Row],[Income]]</f>
        <v>1900</v>
      </c>
      <c r="N382" t="str">
        <f>IF(AND(Table1[[#This Row],[Category]]="pay",NOT(Table1[[#This Row],[Debits]]=0)),"bad","good")</f>
        <v>good</v>
      </c>
      <c r="O382" s="5"/>
    </row>
    <row r="383" spans="6:15" x14ac:dyDescent="0.3">
      <c r="F383">
        <f>MONTH(Table1[[#This Row],[Date  (DMY)]])</f>
        <v>1</v>
      </c>
      <c r="G383" s="2"/>
      <c r="L383" s="5"/>
      <c r="M383" s="4">
        <f>M382-Table1[[#This Row],[Debits]]+Table1[[#This Row],[Income]]</f>
        <v>1900</v>
      </c>
      <c r="N383" t="str">
        <f>IF(AND(Table1[[#This Row],[Category]]="pay",NOT(Table1[[#This Row],[Debits]]=0)),"bad","good")</f>
        <v>good</v>
      </c>
      <c r="O383" s="5"/>
    </row>
    <row r="384" spans="6:15" x14ac:dyDescent="0.3">
      <c r="F384">
        <f>MONTH(Table1[[#This Row],[Date  (DMY)]])</f>
        <v>1</v>
      </c>
      <c r="G384" s="2"/>
      <c r="L384" s="5"/>
      <c r="M384" s="4">
        <f>M383-Table1[[#This Row],[Debits]]+Table1[[#This Row],[Income]]</f>
        <v>1900</v>
      </c>
      <c r="N384" t="str">
        <f>IF(AND(Table1[[#This Row],[Category]]="pay",NOT(Table1[[#This Row],[Debits]]=0)),"bad","good")</f>
        <v>good</v>
      </c>
      <c r="O384" s="5"/>
    </row>
    <row r="385" spans="6:15" x14ac:dyDescent="0.3">
      <c r="F385">
        <f>MONTH(Table1[[#This Row],[Date  (DMY)]])</f>
        <v>1</v>
      </c>
      <c r="G385" s="2"/>
      <c r="L385" s="5"/>
      <c r="M385" s="4">
        <f>M384-Table1[[#This Row],[Debits]]+Table1[[#This Row],[Income]]</f>
        <v>1900</v>
      </c>
      <c r="N385" t="str">
        <f>IF(AND(Table1[[#This Row],[Category]]="pay",NOT(Table1[[#This Row],[Debits]]=0)),"bad","good")</f>
        <v>good</v>
      </c>
      <c r="O385" s="5"/>
    </row>
    <row r="386" spans="6:15" x14ac:dyDescent="0.3">
      <c r="F386">
        <f>MONTH(Table1[[#This Row],[Date  (DMY)]])</f>
        <v>1</v>
      </c>
      <c r="G386" s="2"/>
      <c r="L386" s="5"/>
      <c r="M386" s="4">
        <f>M385-Table1[[#This Row],[Debits]]+Table1[[#This Row],[Income]]</f>
        <v>1900</v>
      </c>
      <c r="N386" t="str">
        <f>IF(AND(Table1[[#This Row],[Category]]="pay",NOT(Table1[[#This Row],[Debits]]=0)),"bad","good")</f>
        <v>good</v>
      </c>
      <c r="O386" s="5"/>
    </row>
    <row r="387" spans="6:15" x14ac:dyDescent="0.3">
      <c r="F387">
        <f>MONTH(Table1[[#This Row],[Date  (DMY)]])</f>
        <v>1</v>
      </c>
      <c r="G387" s="2"/>
      <c r="L387" s="5"/>
      <c r="M387" s="4">
        <f>M386-Table1[[#This Row],[Debits]]+Table1[[#This Row],[Income]]</f>
        <v>1900</v>
      </c>
      <c r="N387" t="str">
        <f>IF(AND(Table1[[#This Row],[Category]]="pay",NOT(Table1[[#This Row],[Debits]]=0)),"bad","good")</f>
        <v>good</v>
      </c>
      <c r="O387" s="5"/>
    </row>
    <row r="388" spans="6:15" x14ac:dyDescent="0.3">
      <c r="F388">
        <f>MONTH(Table1[[#This Row],[Date  (DMY)]])</f>
        <v>1</v>
      </c>
      <c r="G388" s="2"/>
      <c r="L388" s="5"/>
      <c r="M388" s="4">
        <f>M387-Table1[[#This Row],[Debits]]+Table1[[#This Row],[Income]]</f>
        <v>1900</v>
      </c>
      <c r="N388" t="str">
        <f>IF(AND(Table1[[#This Row],[Category]]="pay",NOT(Table1[[#This Row],[Debits]]=0)),"bad","good")</f>
        <v>good</v>
      </c>
      <c r="O388" s="5"/>
    </row>
    <row r="389" spans="6:15" x14ac:dyDescent="0.3">
      <c r="F389">
        <f>MONTH(Table1[[#This Row],[Date  (DMY)]])</f>
        <v>1</v>
      </c>
      <c r="G389" s="2"/>
      <c r="L389" s="5"/>
      <c r="M389" s="4">
        <f>M388-Table1[[#This Row],[Debits]]+Table1[[#This Row],[Income]]</f>
        <v>1900</v>
      </c>
      <c r="N389" t="str">
        <f>IF(AND(Table1[[#This Row],[Category]]="pay",NOT(Table1[[#This Row],[Debits]]=0)),"bad","good")</f>
        <v>good</v>
      </c>
      <c r="O389" s="5"/>
    </row>
    <row r="390" spans="6:15" x14ac:dyDescent="0.3">
      <c r="F390">
        <f>MONTH(Table1[[#This Row],[Date  (DMY)]])</f>
        <v>1</v>
      </c>
      <c r="G390" s="2"/>
      <c r="L390" s="5"/>
      <c r="M390" s="4">
        <f>M389-Table1[[#This Row],[Debits]]+Table1[[#This Row],[Income]]</f>
        <v>1900</v>
      </c>
      <c r="N390" t="str">
        <f>IF(AND(Table1[[#This Row],[Category]]="pay",NOT(Table1[[#This Row],[Debits]]=0)),"bad","good")</f>
        <v>good</v>
      </c>
      <c r="O390" s="5"/>
    </row>
    <row r="391" spans="6:15" x14ac:dyDescent="0.3">
      <c r="F391">
        <f>MONTH(Table1[[#This Row],[Date  (DMY)]])</f>
        <v>1</v>
      </c>
      <c r="G391" s="2"/>
      <c r="L391" s="5"/>
      <c r="M391" s="4">
        <f>M390-Table1[[#This Row],[Debits]]+Table1[[#This Row],[Income]]</f>
        <v>1900</v>
      </c>
      <c r="N391" t="str">
        <f>IF(AND(Table1[[#This Row],[Category]]="pay",NOT(Table1[[#This Row],[Debits]]=0)),"bad","good")</f>
        <v>good</v>
      </c>
      <c r="O391" s="5"/>
    </row>
    <row r="392" spans="6:15" x14ac:dyDescent="0.3">
      <c r="F392">
        <f>MONTH(Table1[[#This Row],[Date  (DMY)]])</f>
        <v>1</v>
      </c>
      <c r="G392" s="2"/>
      <c r="L392" s="5"/>
      <c r="M392" s="4">
        <f>M391-Table1[[#This Row],[Debits]]+Table1[[#This Row],[Income]]</f>
        <v>1900</v>
      </c>
      <c r="N392" t="str">
        <f>IF(AND(Table1[[#This Row],[Category]]="pay",NOT(Table1[[#This Row],[Debits]]=0)),"bad","good")</f>
        <v>good</v>
      </c>
      <c r="O392" s="5"/>
    </row>
    <row r="393" spans="6:15" x14ac:dyDescent="0.3">
      <c r="F393">
        <f>MONTH(Table1[[#This Row],[Date  (DMY)]])</f>
        <v>1</v>
      </c>
      <c r="G393" s="2"/>
      <c r="L393" s="5"/>
      <c r="M393" s="4">
        <f>M392-Table1[[#This Row],[Debits]]+Table1[[#This Row],[Income]]</f>
        <v>1900</v>
      </c>
      <c r="N393" t="str">
        <f>IF(AND(Table1[[#This Row],[Category]]="pay",NOT(Table1[[#This Row],[Debits]]=0)),"bad","good")</f>
        <v>good</v>
      </c>
      <c r="O393" s="5"/>
    </row>
    <row r="394" spans="6:15" x14ac:dyDescent="0.3">
      <c r="F394">
        <f>MONTH(Table1[[#This Row],[Date  (DMY)]])</f>
        <v>1</v>
      </c>
      <c r="G394" s="2"/>
      <c r="L394" s="5"/>
      <c r="M394" s="4">
        <f>M393-Table1[[#This Row],[Debits]]+Table1[[#This Row],[Income]]</f>
        <v>1900</v>
      </c>
      <c r="N394" t="str">
        <f>IF(AND(Table1[[#This Row],[Category]]="pay",NOT(Table1[[#This Row],[Debits]]=0)),"bad","good")</f>
        <v>good</v>
      </c>
      <c r="O394" s="5"/>
    </row>
    <row r="395" spans="6:15" x14ac:dyDescent="0.3">
      <c r="F395">
        <f>MONTH(Table1[[#This Row],[Date  (DMY)]])</f>
        <v>1</v>
      </c>
      <c r="G395" s="2"/>
      <c r="L395" s="5"/>
      <c r="M395" s="4">
        <f>M394-Table1[[#This Row],[Debits]]+Table1[[#This Row],[Income]]</f>
        <v>1900</v>
      </c>
      <c r="N395" t="str">
        <f>IF(AND(Table1[[#This Row],[Category]]="pay",NOT(Table1[[#This Row],[Debits]]=0)),"bad","good")</f>
        <v>good</v>
      </c>
      <c r="O395" s="5"/>
    </row>
    <row r="396" spans="6:15" x14ac:dyDescent="0.3">
      <c r="F396">
        <f>MONTH(Table1[[#This Row],[Date  (DMY)]])</f>
        <v>1</v>
      </c>
      <c r="G396" s="2"/>
      <c r="L396" s="5"/>
      <c r="M396" s="4">
        <f>M395-Table1[[#This Row],[Debits]]+Table1[[#This Row],[Income]]</f>
        <v>1900</v>
      </c>
      <c r="N396" t="str">
        <f>IF(AND(Table1[[#This Row],[Category]]="pay",NOT(Table1[[#This Row],[Debits]]=0)),"bad","good")</f>
        <v>good</v>
      </c>
      <c r="O396" s="5"/>
    </row>
    <row r="397" spans="6:15" x14ac:dyDescent="0.3">
      <c r="F397">
        <f>MONTH(Table1[[#This Row],[Date  (DMY)]])</f>
        <v>1</v>
      </c>
      <c r="G397" s="2"/>
      <c r="L397" s="5"/>
      <c r="M397" s="4">
        <f>M396-Table1[[#This Row],[Debits]]+Table1[[#This Row],[Income]]</f>
        <v>1900</v>
      </c>
      <c r="N397" t="str">
        <f>IF(AND(Table1[[#This Row],[Category]]="pay",NOT(Table1[[#This Row],[Debits]]=0)),"bad","good")</f>
        <v>good</v>
      </c>
      <c r="O397" s="5"/>
    </row>
    <row r="398" spans="6:15" x14ac:dyDescent="0.3">
      <c r="F398">
        <f>MONTH(Table1[[#This Row],[Date  (DMY)]])</f>
        <v>1</v>
      </c>
      <c r="G398" s="2"/>
      <c r="L398" s="5"/>
      <c r="M398" s="4">
        <f>M397-Table1[[#This Row],[Debits]]+Table1[[#This Row],[Income]]</f>
        <v>1900</v>
      </c>
      <c r="N398" t="str">
        <f>IF(AND(Table1[[#This Row],[Category]]="pay",NOT(Table1[[#This Row],[Debits]]=0)),"bad","good")</f>
        <v>good</v>
      </c>
      <c r="O398" s="5"/>
    </row>
    <row r="399" spans="6:15" x14ac:dyDescent="0.3">
      <c r="F399">
        <f>MONTH(Table1[[#This Row],[Date  (DMY)]])</f>
        <v>1</v>
      </c>
      <c r="G399" s="2"/>
      <c r="L399" s="5"/>
      <c r="M399" s="4">
        <f>M398-Table1[[#This Row],[Debits]]+Table1[[#This Row],[Income]]</f>
        <v>1900</v>
      </c>
      <c r="N399" t="str">
        <f>IF(AND(Table1[[#This Row],[Category]]="pay",NOT(Table1[[#This Row],[Debits]]=0)),"bad","good")</f>
        <v>good</v>
      </c>
      <c r="O399" s="5"/>
    </row>
    <row r="400" spans="6:15" x14ac:dyDescent="0.3">
      <c r="F400">
        <f>MONTH(Table1[[#This Row],[Date  (DMY)]])</f>
        <v>1</v>
      </c>
      <c r="G400" s="2"/>
      <c r="L400" s="5"/>
      <c r="M400" s="4">
        <f>M399-Table1[[#This Row],[Debits]]+Table1[[#This Row],[Income]]</f>
        <v>1900</v>
      </c>
      <c r="N400" t="str">
        <f>IF(AND(Table1[[#This Row],[Category]]="pay",NOT(Table1[[#This Row],[Debits]]=0)),"bad","good")</f>
        <v>good</v>
      </c>
      <c r="O400" s="5"/>
    </row>
    <row r="401" spans="6:15" x14ac:dyDescent="0.3">
      <c r="F401">
        <f>MONTH(Table1[[#This Row],[Date  (DMY)]])</f>
        <v>1</v>
      </c>
      <c r="G401" s="2"/>
      <c r="L401" s="5"/>
      <c r="M401" s="4">
        <f>M400-Table1[[#This Row],[Debits]]+Table1[[#This Row],[Income]]</f>
        <v>1900</v>
      </c>
      <c r="N401" t="str">
        <f>IF(AND(Table1[[#This Row],[Category]]="pay",NOT(Table1[[#This Row],[Debits]]=0)),"bad","good")</f>
        <v>good</v>
      </c>
      <c r="O401" s="5"/>
    </row>
    <row r="402" spans="6:15" x14ac:dyDescent="0.3">
      <c r="F402">
        <f>MONTH(Table1[[#This Row],[Date  (DMY)]])</f>
        <v>1</v>
      </c>
      <c r="G402" s="2"/>
      <c r="L402" s="5"/>
      <c r="M402" s="4">
        <f>M401-Table1[[#This Row],[Debits]]+Table1[[#This Row],[Income]]</f>
        <v>1900</v>
      </c>
      <c r="N402" t="str">
        <f>IF(AND(Table1[[#This Row],[Category]]="pay",NOT(Table1[[#This Row],[Debits]]=0)),"bad","good")</f>
        <v>good</v>
      </c>
      <c r="O402" s="5"/>
    </row>
    <row r="403" spans="6:15" x14ac:dyDescent="0.3">
      <c r="F403">
        <f>MONTH(Table1[[#This Row],[Date  (DMY)]])</f>
        <v>1</v>
      </c>
      <c r="G403" s="2"/>
      <c r="L403" s="5"/>
      <c r="M403" s="4">
        <f>M402-Table1[[#This Row],[Debits]]+Table1[[#This Row],[Income]]</f>
        <v>1900</v>
      </c>
      <c r="N403" t="str">
        <f>IF(AND(Table1[[#This Row],[Category]]="pay",NOT(Table1[[#This Row],[Debits]]=0)),"bad","good")</f>
        <v>good</v>
      </c>
      <c r="O403" s="5"/>
    </row>
    <row r="404" spans="6:15" x14ac:dyDescent="0.3">
      <c r="F404">
        <f>MONTH(Table1[[#This Row],[Date  (DMY)]])</f>
        <v>1</v>
      </c>
      <c r="G404" s="2"/>
      <c r="L404" s="5"/>
      <c r="M404" s="4">
        <f>M403-Table1[[#This Row],[Debits]]+Table1[[#This Row],[Income]]</f>
        <v>1900</v>
      </c>
      <c r="N404" t="str">
        <f>IF(AND(Table1[[#This Row],[Category]]="pay",NOT(Table1[[#This Row],[Debits]]=0)),"bad","good")</f>
        <v>good</v>
      </c>
      <c r="O404" s="5"/>
    </row>
    <row r="405" spans="6:15" x14ac:dyDescent="0.3">
      <c r="F405">
        <f>MONTH(Table1[[#This Row],[Date  (DMY)]])</f>
        <v>1</v>
      </c>
      <c r="G405" s="2"/>
      <c r="L405" s="5"/>
      <c r="M405" s="4">
        <f>M404-Table1[[#This Row],[Debits]]+Table1[[#This Row],[Income]]</f>
        <v>1900</v>
      </c>
      <c r="N405" t="str">
        <f>IF(AND(Table1[[#This Row],[Category]]="pay",NOT(Table1[[#This Row],[Debits]]=0)),"bad","good")</f>
        <v>good</v>
      </c>
      <c r="O405" s="5"/>
    </row>
    <row r="406" spans="6:15" x14ac:dyDescent="0.3">
      <c r="F406">
        <f>MONTH(Table1[[#This Row],[Date  (DMY)]])</f>
        <v>1</v>
      </c>
      <c r="G406" s="2"/>
      <c r="L406" s="5"/>
      <c r="M406" s="4">
        <f>M405-Table1[[#This Row],[Debits]]+Table1[[#This Row],[Income]]</f>
        <v>1900</v>
      </c>
      <c r="N406" t="str">
        <f>IF(AND(Table1[[#This Row],[Category]]="pay",NOT(Table1[[#This Row],[Debits]]=0)),"bad","good")</f>
        <v>good</v>
      </c>
      <c r="O406" s="5"/>
    </row>
    <row r="407" spans="6:15" x14ac:dyDescent="0.3">
      <c r="F407">
        <f>MONTH(Table1[[#This Row],[Date  (DMY)]])</f>
        <v>1</v>
      </c>
      <c r="G407" s="2"/>
      <c r="L407" s="5"/>
      <c r="M407" s="4">
        <f>M406-Table1[[#This Row],[Debits]]+Table1[[#This Row],[Income]]</f>
        <v>1900</v>
      </c>
      <c r="N407" t="str">
        <f>IF(AND(Table1[[#This Row],[Category]]="pay",NOT(Table1[[#This Row],[Debits]]=0)),"bad","good")</f>
        <v>good</v>
      </c>
      <c r="O407" s="5"/>
    </row>
    <row r="408" spans="6:15" x14ac:dyDescent="0.3">
      <c r="F408">
        <f>MONTH(Table1[[#This Row],[Date  (DMY)]])</f>
        <v>1</v>
      </c>
      <c r="G408" s="2"/>
      <c r="L408" s="5"/>
      <c r="M408" s="4">
        <f>M407-Table1[[#This Row],[Debits]]+Table1[[#This Row],[Income]]</f>
        <v>1900</v>
      </c>
      <c r="N408" t="str">
        <f>IF(AND(Table1[[#This Row],[Category]]="pay",NOT(Table1[[#This Row],[Debits]]=0)),"bad","good")</f>
        <v>good</v>
      </c>
      <c r="O408" s="5"/>
    </row>
    <row r="409" spans="6:15" x14ac:dyDescent="0.3">
      <c r="F409">
        <f>MONTH(Table1[[#This Row],[Date  (DMY)]])</f>
        <v>1</v>
      </c>
      <c r="G409" s="2"/>
      <c r="L409" s="5"/>
      <c r="M409" s="4">
        <f>M408-Table1[[#This Row],[Debits]]+Table1[[#This Row],[Income]]</f>
        <v>1900</v>
      </c>
      <c r="N409" t="str">
        <f>IF(AND(Table1[[#This Row],[Category]]="pay",NOT(Table1[[#This Row],[Debits]]=0)),"bad","good")</f>
        <v>good</v>
      </c>
      <c r="O409" s="5"/>
    </row>
    <row r="410" spans="6:15" x14ac:dyDescent="0.3">
      <c r="F410">
        <f>MONTH(Table1[[#This Row],[Date  (DMY)]])</f>
        <v>1</v>
      </c>
      <c r="G410" s="2"/>
      <c r="L410" s="5"/>
      <c r="M410" s="4">
        <f>M409-Table1[[#This Row],[Debits]]+Table1[[#This Row],[Income]]</f>
        <v>1900</v>
      </c>
      <c r="N410" t="str">
        <f>IF(AND(Table1[[#This Row],[Category]]="pay",NOT(Table1[[#This Row],[Debits]]=0)),"bad","good")</f>
        <v>good</v>
      </c>
      <c r="O410" s="5"/>
    </row>
    <row r="411" spans="6:15" x14ac:dyDescent="0.3">
      <c r="F411">
        <f>MONTH(Table1[[#This Row],[Date  (DMY)]])</f>
        <v>1</v>
      </c>
      <c r="G411" s="2"/>
      <c r="L411" s="5"/>
      <c r="M411" s="4">
        <f>M410-Table1[[#This Row],[Debits]]+Table1[[#This Row],[Income]]</f>
        <v>1900</v>
      </c>
      <c r="N411" t="str">
        <f>IF(AND(Table1[[#This Row],[Category]]="pay",NOT(Table1[[#This Row],[Debits]]=0)),"bad","good")</f>
        <v>good</v>
      </c>
      <c r="O411" s="5"/>
    </row>
    <row r="412" spans="6:15" x14ac:dyDescent="0.3">
      <c r="F412">
        <f>MONTH(Table1[[#This Row],[Date  (DMY)]])</f>
        <v>1</v>
      </c>
      <c r="G412" s="2"/>
      <c r="L412" s="5"/>
      <c r="M412" s="4">
        <f>M411-Table1[[#This Row],[Debits]]+Table1[[#This Row],[Income]]</f>
        <v>1900</v>
      </c>
      <c r="N412" t="str">
        <f>IF(AND(Table1[[#This Row],[Category]]="pay",NOT(Table1[[#This Row],[Debits]]=0)),"bad","good")</f>
        <v>good</v>
      </c>
      <c r="O412" s="5"/>
    </row>
    <row r="413" spans="6:15" x14ac:dyDescent="0.3">
      <c r="F413">
        <f>MONTH(Table1[[#This Row],[Date  (DMY)]])</f>
        <v>1</v>
      </c>
      <c r="G413" s="2"/>
      <c r="L413" s="5"/>
      <c r="M413" s="4">
        <f>M412-Table1[[#This Row],[Debits]]+Table1[[#This Row],[Income]]</f>
        <v>1900</v>
      </c>
      <c r="N413" t="str">
        <f>IF(AND(Table1[[#This Row],[Category]]="pay",NOT(Table1[[#This Row],[Debits]]=0)),"bad","good")</f>
        <v>good</v>
      </c>
      <c r="O413" s="5"/>
    </row>
    <row r="414" spans="6:15" x14ac:dyDescent="0.3">
      <c r="F414">
        <f>MONTH(Table1[[#This Row],[Date  (DMY)]])</f>
        <v>1</v>
      </c>
      <c r="G414" s="2"/>
      <c r="L414" s="5"/>
      <c r="M414" s="4">
        <f>M413-Table1[[#This Row],[Debits]]+Table1[[#This Row],[Income]]</f>
        <v>1900</v>
      </c>
      <c r="N414" t="str">
        <f>IF(AND(Table1[[#This Row],[Category]]="pay",NOT(Table1[[#This Row],[Debits]]=0)),"bad","good")</f>
        <v>good</v>
      </c>
      <c r="O414" s="5"/>
    </row>
    <row r="415" spans="6:15" x14ac:dyDescent="0.3">
      <c r="F415">
        <f>MONTH(Table1[[#This Row],[Date  (DMY)]])</f>
        <v>1</v>
      </c>
      <c r="G415" s="2"/>
      <c r="L415" s="5"/>
      <c r="M415" s="4">
        <f>M414-Table1[[#This Row],[Debits]]+Table1[[#This Row],[Income]]</f>
        <v>1900</v>
      </c>
      <c r="N415" t="str">
        <f>IF(AND(Table1[[#This Row],[Category]]="pay",NOT(Table1[[#This Row],[Debits]]=0)),"bad","good")</f>
        <v>good</v>
      </c>
      <c r="O415" s="5"/>
    </row>
    <row r="416" spans="6:15" x14ac:dyDescent="0.3">
      <c r="F416">
        <f>MONTH(Table1[[#This Row],[Date  (DMY)]])</f>
        <v>1</v>
      </c>
      <c r="G416" s="2"/>
      <c r="L416" s="5"/>
      <c r="M416" s="4">
        <f>M415-Table1[[#This Row],[Debits]]+Table1[[#This Row],[Income]]</f>
        <v>1900</v>
      </c>
      <c r="N416" t="str">
        <f>IF(AND(Table1[[#This Row],[Category]]="pay",NOT(Table1[[#This Row],[Debits]]=0)),"bad","good")</f>
        <v>good</v>
      </c>
      <c r="O416" s="5"/>
    </row>
    <row r="417" spans="6:15" x14ac:dyDescent="0.3">
      <c r="F417">
        <f>MONTH(Table1[[#This Row],[Date  (DMY)]])</f>
        <v>1</v>
      </c>
      <c r="G417" s="2"/>
      <c r="L417" s="5"/>
      <c r="M417" s="4">
        <f>M416-Table1[[#This Row],[Debits]]+Table1[[#This Row],[Income]]</f>
        <v>1900</v>
      </c>
      <c r="N417" t="str">
        <f>IF(AND(Table1[[#This Row],[Category]]="pay",NOT(Table1[[#This Row],[Debits]]=0)),"bad","good")</f>
        <v>good</v>
      </c>
      <c r="O417" s="5"/>
    </row>
    <row r="418" spans="6:15" x14ac:dyDescent="0.3">
      <c r="F418">
        <f>MONTH(Table1[[#This Row],[Date  (DMY)]])</f>
        <v>1</v>
      </c>
      <c r="G418" s="2"/>
      <c r="L418" s="5"/>
      <c r="M418" s="4">
        <f>M417-Table1[[#This Row],[Debits]]+Table1[[#This Row],[Income]]</f>
        <v>1900</v>
      </c>
      <c r="N418" t="str">
        <f>IF(AND(Table1[[#This Row],[Category]]="pay",NOT(Table1[[#This Row],[Debits]]=0)),"bad","good")</f>
        <v>good</v>
      </c>
      <c r="O418" s="5"/>
    </row>
    <row r="419" spans="6:15" x14ac:dyDescent="0.3">
      <c r="F419">
        <f>MONTH(Table1[[#This Row],[Date  (DMY)]])</f>
        <v>1</v>
      </c>
      <c r="G419" s="2"/>
      <c r="L419" s="5"/>
      <c r="M419" s="4">
        <f>M418-Table1[[#This Row],[Debits]]+Table1[[#This Row],[Income]]</f>
        <v>1900</v>
      </c>
      <c r="N419" t="str">
        <f>IF(AND(Table1[[#This Row],[Category]]="pay",NOT(Table1[[#This Row],[Debits]]=0)),"bad","good")</f>
        <v>good</v>
      </c>
      <c r="O419" s="5"/>
    </row>
    <row r="420" spans="6:15" x14ac:dyDescent="0.3">
      <c r="F420">
        <f>MONTH(Table1[[#This Row],[Date  (DMY)]])</f>
        <v>1</v>
      </c>
      <c r="G420" s="2"/>
      <c r="L420" s="5"/>
      <c r="M420" s="4">
        <f>M419-Table1[[#This Row],[Debits]]+Table1[[#This Row],[Income]]</f>
        <v>1900</v>
      </c>
      <c r="N420" t="str">
        <f>IF(AND(Table1[[#This Row],[Category]]="pay",NOT(Table1[[#This Row],[Debits]]=0)),"bad","good")</f>
        <v>good</v>
      </c>
      <c r="O420" s="5"/>
    </row>
    <row r="421" spans="6:15" x14ac:dyDescent="0.3">
      <c r="F421">
        <f>MONTH(Table1[[#This Row],[Date  (DMY)]])</f>
        <v>1</v>
      </c>
      <c r="G421" s="2"/>
      <c r="L421" s="5"/>
      <c r="M421" s="4">
        <f>M420-Table1[[#This Row],[Debits]]+Table1[[#This Row],[Income]]</f>
        <v>1900</v>
      </c>
      <c r="N421" t="str">
        <f>IF(AND(Table1[[#This Row],[Category]]="pay",NOT(Table1[[#This Row],[Debits]]=0)),"bad","good")</f>
        <v>good</v>
      </c>
      <c r="O421" s="5"/>
    </row>
    <row r="422" spans="6:15" x14ac:dyDescent="0.3">
      <c r="F422">
        <f>MONTH(Table1[[#This Row],[Date  (DMY)]])</f>
        <v>1</v>
      </c>
      <c r="G422" s="2"/>
      <c r="L422" s="5"/>
      <c r="M422" s="4">
        <f>M421-Table1[[#This Row],[Debits]]+Table1[[#This Row],[Income]]</f>
        <v>1900</v>
      </c>
      <c r="N422" t="str">
        <f>IF(AND(Table1[[#This Row],[Category]]="pay",NOT(Table1[[#This Row],[Debits]]=0)),"bad","good")</f>
        <v>good</v>
      </c>
      <c r="O422" s="5"/>
    </row>
    <row r="423" spans="6:15" x14ac:dyDescent="0.3">
      <c r="F423">
        <f>MONTH(Table1[[#This Row],[Date  (DMY)]])</f>
        <v>1</v>
      </c>
      <c r="G423" s="2"/>
      <c r="L423" s="5"/>
      <c r="M423" s="4">
        <f>M422-Table1[[#This Row],[Debits]]+Table1[[#This Row],[Income]]</f>
        <v>1900</v>
      </c>
      <c r="N423" t="str">
        <f>IF(AND(Table1[[#This Row],[Category]]="pay",NOT(Table1[[#This Row],[Debits]]=0)),"bad","good")</f>
        <v>good</v>
      </c>
      <c r="O423" s="5"/>
    </row>
    <row r="424" spans="6:15" x14ac:dyDescent="0.3">
      <c r="F424">
        <f>MONTH(Table1[[#This Row],[Date  (DMY)]])</f>
        <v>1</v>
      </c>
      <c r="G424" s="2"/>
      <c r="L424" s="5"/>
      <c r="M424" s="4">
        <f>M423-Table1[[#This Row],[Debits]]+Table1[[#This Row],[Income]]</f>
        <v>1900</v>
      </c>
      <c r="N424" t="str">
        <f>IF(AND(Table1[[#This Row],[Category]]="pay",NOT(Table1[[#This Row],[Debits]]=0)),"bad","good")</f>
        <v>good</v>
      </c>
      <c r="O424" s="5"/>
    </row>
    <row r="425" spans="6:15" x14ac:dyDescent="0.3">
      <c r="F425">
        <f>MONTH(Table1[[#This Row],[Date  (DMY)]])</f>
        <v>1</v>
      </c>
      <c r="G425" s="2"/>
      <c r="L425" s="5"/>
      <c r="M425" s="4">
        <f>M424-Table1[[#This Row],[Debits]]+Table1[[#This Row],[Income]]</f>
        <v>1900</v>
      </c>
      <c r="N425" t="str">
        <f>IF(AND(Table1[[#This Row],[Category]]="pay",NOT(Table1[[#This Row],[Debits]]=0)),"bad","good")</f>
        <v>good</v>
      </c>
      <c r="O425" s="5"/>
    </row>
    <row r="426" spans="6:15" x14ac:dyDescent="0.3">
      <c r="F426">
        <f>MONTH(Table1[[#This Row],[Date  (DMY)]])</f>
        <v>1</v>
      </c>
      <c r="G426" s="2"/>
      <c r="L426" s="5"/>
      <c r="M426" s="4">
        <f>M425-Table1[[#This Row],[Debits]]+Table1[[#This Row],[Income]]</f>
        <v>1900</v>
      </c>
      <c r="N426" t="str">
        <f>IF(AND(Table1[[#This Row],[Category]]="pay",NOT(Table1[[#This Row],[Debits]]=0)),"bad","good")</f>
        <v>good</v>
      </c>
      <c r="O426" s="5"/>
    </row>
    <row r="427" spans="6:15" x14ac:dyDescent="0.3">
      <c r="F427">
        <f>MONTH(Table1[[#This Row],[Date  (DMY)]])</f>
        <v>1</v>
      </c>
      <c r="G427" s="2"/>
      <c r="L427" s="5"/>
      <c r="M427" s="4">
        <f>M426-Table1[[#This Row],[Debits]]+Table1[[#This Row],[Income]]</f>
        <v>1900</v>
      </c>
      <c r="N427" t="str">
        <f>IF(AND(Table1[[#This Row],[Category]]="pay",NOT(Table1[[#This Row],[Debits]]=0)),"bad","good")</f>
        <v>good</v>
      </c>
      <c r="O427" s="5"/>
    </row>
    <row r="428" spans="6:15" x14ac:dyDescent="0.3">
      <c r="F428">
        <f>MONTH(Table1[[#This Row],[Date  (DMY)]])</f>
        <v>1</v>
      </c>
      <c r="G428" s="2"/>
      <c r="L428" s="5"/>
      <c r="M428" s="4">
        <f>M427-Table1[[#This Row],[Debits]]+Table1[[#This Row],[Income]]</f>
        <v>1900</v>
      </c>
      <c r="N428" t="str">
        <f>IF(AND(Table1[[#This Row],[Category]]="pay",NOT(Table1[[#This Row],[Debits]]=0)),"bad","good")</f>
        <v>good</v>
      </c>
      <c r="O428" s="5"/>
    </row>
    <row r="429" spans="6:15" x14ac:dyDescent="0.3">
      <c r="F429">
        <f>MONTH(Table1[[#This Row],[Date  (DMY)]])</f>
        <v>1</v>
      </c>
      <c r="G429" s="2"/>
      <c r="L429" s="5"/>
      <c r="M429" s="4">
        <f>M428-Table1[[#This Row],[Debits]]+Table1[[#This Row],[Income]]</f>
        <v>1900</v>
      </c>
      <c r="N429" t="str">
        <f>IF(AND(Table1[[#This Row],[Category]]="pay",NOT(Table1[[#This Row],[Debits]]=0)),"bad","good")</f>
        <v>good</v>
      </c>
      <c r="O429" s="5"/>
    </row>
    <row r="430" spans="6:15" x14ac:dyDescent="0.3">
      <c r="F430">
        <f>MONTH(Table1[[#This Row],[Date  (DMY)]])</f>
        <v>1</v>
      </c>
      <c r="G430" s="2"/>
      <c r="L430" s="5"/>
      <c r="M430" s="4">
        <f>M429-Table1[[#This Row],[Debits]]+Table1[[#This Row],[Income]]</f>
        <v>1900</v>
      </c>
      <c r="N430" t="str">
        <f>IF(AND(Table1[[#This Row],[Category]]="pay",NOT(Table1[[#This Row],[Debits]]=0)),"bad","good")</f>
        <v>good</v>
      </c>
      <c r="O430" s="5"/>
    </row>
    <row r="431" spans="6:15" x14ac:dyDescent="0.3">
      <c r="F431">
        <f>MONTH(Table1[[#This Row],[Date  (DMY)]])</f>
        <v>1</v>
      </c>
      <c r="G431" s="2"/>
      <c r="L431" s="5"/>
      <c r="M431" s="4">
        <f>M430-Table1[[#This Row],[Debits]]+Table1[[#This Row],[Income]]</f>
        <v>1900</v>
      </c>
      <c r="N431" t="str">
        <f>IF(AND(Table1[[#This Row],[Category]]="pay",NOT(Table1[[#This Row],[Debits]]=0)),"bad","good")</f>
        <v>good</v>
      </c>
      <c r="O431" s="5"/>
    </row>
    <row r="432" spans="6:15" x14ac:dyDescent="0.3">
      <c r="F432">
        <f>MONTH(Table1[[#This Row],[Date  (DMY)]])</f>
        <v>1</v>
      </c>
      <c r="G432" s="2"/>
      <c r="L432" s="5"/>
      <c r="M432" s="4">
        <f>M431-Table1[[#This Row],[Debits]]+Table1[[#This Row],[Income]]</f>
        <v>1900</v>
      </c>
      <c r="N432" t="str">
        <f>IF(AND(Table1[[#This Row],[Category]]="pay",NOT(Table1[[#This Row],[Debits]]=0)),"bad","good")</f>
        <v>good</v>
      </c>
      <c r="O432" s="5"/>
    </row>
    <row r="433" spans="6:15" x14ac:dyDescent="0.3">
      <c r="F433">
        <f>MONTH(Table1[[#This Row],[Date  (DMY)]])</f>
        <v>1</v>
      </c>
      <c r="G433" s="2"/>
      <c r="L433" s="5"/>
      <c r="M433" s="4">
        <f>M432-Table1[[#This Row],[Debits]]+Table1[[#This Row],[Income]]</f>
        <v>1900</v>
      </c>
      <c r="N433" t="str">
        <f>IF(AND(Table1[[#This Row],[Category]]="pay",NOT(Table1[[#This Row],[Debits]]=0)),"bad","good")</f>
        <v>good</v>
      </c>
      <c r="O433" s="5"/>
    </row>
    <row r="434" spans="6:15" x14ac:dyDescent="0.3">
      <c r="F434">
        <f>MONTH(Table1[[#This Row],[Date  (DMY)]])</f>
        <v>1</v>
      </c>
      <c r="G434" s="2"/>
      <c r="L434" s="5"/>
      <c r="M434" s="4">
        <f>M433-Table1[[#This Row],[Debits]]+Table1[[#This Row],[Income]]</f>
        <v>1900</v>
      </c>
      <c r="N434" t="str">
        <f>IF(AND(Table1[[#This Row],[Category]]="pay",NOT(Table1[[#This Row],[Debits]]=0)),"bad","good")</f>
        <v>good</v>
      </c>
      <c r="O434" s="5"/>
    </row>
    <row r="435" spans="6:15" x14ac:dyDescent="0.3">
      <c r="F435">
        <f>MONTH(Table1[[#This Row],[Date  (DMY)]])</f>
        <v>1</v>
      </c>
      <c r="G435" s="2"/>
      <c r="L435" s="5"/>
      <c r="M435" s="4">
        <f>M434-Table1[[#This Row],[Debits]]+Table1[[#This Row],[Income]]</f>
        <v>1900</v>
      </c>
      <c r="N435" t="str">
        <f>IF(AND(Table1[[#This Row],[Category]]="pay",NOT(Table1[[#This Row],[Debits]]=0)),"bad","good")</f>
        <v>good</v>
      </c>
      <c r="O435" s="5"/>
    </row>
    <row r="436" spans="6:15" x14ac:dyDescent="0.3">
      <c r="F436">
        <f>MONTH(Table1[[#This Row],[Date  (DMY)]])</f>
        <v>1</v>
      </c>
      <c r="G436" s="2"/>
      <c r="L436" s="5"/>
      <c r="M436" s="4">
        <f>M435-Table1[[#This Row],[Debits]]+Table1[[#This Row],[Income]]</f>
        <v>1900</v>
      </c>
      <c r="N436" t="str">
        <f>IF(AND(Table1[[#This Row],[Category]]="pay",NOT(Table1[[#This Row],[Debits]]=0)),"bad","good")</f>
        <v>good</v>
      </c>
      <c r="O436" s="5"/>
    </row>
    <row r="437" spans="6:15" x14ac:dyDescent="0.3">
      <c r="F437">
        <f>MONTH(Table1[[#This Row],[Date  (DMY)]])</f>
        <v>1</v>
      </c>
      <c r="G437" s="2"/>
      <c r="L437" s="5"/>
      <c r="M437" s="4">
        <f>M436-Table1[[#This Row],[Debits]]+Table1[[#This Row],[Income]]</f>
        <v>1900</v>
      </c>
      <c r="N437" t="str">
        <f>IF(AND(Table1[[#This Row],[Category]]="pay",NOT(Table1[[#This Row],[Debits]]=0)),"bad","good")</f>
        <v>good</v>
      </c>
      <c r="O437" s="5"/>
    </row>
    <row r="438" spans="6:15" x14ac:dyDescent="0.3">
      <c r="F438">
        <f>MONTH(Table1[[#This Row],[Date  (DMY)]])</f>
        <v>1</v>
      </c>
      <c r="G438" s="2"/>
      <c r="L438" s="5"/>
      <c r="M438" s="4">
        <f>M437-Table1[[#This Row],[Debits]]+Table1[[#This Row],[Income]]</f>
        <v>1900</v>
      </c>
      <c r="N438" t="str">
        <f>IF(AND(Table1[[#This Row],[Category]]="pay",NOT(Table1[[#This Row],[Debits]]=0)),"bad","good")</f>
        <v>good</v>
      </c>
      <c r="O438" s="5"/>
    </row>
    <row r="439" spans="6:15" x14ac:dyDescent="0.3">
      <c r="F439">
        <f>MONTH(Table1[[#This Row],[Date  (DMY)]])</f>
        <v>1</v>
      </c>
      <c r="G439" s="2"/>
      <c r="L439" s="5"/>
      <c r="M439" s="4">
        <f>M438-Table1[[#This Row],[Debits]]+Table1[[#This Row],[Income]]</f>
        <v>1900</v>
      </c>
      <c r="N439" t="str">
        <f>IF(AND(Table1[[#This Row],[Category]]="pay",NOT(Table1[[#This Row],[Debits]]=0)),"bad","good")</f>
        <v>good</v>
      </c>
      <c r="O439" s="5"/>
    </row>
    <row r="440" spans="6:15" x14ac:dyDescent="0.3">
      <c r="F440">
        <f>MONTH(Table1[[#This Row],[Date  (DMY)]])</f>
        <v>1</v>
      </c>
      <c r="G440" s="2"/>
      <c r="L440" s="5"/>
      <c r="M440" s="4">
        <f>M439-Table1[[#This Row],[Debits]]+Table1[[#This Row],[Income]]</f>
        <v>1900</v>
      </c>
      <c r="N440" t="str">
        <f>IF(AND(Table1[[#This Row],[Category]]="pay",NOT(Table1[[#This Row],[Debits]]=0)),"bad","good")</f>
        <v>good</v>
      </c>
      <c r="O440" s="5"/>
    </row>
    <row r="441" spans="6:15" x14ac:dyDescent="0.3">
      <c r="F441">
        <f>MONTH(Table1[[#This Row],[Date  (DMY)]])</f>
        <v>1</v>
      </c>
      <c r="G441" s="2"/>
      <c r="L441" s="5"/>
      <c r="M441" s="4">
        <f>M440-Table1[[#This Row],[Debits]]+Table1[[#This Row],[Income]]</f>
        <v>1900</v>
      </c>
      <c r="N441" t="str">
        <f>IF(AND(Table1[[#This Row],[Category]]="pay",NOT(Table1[[#This Row],[Debits]]=0)),"bad","good")</f>
        <v>good</v>
      </c>
      <c r="O441" s="5"/>
    </row>
    <row r="442" spans="6:15" x14ac:dyDescent="0.3">
      <c r="F442">
        <f>MONTH(Table1[[#This Row],[Date  (DMY)]])</f>
        <v>1</v>
      </c>
      <c r="G442" s="2"/>
      <c r="L442" s="5"/>
      <c r="M442" s="4">
        <f>M441-Table1[[#This Row],[Debits]]+Table1[[#This Row],[Income]]</f>
        <v>1900</v>
      </c>
      <c r="N442" t="str">
        <f>IF(AND(Table1[[#This Row],[Category]]="pay",NOT(Table1[[#This Row],[Debits]]=0)),"bad","good")</f>
        <v>good</v>
      </c>
      <c r="O442" s="5"/>
    </row>
    <row r="443" spans="6:15" x14ac:dyDescent="0.3">
      <c r="F443">
        <f>MONTH(Table1[[#This Row],[Date  (DMY)]])</f>
        <v>1</v>
      </c>
      <c r="G443" s="2"/>
      <c r="L443" s="5"/>
      <c r="M443" s="4">
        <f>M442-Table1[[#This Row],[Debits]]+Table1[[#This Row],[Income]]</f>
        <v>1900</v>
      </c>
      <c r="N443" t="str">
        <f>IF(AND(Table1[[#This Row],[Category]]="pay",NOT(Table1[[#This Row],[Debits]]=0)),"bad","good")</f>
        <v>good</v>
      </c>
      <c r="O443" s="5"/>
    </row>
    <row r="444" spans="6:15" x14ac:dyDescent="0.3">
      <c r="F444">
        <f>MONTH(Table1[[#This Row],[Date  (DMY)]])</f>
        <v>1</v>
      </c>
      <c r="G444" s="2"/>
      <c r="L444" s="5"/>
      <c r="M444" s="4">
        <f>M443-Table1[[#This Row],[Debits]]+Table1[[#This Row],[Income]]</f>
        <v>1900</v>
      </c>
      <c r="N444" t="str">
        <f>IF(AND(Table1[[#This Row],[Category]]="pay",NOT(Table1[[#This Row],[Debits]]=0)),"bad","good")</f>
        <v>good</v>
      </c>
      <c r="O444" s="5"/>
    </row>
    <row r="445" spans="6:15" x14ac:dyDescent="0.3">
      <c r="F445">
        <f>MONTH(Table1[[#This Row],[Date  (DMY)]])</f>
        <v>1</v>
      </c>
      <c r="G445" s="2"/>
      <c r="L445" s="5"/>
      <c r="M445" s="4">
        <f>M444-Table1[[#This Row],[Debits]]+Table1[[#This Row],[Income]]</f>
        <v>1900</v>
      </c>
      <c r="N445" t="str">
        <f>IF(AND(Table1[[#This Row],[Category]]="pay",NOT(Table1[[#This Row],[Debits]]=0)),"bad","good")</f>
        <v>good</v>
      </c>
      <c r="O445" s="5"/>
    </row>
    <row r="446" spans="6:15" x14ac:dyDescent="0.3">
      <c r="F446">
        <f>MONTH(Table1[[#This Row],[Date  (DMY)]])</f>
        <v>1</v>
      </c>
      <c r="G446" s="2"/>
      <c r="L446" s="5"/>
      <c r="M446" s="4">
        <f>M445-Table1[[#This Row],[Debits]]+Table1[[#This Row],[Income]]</f>
        <v>1900</v>
      </c>
      <c r="N446" t="str">
        <f>IF(AND(Table1[[#This Row],[Category]]="pay",NOT(Table1[[#This Row],[Debits]]=0)),"bad","good")</f>
        <v>good</v>
      </c>
      <c r="O446" s="5"/>
    </row>
    <row r="447" spans="6:15" x14ac:dyDescent="0.3">
      <c r="F447">
        <f>MONTH(Table1[[#This Row],[Date  (DMY)]])</f>
        <v>1</v>
      </c>
      <c r="G447" s="2"/>
      <c r="L447" s="5"/>
      <c r="M447" s="4">
        <f>M446-Table1[[#This Row],[Debits]]+Table1[[#This Row],[Income]]</f>
        <v>1900</v>
      </c>
      <c r="N447" t="str">
        <f>IF(AND(Table1[[#This Row],[Category]]="pay",NOT(Table1[[#This Row],[Debits]]=0)),"bad","good")</f>
        <v>good</v>
      </c>
      <c r="O447" s="5"/>
    </row>
    <row r="448" spans="6:15" x14ac:dyDescent="0.3">
      <c r="F448">
        <f>MONTH(Table1[[#This Row],[Date  (DMY)]])</f>
        <v>1</v>
      </c>
      <c r="G448" s="2"/>
      <c r="L448" s="5"/>
      <c r="M448" s="4">
        <f>M447-Table1[[#This Row],[Debits]]+Table1[[#This Row],[Income]]</f>
        <v>1900</v>
      </c>
      <c r="N448" t="str">
        <f>IF(AND(Table1[[#This Row],[Category]]="pay",NOT(Table1[[#This Row],[Debits]]=0)),"bad","good")</f>
        <v>good</v>
      </c>
      <c r="O448" s="5"/>
    </row>
    <row r="449" spans="6:15" x14ac:dyDescent="0.3">
      <c r="F449">
        <f>MONTH(Table1[[#This Row],[Date  (DMY)]])</f>
        <v>1</v>
      </c>
      <c r="G449" s="2"/>
      <c r="L449" s="5"/>
      <c r="M449" s="4">
        <f>M448-Table1[[#This Row],[Debits]]+Table1[[#This Row],[Income]]</f>
        <v>1900</v>
      </c>
      <c r="N449" t="str">
        <f>IF(AND(Table1[[#This Row],[Category]]="pay",NOT(Table1[[#This Row],[Debits]]=0)),"bad","good")</f>
        <v>good</v>
      </c>
      <c r="O449" s="5"/>
    </row>
    <row r="450" spans="6:15" x14ac:dyDescent="0.3">
      <c r="F450">
        <f>MONTH(Table1[[#This Row],[Date  (DMY)]])</f>
        <v>1</v>
      </c>
      <c r="G450" s="2"/>
      <c r="L450" s="5"/>
      <c r="M450" s="4">
        <f>M449-Table1[[#This Row],[Debits]]+Table1[[#This Row],[Income]]</f>
        <v>1900</v>
      </c>
      <c r="N450" t="str">
        <f>IF(AND(Table1[[#This Row],[Category]]="pay",NOT(Table1[[#This Row],[Debits]]=0)),"bad","good")</f>
        <v>good</v>
      </c>
      <c r="O450" s="5"/>
    </row>
    <row r="451" spans="6:15" x14ac:dyDescent="0.3">
      <c r="F451">
        <f>MONTH(Table1[[#This Row],[Date  (DMY)]])</f>
        <v>1</v>
      </c>
      <c r="G451" s="2"/>
      <c r="L451" s="5"/>
      <c r="M451" s="4">
        <f>M450-Table1[[#This Row],[Debits]]+Table1[[#This Row],[Income]]</f>
        <v>1900</v>
      </c>
      <c r="N451" t="str">
        <f>IF(AND(Table1[[#This Row],[Category]]="pay",NOT(Table1[[#This Row],[Debits]]=0)),"bad","good")</f>
        <v>good</v>
      </c>
      <c r="O451" s="5"/>
    </row>
    <row r="452" spans="6:15" x14ac:dyDescent="0.3">
      <c r="F452">
        <f>MONTH(Table1[[#This Row],[Date  (DMY)]])</f>
        <v>1</v>
      </c>
      <c r="G452" s="2"/>
      <c r="L452" s="5"/>
      <c r="M452" s="4">
        <f>M451-Table1[[#This Row],[Debits]]+Table1[[#This Row],[Income]]</f>
        <v>1900</v>
      </c>
      <c r="N452" t="str">
        <f>IF(AND(Table1[[#This Row],[Category]]="pay",NOT(Table1[[#This Row],[Debits]]=0)),"bad","good")</f>
        <v>good</v>
      </c>
      <c r="O452" s="5"/>
    </row>
    <row r="453" spans="6:15" x14ac:dyDescent="0.3">
      <c r="F453">
        <f>MONTH(Table1[[#This Row],[Date  (DMY)]])</f>
        <v>1</v>
      </c>
      <c r="G453" s="2"/>
      <c r="L453" s="5"/>
      <c r="M453" s="4">
        <f>M452-Table1[[#This Row],[Debits]]+Table1[[#This Row],[Income]]</f>
        <v>1900</v>
      </c>
      <c r="N453" t="str">
        <f>IF(AND(Table1[[#This Row],[Category]]="pay",NOT(Table1[[#This Row],[Debits]]=0)),"bad","good")</f>
        <v>good</v>
      </c>
      <c r="O453" s="5"/>
    </row>
    <row r="454" spans="6:15" x14ac:dyDescent="0.3">
      <c r="F454">
        <f>MONTH(Table1[[#This Row],[Date  (DMY)]])</f>
        <v>1</v>
      </c>
      <c r="G454" s="2"/>
      <c r="L454" s="5"/>
      <c r="M454" s="4">
        <f>M453-Table1[[#This Row],[Debits]]+Table1[[#This Row],[Income]]</f>
        <v>1900</v>
      </c>
      <c r="N454" t="str">
        <f>IF(AND(Table1[[#This Row],[Category]]="pay",NOT(Table1[[#This Row],[Debits]]=0)),"bad","good")</f>
        <v>good</v>
      </c>
      <c r="O454" s="5"/>
    </row>
    <row r="455" spans="6:15" x14ac:dyDescent="0.3">
      <c r="F455">
        <f>MONTH(Table1[[#This Row],[Date  (DMY)]])</f>
        <v>1</v>
      </c>
      <c r="G455" s="2"/>
      <c r="L455" s="5"/>
      <c r="M455" s="4">
        <f>M454-Table1[[#This Row],[Debits]]+Table1[[#This Row],[Income]]</f>
        <v>1900</v>
      </c>
      <c r="N455" t="str">
        <f>IF(AND(Table1[[#This Row],[Category]]="pay",NOT(Table1[[#This Row],[Debits]]=0)),"bad","good")</f>
        <v>good</v>
      </c>
      <c r="O455" s="5"/>
    </row>
    <row r="456" spans="6:15" x14ac:dyDescent="0.3">
      <c r="F456">
        <f>MONTH(Table1[[#This Row],[Date  (DMY)]])</f>
        <v>1</v>
      </c>
      <c r="G456" s="2"/>
      <c r="L456" s="5"/>
      <c r="M456" s="4">
        <f>M455-Table1[[#This Row],[Debits]]+Table1[[#This Row],[Income]]</f>
        <v>1900</v>
      </c>
      <c r="N456" t="str">
        <f>IF(AND(Table1[[#This Row],[Category]]="pay",NOT(Table1[[#This Row],[Debits]]=0)),"bad","good")</f>
        <v>good</v>
      </c>
      <c r="O456" s="5"/>
    </row>
    <row r="457" spans="6:15" x14ac:dyDescent="0.3">
      <c r="F457">
        <f>MONTH(Table1[[#This Row],[Date  (DMY)]])</f>
        <v>1</v>
      </c>
      <c r="G457" s="2"/>
      <c r="L457" s="5"/>
      <c r="M457" s="4">
        <f>M456-Table1[[#This Row],[Debits]]+Table1[[#This Row],[Income]]</f>
        <v>1900</v>
      </c>
      <c r="N457" t="str">
        <f>IF(AND(Table1[[#This Row],[Category]]="pay",NOT(Table1[[#This Row],[Debits]]=0)),"bad","good")</f>
        <v>good</v>
      </c>
      <c r="O457" s="5"/>
    </row>
    <row r="458" spans="6:15" x14ac:dyDescent="0.3">
      <c r="F458">
        <f>MONTH(Table1[[#This Row],[Date  (DMY)]])</f>
        <v>1</v>
      </c>
      <c r="G458" s="2"/>
      <c r="L458" s="5"/>
      <c r="M458" s="4">
        <f>M457-Table1[[#This Row],[Debits]]+Table1[[#This Row],[Income]]</f>
        <v>1900</v>
      </c>
      <c r="N458" t="str">
        <f>IF(AND(Table1[[#This Row],[Category]]="pay",NOT(Table1[[#This Row],[Debits]]=0)),"bad","good")</f>
        <v>good</v>
      </c>
      <c r="O458" s="5"/>
    </row>
    <row r="459" spans="6:15" x14ac:dyDescent="0.3">
      <c r="F459">
        <f>MONTH(Table1[[#This Row],[Date  (DMY)]])</f>
        <v>1</v>
      </c>
      <c r="G459" s="2"/>
      <c r="L459" s="5"/>
      <c r="M459" s="4">
        <f>M458-Table1[[#This Row],[Debits]]+Table1[[#This Row],[Income]]</f>
        <v>1900</v>
      </c>
      <c r="N459" t="str">
        <f>IF(AND(Table1[[#This Row],[Category]]="pay",NOT(Table1[[#This Row],[Debits]]=0)),"bad","good")</f>
        <v>good</v>
      </c>
      <c r="O459" s="5"/>
    </row>
    <row r="460" spans="6:15" x14ac:dyDescent="0.3">
      <c r="F460">
        <f>MONTH(Table1[[#This Row],[Date  (DMY)]])</f>
        <v>1</v>
      </c>
      <c r="G460" s="2"/>
      <c r="L460" s="5"/>
      <c r="M460" s="4">
        <f>M459-Table1[[#This Row],[Debits]]+Table1[[#This Row],[Income]]</f>
        <v>1900</v>
      </c>
      <c r="N460" t="str">
        <f>IF(AND(Table1[[#This Row],[Category]]="pay",NOT(Table1[[#This Row],[Debits]]=0)),"bad","good")</f>
        <v>good</v>
      </c>
      <c r="O460" s="5"/>
    </row>
    <row r="461" spans="6:15" x14ac:dyDescent="0.3">
      <c r="F461">
        <f>MONTH(Table1[[#This Row],[Date  (DMY)]])</f>
        <v>1</v>
      </c>
      <c r="G461" s="2"/>
      <c r="L461" s="5"/>
      <c r="M461" s="4">
        <f>M460-Table1[[#This Row],[Debits]]+Table1[[#This Row],[Income]]</f>
        <v>1900</v>
      </c>
      <c r="N461" t="str">
        <f>IF(AND(Table1[[#This Row],[Category]]="pay",NOT(Table1[[#This Row],[Debits]]=0)),"bad","good")</f>
        <v>good</v>
      </c>
      <c r="O461" s="5"/>
    </row>
    <row r="462" spans="6:15" x14ac:dyDescent="0.3">
      <c r="F462">
        <f>MONTH(Table1[[#This Row],[Date  (DMY)]])</f>
        <v>1</v>
      </c>
      <c r="G462" s="2"/>
      <c r="L462" s="5"/>
      <c r="M462" s="4">
        <f>M461-Table1[[#This Row],[Debits]]+Table1[[#This Row],[Income]]</f>
        <v>1900</v>
      </c>
      <c r="N462" t="str">
        <f>IF(AND(Table1[[#This Row],[Category]]="pay",NOT(Table1[[#This Row],[Debits]]=0)),"bad","good")</f>
        <v>good</v>
      </c>
      <c r="O462" s="5"/>
    </row>
    <row r="463" spans="6:15" x14ac:dyDescent="0.3">
      <c r="F463">
        <f>MONTH(Table1[[#This Row],[Date  (DMY)]])</f>
        <v>1</v>
      </c>
      <c r="G463" s="2"/>
      <c r="L463" s="5"/>
      <c r="M463" s="4">
        <f>M462-Table1[[#This Row],[Debits]]+Table1[[#This Row],[Income]]</f>
        <v>1900</v>
      </c>
      <c r="N463" t="str">
        <f>IF(AND(Table1[[#This Row],[Category]]="pay",NOT(Table1[[#This Row],[Debits]]=0)),"bad","good")</f>
        <v>good</v>
      </c>
      <c r="O463" s="5"/>
    </row>
    <row r="464" spans="6:15" x14ac:dyDescent="0.3">
      <c r="F464">
        <f>MONTH(Table1[[#This Row],[Date  (DMY)]])</f>
        <v>1</v>
      </c>
      <c r="G464" s="2"/>
      <c r="L464" s="5"/>
      <c r="M464" s="4">
        <f>M463-Table1[[#This Row],[Debits]]+Table1[[#This Row],[Income]]</f>
        <v>1900</v>
      </c>
      <c r="N464" t="str">
        <f>IF(AND(Table1[[#This Row],[Category]]="pay",NOT(Table1[[#This Row],[Debits]]=0)),"bad","good")</f>
        <v>good</v>
      </c>
      <c r="O464" s="5"/>
    </row>
    <row r="465" spans="6:15" x14ac:dyDescent="0.3">
      <c r="F465">
        <f>MONTH(Table1[[#This Row],[Date  (DMY)]])</f>
        <v>1</v>
      </c>
      <c r="G465" s="2"/>
      <c r="L465" s="5"/>
      <c r="M465" s="4">
        <f>M464-Table1[[#This Row],[Debits]]+Table1[[#This Row],[Income]]</f>
        <v>1900</v>
      </c>
      <c r="N465" t="str">
        <f>IF(AND(Table1[[#This Row],[Category]]="pay",NOT(Table1[[#This Row],[Debits]]=0)),"bad","good")</f>
        <v>good</v>
      </c>
      <c r="O465" s="5"/>
    </row>
    <row r="466" spans="6:15" x14ac:dyDescent="0.3">
      <c r="F466">
        <f>MONTH(Table1[[#This Row],[Date  (DMY)]])</f>
        <v>1</v>
      </c>
      <c r="G466" s="2"/>
      <c r="L466" s="5"/>
      <c r="M466" s="4">
        <f>M465-Table1[[#This Row],[Debits]]+Table1[[#This Row],[Income]]</f>
        <v>1900</v>
      </c>
      <c r="N466" t="str">
        <f>IF(AND(Table1[[#This Row],[Category]]="pay",NOT(Table1[[#This Row],[Debits]]=0)),"bad","good")</f>
        <v>good</v>
      </c>
      <c r="O466" s="5"/>
    </row>
    <row r="467" spans="6:15" x14ac:dyDescent="0.3">
      <c r="F467">
        <f>MONTH(Table1[[#This Row],[Date  (DMY)]])</f>
        <v>1</v>
      </c>
      <c r="G467" s="2"/>
      <c r="L467" s="5"/>
      <c r="M467" s="4">
        <f>M466-Table1[[#This Row],[Debits]]+Table1[[#This Row],[Income]]</f>
        <v>1900</v>
      </c>
      <c r="N467" t="str">
        <f>IF(AND(Table1[[#This Row],[Category]]="pay",NOT(Table1[[#This Row],[Debits]]=0)),"bad","good")</f>
        <v>good</v>
      </c>
      <c r="O467" s="5"/>
    </row>
    <row r="468" spans="6:15" x14ac:dyDescent="0.3">
      <c r="F468">
        <f>MONTH(Table1[[#This Row],[Date  (DMY)]])</f>
        <v>1</v>
      </c>
      <c r="G468" s="2"/>
      <c r="L468" s="5"/>
      <c r="M468" s="4">
        <f>M467-Table1[[#This Row],[Debits]]+Table1[[#This Row],[Income]]</f>
        <v>1900</v>
      </c>
      <c r="N468" t="str">
        <f>IF(AND(Table1[[#This Row],[Category]]="pay",NOT(Table1[[#This Row],[Debits]]=0)),"bad","good")</f>
        <v>good</v>
      </c>
      <c r="O468" s="5"/>
    </row>
    <row r="469" spans="6:15" x14ac:dyDescent="0.3">
      <c r="F469">
        <f>MONTH(Table1[[#This Row],[Date  (DMY)]])</f>
        <v>1</v>
      </c>
      <c r="G469" s="2"/>
      <c r="L469" s="5"/>
      <c r="M469" s="4">
        <f>M468-Table1[[#This Row],[Debits]]+Table1[[#This Row],[Income]]</f>
        <v>1900</v>
      </c>
      <c r="N469" t="str">
        <f>IF(AND(Table1[[#This Row],[Category]]="pay",NOT(Table1[[#This Row],[Debits]]=0)),"bad","good")</f>
        <v>good</v>
      </c>
      <c r="O469" s="5"/>
    </row>
    <row r="470" spans="6:15" x14ac:dyDescent="0.3">
      <c r="F470">
        <f>MONTH(Table1[[#This Row],[Date  (DMY)]])</f>
        <v>1</v>
      </c>
      <c r="G470" s="2"/>
      <c r="L470" s="5"/>
      <c r="M470" s="4">
        <f>M469-Table1[[#This Row],[Debits]]+Table1[[#This Row],[Income]]</f>
        <v>1900</v>
      </c>
      <c r="N470" t="str">
        <f>IF(AND(Table1[[#This Row],[Category]]="pay",NOT(Table1[[#This Row],[Debits]]=0)),"bad","good")</f>
        <v>good</v>
      </c>
      <c r="O470" s="5"/>
    </row>
    <row r="471" spans="6:15" x14ac:dyDescent="0.3">
      <c r="F471">
        <f>MONTH(Table1[[#This Row],[Date  (DMY)]])</f>
        <v>1</v>
      </c>
      <c r="G471" s="2"/>
      <c r="L471" s="5"/>
      <c r="M471" s="4">
        <f>M470-Table1[[#This Row],[Debits]]+Table1[[#This Row],[Income]]</f>
        <v>1900</v>
      </c>
      <c r="N471" t="str">
        <f>IF(AND(Table1[[#This Row],[Category]]="pay",NOT(Table1[[#This Row],[Debits]]=0)),"bad","good")</f>
        <v>good</v>
      </c>
      <c r="O471" s="5"/>
    </row>
    <row r="472" spans="6:15" x14ac:dyDescent="0.3">
      <c r="F472">
        <f>MONTH(Table1[[#This Row],[Date  (DMY)]])</f>
        <v>1</v>
      </c>
      <c r="G472" s="2"/>
      <c r="L472" s="5"/>
      <c r="M472" s="4">
        <f>M471-Table1[[#This Row],[Debits]]+Table1[[#This Row],[Income]]</f>
        <v>1900</v>
      </c>
      <c r="N472" t="str">
        <f>IF(AND(Table1[[#This Row],[Category]]="pay",NOT(Table1[[#This Row],[Debits]]=0)),"bad","good")</f>
        <v>good</v>
      </c>
      <c r="O472" s="5"/>
    </row>
    <row r="473" spans="6:15" x14ac:dyDescent="0.3">
      <c r="F473">
        <f>MONTH(Table1[[#This Row],[Date  (DMY)]])</f>
        <v>1</v>
      </c>
      <c r="G473" s="2"/>
      <c r="L473" s="5"/>
      <c r="M473" s="4">
        <f>M472-Table1[[#This Row],[Debits]]+Table1[[#This Row],[Income]]</f>
        <v>1900</v>
      </c>
      <c r="N473" t="str">
        <f>IF(AND(Table1[[#This Row],[Category]]="pay",NOT(Table1[[#This Row],[Debits]]=0)),"bad","good")</f>
        <v>good</v>
      </c>
      <c r="O473" s="5"/>
    </row>
    <row r="474" spans="6:15" x14ac:dyDescent="0.3">
      <c r="F474">
        <f>MONTH(Table1[[#This Row],[Date  (DMY)]])</f>
        <v>1</v>
      </c>
      <c r="G474" s="2"/>
      <c r="L474" s="5"/>
      <c r="M474" s="4">
        <f>M473-Table1[[#This Row],[Debits]]+Table1[[#This Row],[Income]]</f>
        <v>1900</v>
      </c>
      <c r="N474" t="str">
        <f>IF(AND(Table1[[#This Row],[Category]]="pay",NOT(Table1[[#This Row],[Debits]]=0)),"bad","good")</f>
        <v>good</v>
      </c>
      <c r="O474" s="5"/>
    </row>
    <row r="475" spans="6:15" x14ac:dyDescent="0.3">
      <c r="F475">
        <f>MONTH(Table1[[#This Row],[Date  (DMY)]])</f>
        <v>1</v>
      </c>
      <c r="G475" s="2"/>
      <c r="L475" s="5"/>
      <c r="M475" s="4">
        <f>M474-Table1[[#This Row],[Debits]]+Table1[[#This Row],[Income]]</f>
        <v>1900</v>
      </c>
      <c r="N475" t="str">
        <f>IF(AND(Table1[[#This Row],[Category]]="pay",NOT(Table1[[#This Row],[Debits]]=0)),"bad","good")</f>
        <v>good</v>
      </c>
      <c r="O475" s="5"/>
    </row>
    <row r="476" spans="6:15" x14ac:dyDescent="0.3">
      <c r="F476">
        <f>MONTH(Table1[[#This Row],[Date  (DMY)]])</f>
        <v>1</v>
      </c>
      <c r="G476" s="2"/>
      <c r="L476" s="5"/>
      <c r="M476" s="4">
        <f>M475-Table1[[#This Row],[Debits]]+Table1[[#This Row],[Income]]</f>
        <v>1900</v>
      </c>
      <c r="N476" t="str">
        <f>IF(AND(Table1[[#This Row],[Category]]="pay",NOT(Table1[[#This Row],[Debits]]=0)),"bad","good")</f>
        <v>good</v>
      </c>
      <c r="O476" s="5"/>
    </row>
    <row r="477" spans="6:15" x14ac:dyDescent="0.3">
      <c r="F477">
        <f>MONTH(Table1[[#This Row],[Date  (DMY)]])</f>
        <v>1</v>
      </c>
      <c r="G477" s="2"/>
      <c r="L477" s="5"/>
      <c r="M477" s="4">
        <f>M476-Table1[[#This Row],[Debits]]+Table1[[#This Row],[Income]]</f>
        <v>1900</v>
      </c>
      <c r="N477" t="str">
        <f>IF(AND(Table1[[#This Row],[Category]]="pay",NOT(Table1[[#This Row],[Debits]]=0)),"bad","good")</f>
        <v>good</v>
      </c>
      <c r="O477" s="5"/>
    </row>
    <row r="478" spans="6:15" x14ac:dyDescent="0.3">
      <c r="F478">
        <f>MONTH(Table1[[#This Row],[Date  (DMY)]])</f>
        <v>1</v>
      </c>
      <c r="G478" s="2"/>
      <c r="L478" s="5"/>
      <c r="M478" s="4">
        <f>M477-Table1[[#This Row],[Debits]]+Table1[[#This Row],[Income]]</f>
        <v>1900</v>
      </c>
      <c r="N478" t="str">
        <f>IF(AND(Table1[[#This Row],[Category]]="pay",NOT(Table1[[#This Row],[Debits]]=0)),"bad","good")</f>
        <v>good</v>
      </c>
      <c r="O478" s="5"/>
    </row>
    <row r="479" spans="6:15" x14ac:dyDescent="0.3">
      <c r="F479">
        <f>MONTH(Table1[[#This Row],[Date  (DMY)]])</f>
        <v>1</v>
      </c>
      <c r="G479" s="2"/>
      <c r="L479" s="5"/>
      <c r="M479" s="4">
        <f>M478-Table1[[#This Row],[Debits]]+Table1[[#This Row],[Income]]</f>
        <v>1900</v>
      </c>
      <c r="N479" t="str">
        <f>IF(AND(Table1[[#This Row],[Category]]="pay",NOT(Table1[[#This Row],[Debits]]=0)),"bad","good")</f>
        <v>good</v>
      </c>
      <c r="O479" s="5"/>
    </row>
    <row r="480" spans="6:15" x14ac:dyDescent="0.3">
      <c r="F480">
        <f>MONTH(Table1[[#This Row],[Date  (DMY)]])</f>
        <v>1</v>
      </c>
      <c r="G480" s="2"/>
      <c r="L480" s="5"/>
      <c r="M480" s="4">
        <f>M479-Table1[[#This Row],[Debits]]+Table1[[#This Row],[Income]]</f>
        <v>1900</v>
      </c>
      <c r="N480" t="str">
        <f>IF(AND(Table1[[#This Row],[Category]]="pay",NOT(Table1[[#This Row],[Debits]]=0)),"bad","good")</f>
        <v>good</v>
      </c>
      <c r="O480" s="5"/>
    </row>
    <row r="481" spans="6:15" x14ac:dyDescent="0.3">
      <c r="F481">
        <f>MONTH(Table1[[#This Row],[Date  (DMY)]])</f>
        <v>1</v>
      </c>
      <c r="G481" s="2"/>
      <c r="L481" s="5"/>
      <c r="M481" s="4">
        <f>M480-Table1[[#This Row],[Debits]]+Table1[[#This Row],[Income]]</f>
        <v>1900</v>
      </c>
      <c r="N481" t="str">
        <f>IF(AND(Table1[[#This Row],[Category]]="pay",NOT(Table1[[#This Row],[Debits]]=0)),"bad","good")</f>
        <v>good</v>
      </c>
      <c r="O481" s="5"/>
    </row>
    <row r="482" spans="6:15" x14ac:dyDescent="0.3">
      <c r="F482">
        <f>MONTH(Table1[[#This Row],[Date  (DMY)]])</f>
        <v>1</v>
      </c>
      <c r="G482" s="2"/>
      <c r="L482" s="5"/>
      <c r="M482" s="4">
        <f>M481-Table1[[#This Row],[Debits]]+Table1[[#This Row],[Income]]</f>
        <v>1900</v>
      </c>
      <c r="N482" t="str">
        <f>IF(AND(Table1[[#This Row],[Category]]="pay",NOT(Table1[[#This Row],[Debits]]=0)),"bad","good")</f>
        <v>good</v>
      </c>
      <c r="O482" s="5"/>
    </row>
    <row r="483" spans="6:15" x14ac:dyDescent="0.3">
      <c r="F483">
        <f>MONTH(Table1[[#This Row],[Date  (DMY)]])</f>
        <v>1</v>
      </c>
      <c r="G483" s="2"/>
      <c r="L483" s="5"/>
      <c r="M483" s="4">
        <f>M482-Table1[[#This Row],[Debits]]+Table1[[#This Row],[Income]]</f>
        <v>1900</v>
      </c>
      <c r="N483" t="str">
        <f>IF(AND(Table1[[#This Row],[Category]]="pay",NOT(Table1[[#This Row],[Debits]]=0)),"bad","good")</f>
        <v>good</v>
      </c>
      <c r="O483" s="5"/>
    </row>
    <row r="484" spans="6:15" x14ac:dyDescent="0.3">
      <c r="F484">
        <f>MONTH(Table1[[#This Row],[Date  (DMY)]])</f>
        <v>1</v>
      </c>
      <c r="G484" s="2"/>
      <c r="L484" s="5"/>
      <c r="M484" s="4">
        <f>M483-Table1[[#This Row],[Debits]]+Table1[[#This Row],[Income]]</f>
        <v>1900</v>
      </c>
      <c r="N484" t="str">
        <f>IF(AND(Table1[[#This Row],[Category]]="pay",NOT(Table1[[#This Row],[Debits]]=0)),"bad","good")</f>
        <v>good</v>
      </c>
      <c r="O484" s="5"/>
    </row>
    <row r="485" spans="6:15" x14ac:dyDescent="0.3">
      <c r="F485">
        <f>MONTH(Table1[[#This Row],[Date  (DMY)]])</f>
        <v>1</v>
      </c>
      <c r="G485" s="2"/>
      <c r="L485" s="5"/>
      <c r="M485" s="4">
        <f>M484-Table1[[#This Row],[Debits]]+Table1[[#This Row],[Income]]</f>
        <v>1900</v>
      </c>
      <c r="N485" t="str">
        <f>IF(AND(Table1[[#This Row],[Category]]="pay",NOT(Table1[[#This Row],[Debits]]=0)),"bad","good")</f>
        <v>good</v>
      </c>
      <c r="O485" s="5"/>
    </row>
    <row r="486" spans="6:15" x14ac:dyDescent="0.3">
      <c r="F486">
        <f>MONTH(Table1[[#This Row],[Date  (DMY)]])</f>
        <v>1</v>
      </c>
      <c r="G486" s="2"/>
      <c r="L486" s="5"/>
      <c r="M486" s="4">
        <f>M485-Table1[[#This Row],[Debits]]+Table1[[#This Row],[Income]]</f>
        <v>1900</v>
      </c>
      <c r="N486" t="str">
        <f>IF(AND(Table1[[#This Row],[Category]]="pay",NOT(Table1[[#This Row],[Debits]]=0)),"bad","good")</f>
        <v>good</v>
      </c>
      <c r="O486" s="5"/>
    </row>
    <row r="487" spans="6:15" x14ac:dyDescent="0.3">
      <c r="F487">
        <f>MONTH(Table1[[#This Row],[Date  (DMY)]])</f>
        <v>1</v>
      </c>
      <c r="G487" s="2"/>
      <c r="L487" s="5"/>
      <c r="M487" s="4">
        <f>M486-Table1[[#This Row],[Debits]]+Table1[[#This Row],[Income]]</f>
        <v>1900</v>
      </c>
      <c r="N487" t="str">
        <f>IF(AND(Table1[[#This Row],[Category]]="pay",NOT(Table1[[#This Row],[Debits]]=0)),"bad","good")</f>
        <v>good</v>
      </c>
      <c r="O487" s="5"/>
    </row>
    <row r="488" spans="6:15" x14ac:dyDescent="0.3">
      <c r="F488">
        <f>MONTH(Table1[[#This Row],[Date  (DMY)]])</f>
        <v>1</v>
      </c>
      <c r="G488" s="2"/>
      <c r="L488" s="5"/>
      <c r="M488" s="4">
        <f>M487-Table1[[#This Row],[Debits]]+Table1[[#This Row],[Income]]</f>
        <v>1900</v>
      </c>
      <c r="N488" t="str">
        <f>IF(AND(Table1[[#This Row],[Category]]="pay",NOT(Table1[[#This Row],[Debits]]=0)),"bad","good")</f>
        <v>good</v>
      </c>
      <c r="O488" s="5"/>
    </row>
    <row r="489" spans="6:15" x14ac:dyDescent="0.3">
      <c r="F489">
        <f>MONTH(Table1[[#This Row],[Date  (DMY)]])</f>
        <v>1</v>
      </c>
      <c r="G489" s="2"/>
      <c r="L489" s="5"/>
      <c r="M489" s="4">
        <f>M488-Table1[[#This Row],[Debits]]+Table1[[#This Row],[Income]]</f>
        <v>1900</v>
      </c>
      <c r="N489" t="str">
        <f>IF(AND(Table1[[#This Row],[Category]]="pay",NOT(Table1[[#This Row],[Debits]]=0)),"bad","good")</f>
        <v>good</v>
      </c>
      <c r="O489" s="5"/>
    </row>
    <row r="490" spans="6:15" x14ac:dyDescent="0.3">
      <c r="F490">
        <f>MONTH(Table1[[#This Row],[Date  (DMY)]])</f>
        <v>1</v>
      </c>
      <c r="G490" s="2"/>
      <c r="L490" s="5"/>
      <c r="M490" s="4">
        <f>M489-Table1[[#This Row],[Debits]]+Table1[[#This Row],[Income]]</f>
        <v>1900</v>
      </c>
      <c r="N490" t="str">
        <f>IF(AND(Table1[[#This Row],[Category]]="pay",NOT(Table1[[#This Row],[Debits]]=0)),"bad","good")</f>
        <v>good</v>
      </c>
      <c r="O490" s="5"/>
    </row>
    <row r="491" spans="6:15" x14ac:dyDescent="0.3">
      <c r="F491">
        <f>MONTH(Table1[[#This Row],[Date  (DMY)]])</f>
        <v>1</v>
      </c>
      <c r="G491" s="2"/>
      <c r="L491" s="5"/>
      <c r="M491" s="4">
        <f>M490-Table1[[#This Row],[Debits]]+Table1[[#This Row],[Income]]</f>
        <v>1900</v>
      </c>
      <c r="N491" t="str">
        <f>IF(AND(Table1[[#This Row],[Category]]="pay",NOT(Table1[[#This Row],[Debits]]=0)),"bad","good")</f>
        <v>good</v>
      </c>
      <c r="O491" s="5"/>
    </row>
    <row r="492" spans="6:15" x14ac:dyDescent="0.3">
      <c r="F492">
        <f>MONTH(Table1[[#This Row],[Date  (DMY)]])</f>
        <v>1</v>
      </c>
      <c r="G492" s="2"/>
      <c r="L492" s="5"/>
      <c r="M492" s="4">
        <f>M491-Table1[[#This Row],[Debits]]+Table1[[#This Row],[Income]]</f>
        <v>1900</v>
      </c>
      <c r="N492" t="str">
        <f>IF(AND(Table1[[#This Row],[Category]]="pay",NOT(Table1[[#This Row],[Debits]]=0)),"bad","good")</f>
        <v>good</v>
      </c>
      <c r="O492" s="5"/>
    </row>
    <row r="493" spans="6:15" x14ac:dyDescent="0.3">
      <c r="F493">
        <f>MONTH(Table1[[#This Row],[Date  (DMY)]])</f>
        <v>1</v>
      </c>
      <c r="G493" s="2"/>
      <c r="L493" s="5"/>
      <c r="M493" s="4">
        <f>M492-Table1[[#This Row],[Debits]]+Table1[[#This Row],[Income]]</f>
        <v>1900</v>
      </c>
      <c r="N493" t="str">
        <f>IF(AND(Table1[[#This Row],[Category]]="pay",NOT(Table1[[#This Row],[Debits]]=0)),"bad","good")</f>
        <v>good</v>
      </c>
      <c r="O493" s="5"/>
    </row>
    <row r="494" spans="6:15" x14ac:dyDescent="0.3">
      <c r="F494">
        <f>MONTH(Table1[[#This Row],[Date  (DMY)]])</f>
        <v>1</v>
      </c>
      <c r="G494" s="2"/>
      <c r="L494" s="5"/>
      <c r="M494" s="4">
        <f>M493-Table1[[#This Row],[Debits]]+Table1[[#This Row],[Income]]</f>
        <v>1900</v>
      </c>
      <c r="N494" t="str">
        <f>IF(AND(Table1[[#This Row],[Category]]="pay",NOT(Table1[[#This Row],[Debits]]=0)),"bad","good")</f>
        <v>good</v>
      </c>
      <c r="O494" s="5"/>
    </row>
    <row r="495" spans="6:15" x14ac:dyDescent="0.3">
      <c r="F495">
        <f>MONTH(Table1[[#This Row],[Date  (DMY)]])</f>
        <v>1</v>
      </c>
      <c r="G495" s="2"/>
      <c r="L495" s="5"/>
      <c r="M495" s="4">
        <f>M494-Table1[[#This Row],[Debits]]+Table1[[#This Row],[Income]]</f>
        <v>1900</v>
      </c>
      <c r="N495" t="str">
        <f>IF(AND(Table1[[#This Row],[Category]]="pay",NOT(Table1[[#This Row],[Debits]]=0)),"bad","good")</f>
        <v>good</v>
      </c>
      <c r="O495" s="5"/>
    </row>
    <row r="496" spans="6:15" x14ac:dyDescent="0.3">
      <c r="F496">
        <f>MONTH(Table1[[#This Row],[Date  (DMY)]])</f>
        <v>1</v>
      </c>
      <c r="G496" s="2"/>
      <c r="L496" s="5"/>
      <c r="M496" s="4">
        <f>M495-Table1[[#This Row],[Debits]]+Table1[[#This Row],[Income]]</f>
        <v>1900</v>
      </c>
      <c r="N496" t="str">
        <f>IF(AND(Table1[[#This Row],[Category]]="pay",NOT(Table1[[#This Row],[Debits]]=0)),"bad","good")</f>
        <v>good</v>
      </c>
      <c r="O496" s="5"/>
    </row>
    <row r="497" spans="6:15" x14ac:dyDescent="0.3">
      <c r="F497">
        <f>MONTH(Table1[[#This Row],[Date  (DMY)]])</f>
        <v>1</v>
      </c>
      <c r="G497" s="2"/>
      <c r="L497" s="5"/>
      <c r="M497" s="4">
        <f>M496-Table1[[#This Row],[Debits]]+Table1[[#This Row],[Income]]</f>
        <v>1900</v>
      </c>
      <c r="N497" t="str">
        <f>IF(AND(Table1[[#This Row],[Category]]="pay",NOT(Table1[[#This Row],[Debits]]=0)),"bad","good")</f>
        <v>good</v>
      </c>
      <c r="O497" s="5"/>
    </row>
    <row r="498" spans="6:15" x14ac:dyDescent="0.3">
      <c r="F498">
        <f>MONTH(Table1[[#This Row],[Date  (DMY)]])</f>
        <v>1</v>
      </c>
      <c r="G498" s="2"/>
      <c r="L498" s="5"/>
      <c r="M498" s="4">
        <f>M497-Table1[[#This Row],[Debits]]+Table1[[#This Row],[Income]]</f>
        <v>1900</v>
      </c>
      <c r="N498" t="str">
        <f>IF(AND(Table1[[#This Row],[Category]]="pay",NOT(Table1[[#This Row],[Debits]]=0)),"bad","good")</f>
        <v>good</v>
      </c>
      <c r="O498" s="5"/>
    </row>
    <row r="499" spans="6:15" x14ac:dyDescent="0.3">
      <c r="F499">
        <f>MONTH(Table1[[#This Row],[Date  (DMY)]])</f>
        <v>1</v>
      </c>
      <c r="G499" s="2"/>
      <c r="L499" s="5"/>
      <c r="M499" s="4">
        <f>M498-Table1[[#This Row],[Debits]]+Table1[[#This Row],[Income]]</f>
        <v>1900</v>
      </c>
      <c r="N499" t="str">
        <f>IF(AND(Table1[[#This Row],[Category]]="pay",NOT(Table1[[#This Row],[Debits]]=0)),"bad","good")</f>
        <v>good</v>
      </c>
      <c r="O499" s="5"/>
    </row>
    <row r="500" spans="6:15" x14ac:dyDescent="0.3">
      <c r="F500">
        <f>MONTH(Table1[[#This Row],[Date  (DMY)]])</f>
        <v>1</v>
      </c>
      <c r="G500" s="2"/>
      <c r="L500" s="5"/>
      <c r="M500" s="4">
        <f>M499-Table1[[#This Row],[Debits]]+Table1[[#This Row],[Income]]</f>
        <v>1900</v>
      </c>
      <c r="N500" t="str">
        <f>IF(AND(Table1[[#This Row],[Category]]="pay",NOT(Table1[[#This Row],[Debits]]=0)),"bad","good")</f>
        <v>good</v>
      </c>
      <c r="O500" s="5"/>
    </row>
    <row r="501" spans="6:15" x14ac:dyDescent="0.3">
      <c r="F501">
        <f>MONTH(Table1[[#This Row],[Date  (DMY)]])</f>
        <v>1</v>
      </c>
      <c r="G501" s="2"/>
      <c r="L501" s="5"/>
      <c r="M501" s="4">
        <f>M500-Table1[[#This Row],[Debits]]+Table1[[#This Row],[Income]]</f>
        <v>1900</v>
      </c>
      <c r="N501" t="str">
        <f>IF(AND(Table1[[#This Row],[Category]]="pay",NOT(Table1[[#This Row],[Debits]]=0)),"bad","good")</f>
        <v>good</v>
      </c>
      <c r="O501" s="5"/>
    </row>
    <row r="502" spans="6:15" x14ac:dyDescent="0.3">
      <c r="F502">
        <f>MONTH(Table1[[#This Row],[Date  (DMY)]])</f>
        <v>1</v>
      </c>
      <c r="G502" s="2"/>
      <c r="L502" s="5"/>
      <c r="M502" s="4">
        <f>M501-Table1[[#This Row],[Debits]]+Table1[[#This Row],[Income]]</f>
        <v>1900</v>
      </c>
      <c r="N502" t="str">
        <f>IF(AND(Table1[[#This Row],[Category]]="pay",NOT(Table1[[#This Row],[Debits]]=0)),"bad","good")</f>
        <v>good</v>
      </c>
      <c r="O502" s="5"/>
    </row>
    <row r="503" spans="6:15" x14ac:dyDescent="0.3">
      <c r="F503">
        <f>MONTH(Table1[[#This Row],[Date  (DMY)]])</f>
        <v>1</v>
      </c>
      <c r="G503" s="2"/>
      <c r="L503" s="5"/>
      <c r="M503" s="4">
        <f>M502-Table1[[#This Row],[Debits]]+Table1[[#This Row],[Income]]</f>
        <v>1900</v>
      </c>
      <c r="N503" t="str">
        <f>IF(AND(Table1[[#This Row],[Category]]="pay",NOT(Table1[[#This Row],[Debits]]=0)),"bad","good")</f>
        <v>good</v>
      </c>
      <c r="O503" s="5"/>
    </row>
    <row r="504" spans="6:15" x14ac:dyDescent="0.3">
      <c r="F504">
        <f>MONTH(Table1[[#This Row],[Date  (DMY)]])</f>
        <v>1</v>
      </c>
      <c r="G504" s="2"/>
      <c r="L504" s="5"/>
      <c r="M504" s="4">
        <f>M503-Table1[[#This Row],[Debits]]+Table1[[#This Row],[Income]]</f>
        <v>1900</v>
      </c>
      <c r="N504" t="str">
        <f>IF(AND(Table1[[#This Row],[Category]]="pay",NOT(Table1[[#This Row],[Debits]]=0)),"bad","good")</f>
        <v>good</v>
      </c>
      <c r="O504" s="5"/>
    </row>
    <row r="505" spans="6:15" x14ac:dyDescent="0.3">
      <c r="F505">
        <f>MONTH(Table1[[#This Row],[Date  (DMY)]])</f>
        <v>1</v>
      </c>
      <c r="G505" s="2"/>
      <c r="L505" s="5"/>
      <c r="M505" s="4">
        <f>M504-Table1[[#This Row],[Debits]]+Table1[[#This Row],[Income]]</f>
        <v>1900</v>
      </c>
      <c r="N505" t="str">
        <f>IF(AND(Table1[[#This Row],[Category]]="pay",NOT(Table1[[#This Row],[Debits]]=0)),"bad","good")</f>
        <v>good</v>
      </c>
      <c r="O505" s="5"/>
    </row>
    <row r="506" spans="6:15" x14ac:dyDescent="0.3">
      <c r="F506">
        <f>MONTH(Table1[[#This Row],[Date  (DMY)]])</f>
        <v>1</v>
      </c>
      <c r="G506" s="2"/>
      <c r="L506" s="5"/>
      <c r="M506" s="4">
        <f>M505-Table1[[#This Row],[Debits]]+Table1[[#This Row],[Income]]</f>
        <v>1900</v>
      </c>
      <c r="N506" t="str">
        <f>IF(AND(Table1[[#This Row],[Category]]="pay",NOT(Table1[[#This Row],[Debits]]=0)),"bad","good")</f>
        <v>good</v>
      </c>
      <c r="O506" s="5"/>
    </row>
    <row r="507" spans="6:15" x14ac:dyDescent="0.3">
      <c r="F507">
        <f>MONTH(Table1[[#This Row],[Date  (DMY)]])</f>
        <v>1</v>
      </c>
      <c r="G507" s="2"/>
      <c r="L507" s="5"/>
      <c r="M507" s="4">
        <f>M506-Table1[[#This Row],[Debits]]+Table1[[#This Row],[Income]]</f>
        <v>1900</v>
      </c>
      <c r="N507" t="str">
        <f>IF(AND(Table1[[#This Row],[Category]]="pay",NOT(Table1[[#This Row],[Debits]]=0)),"bad","good")</f>
        <v>good</v>
      </c>
      <c r="O507" s="5"/>
    </row>
    <row r="508" spans="6:15" x14ac:dyDescent="0.3">
      <c r="F508">
        <f>MONTH(Table1[[#This Row],[Date  (DMY)]])</f>
        <v>1</v>
      </c>
      <c r="G508" s="2"/>
      <c r="L508" s="5"/>
      <c r="M508" s="4">
        <f>M507-Table1[[#This Row],[Debits]]+Table1[[#This Row],[Income]]</f>
        <v>1900</v>
      </c>
      <c r="N508" t="str">
        <f>IF(AND(Table1[[#This Row],[Category]]="pay",NOT(Table1[[#This Row],[Debits]]=0)),"bad","good")</f>
        <v>good</v>
      </c>
      <c r="O508" s="5"/>
    </row>
    <row r="509" spans="6:15" x14ac:dyDescent="0.3">
      <c r="F509">
        <f>MONTH(Table1[[#This Row],[Date  (DMY)]])</f>
        <v>1</v>
      </c>
      <c r="G509" s="2"/>
      <c r="L509" s="5"/>
      <c r="M509" s="4">
        <f>M508-Table1[[#This Row],[Debits]]+Table1[[#This Row],[Income]]</f>
        <v>1900</v>
      </c>
      <c r="N509" t="str">
        <f>IF(AND(Table1[[#This Row],[Category]]="pay",NOT(Table1[[#This Row],[Debits]]=0)),"bad","good")</f>
        <v>good</v>
      </c>
      <c r="O509" s="5"/>
    </row>
    <row r="510" spans="6:15" x14ac:dyDescent="0.3">
      <c r="F510">
        <f>MONTH(Table1[[#This Row],[Date  (DMY)]])</f>
        <v>1</v>
      </c>
      <c r="G510" s="2"/>
      <c r="L510" s="5"/>
      <c r="M510" s="4">
        <f>M509-Table1[[#This Row],[Debits]]+Table1[[#This Row],[Income]]</f>
        <v>1900</v>
      </c>
      <c r="N510" t="str">
        <f>IF(AND(Table1[[#This Row],[Category]]="pay",NOT(Table1[[#This Row],[Debits]]=0)),"bad","good")</f>
        <v>good</v>
      </c>
      <c r="O510" s="5"/>
    </row>
    <row r="511" spans="6:15" x14ac:dyDescent="0.3">
      <c r="F511">
        <f>MONTH(Table1[[#This Row],[Date  (DMY)]])</f>
        <v>1</v>
      </c>
      <c r="G511" s="2"/>
      <c r="L511" s="5"/>
      <c r="M511" s="4">
        <f>M510-Table1[[#This Row],[Debits]]+Table1[[#This Row],[Income]]</f>
        <v>1900</v>
      </c>
      <c r="N511" t="str">
        <f>IF(AND(Table1[[#This Row],[Category]]="pay",NOT(Table1[[#This Row],[Debits]]=0)),"bad","good")</f>
        <v>good</v>
      </c>
      <c r="O511" s="5"/>
    </row>
    <row r="512" spans="6:15" x14ac:dyDescent="0.3">
      <c r="F512">
        <f>MONTH(Table1[[#This Row],[Date  (DMY)]])</f>
        <v>1</v>
      </c>
      <c r="G512" s="2"/>
      <c r="L512" s="5"/>
      <c r="M512" s="4">
        <f>M511-Table1[[#This Row],[Debits]]+Table1[[#This Row],[Income]]</f>
        <v>1900</v>
      </c>
      <c r="N512" t="str">
        <f>IF(AND(Table1[[#This Row],[Category]]="pay",NOT(Table1[[#This Row],[Debits]]=0)),"bad","good")</f>
        <v>good</v>
      </c>
      <c r="O512" s="5"/>
    </row>
    <row r="513" spans="6:15" x14ac:dyDescent="0.3">
      <c r="F513">
        <f>MONTH(Table1[[#This Row],[Date  (DMY)]])</f>
        <v>1</v>
      </c>
      <c r="G513" s="2"/>
      <c r="L513" s="5"/>
      <c r="M513" s="4">
        <f>M512-Table1[[#This Row],[Debits]]+Table1[[#This Row],[Income]]</f>
        <v>1900</v>
      </c>
      <c r="N513" t="str">
        <f>IF(AND(Table1[[#This Row],[Category]]="pay",NOT(Table1[[#This Row],[Debits]]=0)),"bad","good")</f>
        <v>good</v>
      </c>
      <c r="O513" s="5"/>
    </row>
    <row r="514" spans="6:15" x14ac:dyDescent="0.3">
      <c r="F514">
        <f>MONTH(Table1[[#This Row],[Date  (DMY)]])</f>
        <v>1</v>
      </c>
      <c r="G514" s="2"/>
      <c r="L514" s="5"/>
      <c r="M514" s="4">
        <f>M513-Table1[[#This Row],[Debits]]+Table1[[#This Row],[Income]]</f>
        <v>1900</v>
      </c>
      <c r="N514" t="str">
        <f>IF(AND(Table1[[#This Row],[Category]]="pay",NOT(Table1[[#This Row],[Debits]]=0)),"bad","good")</f>
        <v>good</v>
      </c>
      <c r="O514" s="5"/>
    </row>
    <row r="515" spans="6:15" x14ac:dyDescent="0.3">
      <c r="F515">
        <f>MONTH(Table1[[#This Row],[Date  (DMY)]])</f>
        <v>1</v>
      </c>
      <c r="G515" s="2"/>
      <c r="L515" s="5"/>
      <c r="M515" s="4">
        <f>M514-Table1[[#This Row],[Debits]]+Table1[[#This Row],[Income]]</f>
        <v>1900</v>
      </c>
      <c r="N515" t="str">
        <f>IF(AND(Table1[[#This Row],[Category]]="pay",NOT(Table1[[#This Row],[Debits]]=0)),"bad","good")</f>
        <v>good</v>
      </c>
      <c r="O515" s="5"/>
    </row>
    <row r="516" spans="6:15" x14ac:dyDescent="0.3">
      <c r="F516">
        <f>MONTH(Table1[[#This Row],[Date  (DMY)]])</f>
        <v>1</v>
      </c>
      <c r="G516" s="2"/>
      <c r="L516" s="5"/>
      <c r="M516" s="4">
        <f>M515-Table1[[#This Row],[Debits]]+Table1[[#This Row],[Income]]</f>
        <v>1900</v>
      </c>
      <c r="N516" t="str">
        <f>IF(AND(Table1[[#This Row],[Category]]="pay",NOT(Table1[[#This Row],[Debits]]=0)),"bad","good")</f>
        <v>good</v>
      </c>
      <c r="O516" s="5"/>
    </row>
    <row r="517" spans="6:15" x14ac:dyDescent="0.3">
      <c r="F517">
        <f>MONTH(Table1[[#This Row],[Date  (DMY)]])</f>
        <v>1</v>
      </c>
      <c r="G517" s="2"/>
      <c r="L517" s="5"/>
      <c r="M517" s="4">
        <f>M516-Table1[[#This Row],[Debits]]+Table1[[#This Row],[Income]]</f>
        <v>1900</v>
      </c>
      <c r="N517" t="str">
        <f>IF(AND(Table1[[#This Row],[Category]]="pay",NOT(Table1[[#This Row],[Debits]]=0)),"bad","good")</f>
        <v>good</v>
      </c>
      <c r="O517" s="5"/>
    </row>
    <row r="518" spans="6:15" x14ac:dyDescent="0.3">
      <c r="F518">
        <f>MONTH(Table1[[#This Row],[Date  (DMY)]])</f>
        <v>1</v>
      </c>
      <c r="G518" s="2"/>
      <c r="L518" s="5"/>
      <c r="M518" s="4">
        <f>M517-Table1[[#This Row],[Debits]]+Table1[[#This Row],[Income]]</f>
        <v>1900</v>
      </c>
      <c r="N518" t="str">
        <f>IF(AND(Table1[[#This Row],[Category]]="pay",NOT(Table1[[#This Row],[Debits]]=0)),"bad","good")</f>
        <v>good</v>
      </c>
      <c r="O518" s="5"/>
    </row>
    <row r="519" spans="6:15" x14ac:dyDescent="0.3">
      <c r="F519">
        <f>MONTH(Table1[[#This Row],[Date  (DMY)]])</f>
        <v>1</v>
      </c>
      <c r="G519" s="2"/>
      <c r="L519" s="5"/>
      <c r="M519" s="4">
        <f>M518-Table1[[#This Row],[Debits]]+Table1[[#This Row],[Income]]</f>
        <v>1900</v>
      </c>
      <c r="N519" t="str">
        <f>IF(AND(Table1[[#This Row],[Category]]="pay",NOT(Table1[[#This Row],[Debits]]=0)),"bad","good")</f>
        <v>good</v>
      </c>
      <c r="O519" s="5"/>
    </row>
    <row r="520" spans="6:15" x14ac:dyDescent="0.3">
      <c r="F520">
        <f>MONTH(Table1[[#This Row],[Date  (DMY)]])</f>
        <v>1</v>
      </c>
      <c r="G520" s="2"/>
      <c r="L520" s="5"/>
      <c r="M520" s="4">
        <f>M519-Table1[[#This Row],[Debits]]+Table1[[#This Row],[Income]]</f>
        <v>1900</v>
      </c>
      <c r="N520" t="str">
        <f>IF(AND(Table1[[#This Row],[Category]]="pay",NOT(Table1[[#This Row],[Debits]]=0)),"bad","good")</f>
        <v>good</v>
      </c>
      <c r="O520" s="5"/>
    </row>
    <row r="521" spans="6:15" x14ac:dyDescent="0.3">
      <c r="F521">
        <f>MONTH(Table1[[#This Row],[Date  (DMY)]])</f>
        <v>1</v>
      </c>
      <c r="G521" s="2"/>
      <c r="L521" s="5"/>
      <c r="M521" s="4">
        <f>M520-Table1[[#This Row],[Debits]]+Table1[[#This Row],[Income]]</f>
        <v>1900</v>
      </c>
      <c r="N521" t="str">
        <f>IF(AND(Table1[[#This Row],[Category]]="pay",NOT(Table1[[#This Row],[Debits]]=0)),"bad","good")</f>
        <v>good</v>
      </c>
      <c r="O521" s="5"/>
    </row>
    <row r="522" spans="6:15" x14ac:dyDescent="0.3">
      <c r="F522">
        <f>MONTH(Table1[[#This Row],[Date  (DMY)]])</f>
        <v>1</v>
      </c>
      <c r="G522" s="2"/>
      <c r="L522" s="5"/>
      <c r="M522" s="4">
        <f>M521-Table1[[#This Row],[Debits]]+Table1[[#This Row],[Income]]</f>
        <v>1900</v>
      </c>
      <c r="N522" t="str">
        <f>IF(AND(Table1[[#This Row],[Category]]="pay",NOT(Table1[[#This Row],[Debits]]=0)),"bad","good")</f>
        <v>good</v>
      </c>
      <c r="O522" s="5"/>
    </row>
    <row r="523" spans="6:15" x14ac:dyDescent="0.3">
      <c r="F523">
        <f>MONTH(Table1[[#This Row],[Date  (DMY)]])</f>
        <v>1</v>
      </c>
      <c r="G523" s="2"/>
      <c r="L523" s="5"/>
      <c r="M523" s="4">
        <f>M522-Table1[[#This Row],[Debits]]+Table1[[#This Row],[Income]]</f>
        <v>1900</v>
      </c>
      <c r="N523" t="str">
        <f>IF(AND(Table1[[#This Row],[Category]]="pay",NOT(Table1[[#This Row],[Debits]]=0)),"bad","good")</f>
        <v>good</v>
      </c>
      <c r="O523" s="5"/>
    </row>
    <row r="524" spans="6:15" x14ac:dyDescent="0.3">
      <c r="F524">
        <f>MONTH(Table1[[#This Row],[Date  (DMY)]])</f>
        <v>1</v>
      </c>
      <c r="G524" s="2"/>
      <c r="L524" s="5"/>
      <c r="M524" s="4">
        <f>M523-Table1[[#This Row],[Debits]]+Table1[[#This Row],[Income]]</f>
        <v>1900</v>
      </c>
      <c r="N524" t="str">
        <f>IF(AND(Table1[[#This Row],[Category]]="pay",NOT(Table1[[#This Row],[Debits]]=0)),"bad","good")</f>
        <v>good</v>
      </c>
      <c r="O524" s="5"/>
    </row>
    <row r="525" spans="6:15" x14ac:dyDescent="0.3">
      <c r="F525">
        <f>MONTH(Table1[[#This Row],[Date  (DMY)]])</f>
        <v>1</v>
      </c>
      <c r="G525" s="2"/>
      <c r="L525" s="5"/>
      <c r="M525" s="4">
        <f>M524-Table1[[#This Row],[Debits]]+Table1[[#This Row],[Income]]</f>
        <v>1900</v>
      </c>
      <c r="N525" t="str">
        <f>IF(AND(Table1[[#This Row],[Category]]="pay",NOT(Table1[[#This Row],[Debits]]=0)),"bad","good")</f>
        <v>good</v>
      </c>
      <c r="O525" s="5"/>
    </row>
    <row r="526" spans="6:15" x14ac:dyDescent="0.3">
      <c r="F526">
        <f>MONTH(Table1[[#This Row],[Date  (DMY)]])</f>
        <v>1</v>
      </c>
      <c r="G526" s="2"/>
      <c r="L526" s="5"/>
      <c r="M526" s="4">
        <f>M525-Table1[[#This Row],[Debits]]+Table1[[#This Row],[Income]]</f>
        <v>1900</v>
      </c>
      <c r="N526" t="str">
        <f>IF(AND(Table1[[#This Row],[Category]]="pay",NOT(Table1[[#This Row],[Debits]]=0)),"bad","good")</f>
        <v>good</v>
      </c>
      <c r="O526" s="5"/>
    </row>
    <row r="527" spans="6:15" x14ac:dyDescent="0.3">
      <c r="F527">
        <f>MONTH(Table1[[#This Row],[Date  (DMY)]])</f>
        <v>1</v>
      </c>
      <c r="G527" s="2"/>
      <c r="L527" s="5"/>
      <c r="M527" s="4">
        <f>M526-Table1[[#This Row],[Debits]]+Table1[[#This Row],[Income]]</f>
        <v>1900</v>
      </c>
      <c r="N527" t="str">
        <f>IF(AND(Table1[[#This Row],[Category]]="pay",NOT(Table1[[#This Row],[Debits]]=0)),"bad","good")</f>
        <v>good</v>
      </c>
      <c r="O527" s="5"/>
    </row>
    <row r="528" spans="6:15" x14ac:dyDescent="0.3">
      <c r="F528">
        <f>MONTH(Table1[[#This Row],[Date  (DMY)]])</f>
        <v>1</v>
      </c>
      <c r="G528" s="2"/>
      <c r="L528" s="5"/>
      <c r="M528" s="4">
        <f>M527-Table1[[#This Row],[Debits]]+Table1[[#This Row],[Income]]</f>
        <v>1900</v>
      </c>
      <c r="N528" t="str">
        <f>IF(AND(Table1[[#This Row],[Category]]="pay",NOT(Table1[[#This Row],[Debits]]=0)),"bad","good")</f>
        <v>good</v>
      </c>
      <c r="O528" s="5"/>
    </row>
    <row r="529" spans="6:15" x14ac:dyDescent="0.3">
      <c r="F529">
        <f>MONTH(Table1[[#This Row],[Date  (DMY)]])</f>
        <v>1</v>
      </c>
      <c r="G529" s="2"/>
      <c r="L529" s="5"/>
      <c r="M529" s="4">
        <f>M528-Table1[[#This Row],[Debits]]+Table1[[#This Row],[Income]]</f>
        <v>1900</v>
      </c>
      <c r="N529" t="str">
        <f>IF(AND(Table1[[#This Row],[Category]]="pay",NOT(Table1[[#This Row],[Debits]]=0)),"bad","good")</f>
        <v>good</v>
      </c>
      <c r="O529" s="5"/>
    </row>
    <row r="530" spans="6:15" x14ac:dyDescent="0.3">
      <c r="F530">
        <f>MONTH(Table1[[#This Row],[Date  (DMY)]])</f>
        <v>1</v>
      </c>
      <c r="G530" s="2"/>
      <c r="L530" s="5"/>
      <c r="M530" s="4">
        <f>M529-Table1[[#This Row],[Debits]]+Table1[[#This Row],[Income]]</f>
        <v>1900</v>
      </c>
      <c r="N530" t="str">
        <f>IF(AND(Table1[[#This Row],[Category]]="pay",NOT(Table1[[#This Row],[Debits]]=0)),"bad","good")</f>
        <v>good</v>
      </c>
      <c r="O530" s="5"/>
    </row>
    <row r="531" spans="6:15" x14ac:dyDescent="0.3">
      <c r="F531">
        <f>MONTH(Table1[[#This Row],[Date  (DMY)]])</f>
        <v>1</v>
      </c>
      <c r="G531" s="2"/>
      <c r="L531" s="5"/>
      <c r="M531" s="4">
        <f>M530-Table1[[#This Row],[Debits]]+Table1[[#This Row],[Income]]</f>
        <v>1900</v>
      </c>
      <c r="N531" t="str">
        <f>IF(AND(Table1[[#This Row],[Category]]="pay",NOT(Table1[[#This Row],[Debits]]=0)),"bad","good")</f>
        <v>good</v>
      </c>
      <c r="O531" s="5"/>
    </row>
    <row r="532" spans="6:15" x14ac:dyDescent="0.3">
      <c r="F532">
        <f>MONTH(Table1[[#This Row],[Date  (DMY)]])</f>
        <v>1</v>
      </c>
      <c r="G532" s="2"/>
      <c r="L532" s="5"/>
      <c r="M532" s="4">
        <f>M531-Table1[[#This Row],[Debits]]+Table1[[#This Row],[Income]]</f>
        <v>1900</v>
      </c>
      <c r="N532" t="str">
        <f>IF(AND(Table1[[#This Row],[Category]]="pay",NOT(Table1[[#This Row],[Debits]]=0)),"bad","good")</f>
        <v>good</v>
      </c>
      <c r="O532" s="5"/>
    </row>
    <row r="533" spans="6:15" x14ac:dyDescent="0.3">
      <c r="F533">
        <f>MONTH(Table1[[#This Row],[Date  (DMY)]])</f>
        <v>1</v>
      </c>
      <c r="G533" s="2"/>
      <c r="L533" s="5"/>
      <c r="M533" s="4">
        <f>M532-Table1[[#This Row],[Debits]]+Table1[[#This Row],[Income]]</f>
        <v>1900</v>
      </c>
      <c r="N533" t="str">
        <f>IF(AND(Table1[[#This Row],[Category]]="pay",NOT(Table1[[#This Row],[Debits]]=0)),"bad","good")</f>
        <v>good</v>
      </c>
      <c r="O533" s="5"/>
    </row>
    <row r="534" spans="6:15" x14ac:dyDescent="0.3">
      <c r="F534">
        <f>MONTH(Table1[[#This Row],[Date  (DMY)]])</f>
        <v>1</v>
      </c>
      <c r="G534" s="2"/>
      <c r="L534" s="5"/>
      <c r="M534" s="4">
        <f>M533-Table1[[#This Row],[Debits]]+Table1[[#This Row],[Income]]</f>
        <v>1900</v>
      </c>
      <c r="N534" t="str">
        <f>IF(AND(Table1[[#This Row],[Category]]="pay",NOT(Table1[[#This Row],[Debits]]=0)),"bad","good")</f>
        <v>good</v>
      </c>
      <c r="O534" s="5"/>
    </row>
    <row r="535" spans="6:15" x14ac:dyDescent="0.3">
      <c r="F535">
        <f>MONTH(Table1[[#This Row],[Date  (DMY)]])</f>
        <v>1</v>
      </c>
      <c r="G535" s="2"/>
      <c r="L535" s="5"/>
      <c r="M535" s="4">
        <f>M534-Table1[[#This Row],[Debits]]+Table1[[#This Row],[Income]]</f>
        <v>1900</v>
      </c>
      <c r="N535" t="str">
        <f>IF(AND(Table1[[#This Row],[Category]]="pay",NOT(Table1[[#This Row],[Debits]]=0)),"bad","good")</f>
        <v>good</v>
      </c>
      <c r="O535" s="5"/>
    </row>
    <row r="536" spans="6:15" x14ac:dyDescent="0.3">
      <c r="F536">
        <f>MONTH(Table1[[#This Row],[Date  (DMY)]])</f>
        <v>1</v>
      </c>
      <c r="G536" s="2"/>
      <c r="L536" s="5"/>
      <c r="M536" s="4">
        <f>M535-Table1[[#This Row],[Debits]]+Table1[[#This Row],[Income]]</f>
        <v>1900</v>
      </c>
      <c r="N536" t="str">
        <f>IF(AND(Table1[[#This Row],[Category]]="pay",NOT(Table1[[#This Row],[Debits]]=0)),"bad","good")</f>
        <v>good</v>
      </c>
      <c r="O536" s="5"/>
    </row>
    <row r="537" spans="6:15" x14ac:dyDescent="0.3">
      <c r="F537">
        <f>MONTH(Table1[[#This Row],[Date  (DMY)]])</f>
        <v>1</v>
      </c>
      <c r="G537" s="2"/>
      <c r="L537" s="5"/>
      <c r="M537" s="4">
        <f>M536-Table1[[#This Row],[Debits]]+Table1[[#This Row],[Income]]</f>
        <v>1900</v>
      </c>
      <c r="N537" t="str">
        <f>IF(AND(Table1[[#This Row],[Category]]="pay",NOT(Table1[[#This Row],[Debits]]=0)),"bad","good")</f>
        <v>good</v>
      </c>
      <c r="O537" s="5"/>
    </row>
    <row r="538" spans="6:15" x14ac:dyDescent="0.3">
      <c r="F538">
        <f>MONTH(Table1[[#This Row],[Date  (DMY)]])</f>
        <v>1</v>
      </c>
      <c r="G538" s="2"/>
      <c r="L538" s="5"/>
      <c r="M538" s="4">
        <f>M537-Table1[[#This Row],[Debits]]+Table1[[#This Row],[Income]]</f>
        <v>1900</v>
      </c>
      <c r="N538" t="str">
        <f>IF(AND(Table1[[#This Row],[Category]]="pay",NOT(Table1[[#This Row],[Debits]]=0)),"bad","good")</f>
        <v>good</v>
      </c>
      <c r="O538" s="5"/>
    </row>
    <row r="539" spans="6:15" x14ac:dyDescent="0.3">
      <c r="F539">
        <f>MONTH(Table1[[#This Row],[Date  (DMY)]])</f>
        <v>1</v>
      </c>
      <c r="G539" s="2"/>
      <c r="L539" s="5"/>
      <c r="M539" s="4">
        <f>M538-Table1[[#This Row],[Debits]]+Table1[[#This Row],[Income]]</f>
        <v>1900</v>
      </c>
      <c r="N539" t="str">
        <f>IF(AND(Table1[[#This Row],[Category]]="pay",NOT(Table1[[#This Row],[Debits]]=0)),"bad","good")</f>
        <v>good</v>
      </c>
      <c r="O539" s="5"/>
    </row>
    <row r="540" spans="6:15" x14ac:dyDescent="0.3">
      <c r="F540">
        <f>MONTH(Table1[[#This Row],[Date  (DMY)]])</f>
        <v>1</v>
      </c>
      <c r="G540" s="2"/>
      <c r="L540" s="5"/>
      <c r="M540" s="4">
        <f>M539-Table1[[#This Row],[Debits]]+Table1[[#This Row],[Income]]</f>
        <v>1900</v>
      </c>
      <c r="N540" t="str">
        <f>IF(AND(Table1[[#This Row],[Category]]="pay",NOT(Table1[[#This Row],[Debits]]=0)),"bad","good")</f>
        <v>good</v>
      </c>
      <c r="O540" s="5"/>
    </row>
    <row r="541" spans="6:15" x14ac:dyDescent="0.3">
      <c r="F541">
        <f>MONTH(Table1[[#This Row],[Date  (DMY)]])</f>
        <v>1</v>
      </c>
      <c r="G541" s="2"/>
      <c r="L541" s="5"/>
      <c r="M541" s="4">
        <f>M540-Table1[[#This Row],[Debits]]+Table1[[#This Row],[Income]]</f>
        <v>1900</v>
      </c>
      <c r="N541" t="str">
        <f>IF(AND(Table1[[#This Row],[Category]]="pay",NOT(Table1[[#This Row],[Debits]]=0)),"bad","good")</f>
        <v>good</v>
      </c>
      <c r="O541" s="5"/>
    </row>
    <row r="542" spans="6:15" x14ac:dyDescent="0.3">
      <c r="F542">
        <f>MONTH(Table1[[#This Row],[Date  (DMY)]])</f>
        <v>1</v>
      </c>
      <c r="G542" s="2"/>
      <c r="L542" s="5"/>
      <c r="M542" s="4">
        <f>M541-Table1[[#This Row],[Debits]]+Table1[[#This Row],[Income]]</f>
        <v>1900</v>
      </c>
      <c r="N542" t="str">
        <f>IF(AND(Table1[[#This Row],[Category]]="pay",NOT(Table1[[#This Row],[Debits]]=0)),"bad","good")</f>
        <v>good</v>
      </c>
      <c r="O542" s="5"/>
    </row>
    <row r="543" spans="6:15" x14ac:dyDescent="0.3">
      <c r="F543">
        <f>MONTH(Table1[[#This Row],[Date  (DMY)]])</f>
        <v>1</v>
      </c>
      <c r="G543" s="2"/>
      <c r="L543" s="5"/>
      <c r="M543" s="4">
        <f>M542-Table1[[#This Row],[Debits]]+Table1[[#This Row],[Income]]</f>
        <v>1900</v>
      </c>
      <c r="N543" t="str">
        <f>IF(AND(Table1[[#This Row],[Category]]="pay",NOT(Table1[[#This Row],[Debits]]=0)),"bad","good")</f>
        <v>good</v>
      </c>
      <c r="O543" s="5"/>
    </row>
    <row r="544" spans="6:15" x14ac:dyDescent="0.3">
      <c r="F544">
        <f>MONTH(Table1[[#This Row],[Date  (DMY)]])</f>
        <v>1</v>
      </c>
      <c r="G544" s="2"/>
      <c r="L544" s="5"/>
      <c r="M544" s="4">
        <f>M543-Table1[[#This Row],[Debits]]+Table1[[#This Row],[Income]]</f>
        <v>1900</v>
      </c>
      <c r="N544" t="str">
        <f>IF(AND(Table1[[#This Row],[Category]]="pay",NOT(Table1[[#This Row],[Debits]]=0)),"bad","good")</f>
        <v>good</v>
      </c>
      <c r="O544" s="5"/>
    </row>
    <row r="545" spans="6:15" x14ac:dyDescent="0.3">
      <c r="F545">
        <f>MONTH(Table1[[#This Row],[Date  (DMY)]])</f>
        <v>1</v>
      </c>
      <c r="G545" s="2"/>
      <c r="L545" s="5"/>
      <c r="M545" s="4">
        <f>M544-Table1[[#This Row],[Debits]]+Table1[[#This Row],[Income]]</f>
        <v>1900</v>
      </c>
      <c r="N545" t="str">
        <f>IF(AND(Table1[[#This Row],[Category]]="pay",NOT(Table1[[#This Row],[Debits]]=0)),"bad","good")</f>
        <v>good</v>
      </c>
      <c r="O545" s="5"/>
    </row>
    <row r="546" spans="6:15" x14ac:dyDescent="0.3">
      <c r="F546">
        <f>MONTH(Table1[[#This Row],[Date  (DMY)]])</f>
        <v>1</v>
      </c>
      <c r="G546" s="2"/>
      <c r="L546" s="5"/>
      <c r="M546" s="4">
        <f>M545-Table1[[#This Row],[Debits]]+Table1[[#This Row],[Income]]</f>
        <v>1900</v>
      </c>
      <c r="N546" t="str">
        <f>IF(AND(Table1[[#This Row],[Category]]="pay",NOT(Table1[[#This Row],[Debits]]=0)),"bad","good")</f>
        <v>good</v>
      </c>
      <c r="O546" s="5"/>
    </row>
    <row r="547" spans="6:15" x14ac:dyDescent="0.3">
      <c r="F547">
        <f>MONTH(Table1[[#This Row],[Date  (DMY)]])</f>
        <v>1</v>
      </c>
      <c r="G547" s="2"/>
      <c r="L547" s="5"/>
      <c r="M547" s="4">
        <f>M546-Table1[[#This Row],[Debits]]+Table1[[#This Row],[Income]]</f>
        <v>1900</v>
      </c>
      <c r="N547" t="str">
        <f>IF(AND(Table1[[#This Row],[Category]]="pay",NOT(Table1[[#This Row],[Debits]]=0)),"bad","good")</f>
        <v>good</v>
      </c>
      <c r="O547" s="5"/>
    </row>
    <row r="548" spans="6:15" x14ac:dyDescent="0.3">
      <c r="F548">
        <f>MONTH(Table1[[#This Row],[Date  (DMY)]])</f>
        <v>1</v>
      </c>
      <c r="G548" s="2"/>
      <c r="L548" s="5"/>
      <c r="M548" s="4">
        <f>M547-Table1[[#This Row],[Debits]]+Table1[[#This Row],[Income]]</f>
        <v>1900</v>
      </c>
      <c r="N548" t="str">
        <f>IF(AND(Table1[[#This Row],[Category]]="pay",NOT(Table1[[#This Row],[Debits]]=0)),"bad","good")</f>
        <v>good</v>
      </c>
      <c r="O548" s="5"/>
    </row>
    <row r="549" spans="6:15" x14ac:dyDescent="0.3">
      <c r="F549">
        <f>MONTH(Table1[[#This Row],[Date  (DMY)]])</f>
        <v>1</v>
      </c>
      <c r="G549" s="2"/>
      <c r="L549" s="5"/>
      <c r="M549" s="4">
        <f>M548-Table1[[#This Row],[Debits]]+Table1[[#This Row],[Income]]</f>
        <v>1900</v>
      </c>
      <c r="N549" t="str">
        <f>IF(AND(Table1[[#This Row],[Category]]="pay",NOT(Table1[[#This Row],[Debits]]=0)),"bad","good")</f>
        <v>good</v>
      </c>
      <c r="O549" s="5"/>
    </row>
    <row r="550" spans="6:15" x14ac:dyDescent="0.3">
      <c r="F550">
        <f>MONTH(Table1[[#This Row],[Date  (DMY)]])</f>
        <v>1</v>
      </c>
      <c r="G550" s="2"/>
      <c r="L550" s="5"/>
      <c r="M550" s="4">
        <f>M549-Table1[[#This Row],[Debits]]+Table1[[#This Row],[Income]]</f>
        <v>1900</v>
      </c>
      <c r="N550" t="str">
        <f>IF(AND(Table1[[#This Row],[Category]]="pay",NOT(Table1[[#This Row],[Debits]]=0)),"bad","good")</f>
        <v>good</v>
      </c>
      <c r="O550" s="5"/>
    </row>
    <row r="551" spans="6:15" x14ac:dyDescent="0.3">
      <c r="F551">
        <f>MONTH(Table1[[#This Row],[Date  (DMY)]])</f>
        <v>1</v>
      </c>
      <c r="G551" s="2"/>
      <c r="L551" s="5"/>
      <c r="M551" s="4">
        <f>M550-Table1[[#This Row],[Debits]]+Table1[[#This Row],[Income]]</f>
        <v>1900</v>
      </c>
      <c r="N551" t="str">
        <f>IF(AND(Table1[[#This Row],[Category]]="pay",NOT(Table1[[#This Row],[Debits]]=0)),"bad","good")</f>
        <v>good</v>
      </c>
      <c r="O551" s="5"/>
    </row>
    <row r="552" spans="6:15" x14ac:dyDescent="0.3">
      <c r="F552">
        <f>MONTH(Table1[[#This Row],[Date  (DMY)]])</f>
        <v>1</v>
      </c>
      <c r="G552" s="2"/>
      <c r="L552" s="5"/>
      <c r="M552" s="4">
        <f>M551-Table1[[#This Row],[Debits]]+Table1[[#This Row],[Income]]</f>
        <v>1900</v>
      </c>
      <c r="N552" t="str">
        <f>IF(AND(Table1[[#This Row],[Category]]="pay",NOT(Table1[[#This Row],[Debits]]=0)),"bad","good")</f>
        <v>good</v>
      </c>
      <c r="O552" s="5"/>
    </row>
    <row r="553" spans="6:15" x14ac:dyDescent="0.3">
      <c r="F553">
        <f>MONTH(Table1[[#This Row],[Date  (DMY)]])</f>
        <v>1</v>
      </c>
      <c r="G553" s="2"/>
      <c r="L553" s="5"/>
      <c r="M553" s="4">
        <f>M552-Table1[[#This Row],[Debits]]+Table1[[#This Row],[Income]]</f>
        <v>1900</v>
      </c>
      <c r="N553" t="str">
        <f>IF(AND(Table1[[#This Row],[Category]]="pay",NOT(Table1[[#This Row],[Debits]]=0)),"bad","good")</f>
        <v>good</v>
      </c>
      <c r="O553" s="5"/>
    </row>
    <row r="554" spans="6:15" x14ac:dyDescent="0.3">
      <c r="F554">
        <f>MONTH(Table1[[#This Row],[Date  (DMY)]])</f>
        <v>1</v>
      </c>
      <c r="G554" s="2"/>
      <c r="L554" s="5"/>
      <c r="M554" s="4">
        <f>M553-Table1[[#This Row],[Debits]]+Table1[[#This Row],[Income]]</f>
        <v>1900</v>
      </c>
      <c r="N554" t="str">
        <f>IF(AND(Table1[[#This Row],[Category]]="pay",NOT(Table1[[#This Row],[Debits]]=0)),"bad","good")</f>
        <v>good</v>
      </c>
      <c r="O554" s="5"/>
    </row>
    <row r="555" spans="6:15" x14ac:dyDescent="0.3">
      <c r="F555">
        <f>MONTH(Table1[[#This Row],[Date  (DMY)]])</f>
        <v>1</v>
      </c>
      <c r="G555" s="2"/>
      <c r="L555" s="5"/>
      <c r="M555" s="4">
        <f>M554-Table1[[#This Row],[Debits]]+Table1[[#This Row],[Income]]</f>
        <v>1900</v>
      </c>
      <c r="N555" t="str">
        <f>IF(AND(Table1[[#This Row],[Category]]="pay",NOT(Table1[[#This Row],[Debits]]=0)),"bad","good")</f>
        <v>good</v>
      </c>
      <c r="O555" s="5"/>
    </row>
    <row r="556" spans="6:15" x14ac:dyDescent="0.3">
      <c r="F556">
        <f>MONTH(Table1[[#This Row],[Date  (DMY)]])</f>
        <v>1</v>
      </c>
      <c r="G556" s="2"/>
      <c r="L556" s="5"/>
      <c r="M556" s="4">
        <f>M555-Table1[[#This Row],[Debits]]+Table1[[#This Row],[Income]]</f>
        <v>1900</v>
      </c>
      <c r="N556" t="str">
        <f>IF(AND(Table1[[#This Row],[Category]]="pay",NOT(Table1[[#This Row],[Debits]]=0)),"bad","good")</f>
        <v>good</v>
      </c>
      <c r="O556" s="5"/>
    </row>
    <row r="557" spans="6:15" x14ac:dyDescent="0.3">
      <c r="F557">
        <f>MONTH(Table1[[#This Row],[Date  (DMY)]])</f>
        <v>1</v>
      </c>
      <c r="G557" s="2"/>
      <c r="L557" s="5"/>
      <c r="M557" s="4">
        <f>M556-Table1[[#This Row],[Debits]]+Table1[[#This Row],[Income]]</f>
        <v>1900</v>
      </c>
      <c r="N557" t="str">
        <f>IF(AND(Table1[[#This Row],[Category]]="pay",NOT(Table1[[#This Row],[Debits]]=0)),"bad","good")</f>
        <v>good</v>
      </c>
      <c r="O557" s="5"/>
    </row>
    <row r="558" spans="6:15" x14ac:dyDescent="0.3">
      <c r="F558">
        <f>MONTH(Table1[[#This Row],[Date  (DMY)]])</f>
        <v>1</v>
      </c>
      <c r="G558" s="2"/>
      <c r="L558" s="5"/>
      <c r="M558" s="4">
        <f>M557-Table1[[#This Row],[Debits]]+Table1[[#This Row],[Income]]</f>
        <v>1900</v>
      </c>
      <c r="N558" t="str">
        <f>IF(AND(Table1[[#This Row],[Category]]="pay",NOT(Table1[[#This Row],[Debits]]=0)),"bad","good")</f>
        <v>good</v>
      </c>
      <c r="O558" s="5"/>
    </row>
    <row r="559" spans="6:15" x14ac:dyDescent="0.3">
      <c r="F559">
        <f>MONTH(Table1[[#This Row],[Date  (DMY)]])</f>
        <v>1</v>
      </c>
      <c r="G559" s="2"/>
      <c r="L559" s="5"/>
      <c r="M559" s="4">
        <f>M558-Table1[[#This Row],[Debits]]+Table1[[#This Row],[Income]]</f>
        <v>1900</v>
      </c>
      <c r="N559" t="str">
        <f>IF(AND(Table1[[#This Row],[Category]]="pay",NOT(Table1[[#This Row],[Debits]]=0)),"bad","good")</f>
        <v>good</v>
      </c>
      <c r="O559" s="5"/>
    </row>
    <row r="560" spans="6:15" x14ac:dyDescent="0.3">
      <c r="F560">
        <f>MONTH(Table1[[#This Row],[Date  (DMY)]])</f>
        <v>1</v>
      </c>
      <c r="G560" s="2"/>
      <c r="L560" s="5"/>
      <c r="M560" s="4">
        <f>M559-Table1[[#This Row],[Debits]]+Table1[[#This Row],[Income]]</f>
        <v>1900</v>
      </c>
      <c r="N560" t="str">
        <f>IF(AND(Table1[[#This Row],[Category]]="pay",NOT(Table1[[#This Row],[Debits]]=0)),"bad","good")</f>
        <v>good</v>
      </c>
      <c r="O560" s="5"/>
    </row>
    <row r="561" spans="6:15" x14ac:dyDescent="0.3">
      <c r="F561">
        <f>MONTH(Table1[[#This Row],[Date  (DMY)]])</f>
        <v>1</v>
      </c>
      <c r="G561" s="2"/>
      <c r="L561" s="5"/>
      <c r="M561" s="4">
        <f>M560-Table1[[#This Row],[Debits]]+Table1[[#This Row],[Income]]</f>
        <v>1900</v>
      </c>
      <c r="N561" t="str">
        <f>IF(AND(Table1[[#This Row],[Category]]="pay",NOT(Table1[[#This Row],[Debits]]=0)),"bad","good")</f>
        <v>good</v>
      </c>
      <c r="O561" s="5"/>
    </row>
    <row r="562" spans="6:15" x14ac:dyDescent="0.3">
      <c r="F562">
        <f>MONTH(Table1[[#This Row],[Date  (DMY)]])</f>
        <v>1</v>
      </c>
      <c r="G562" s="2"/>
      <c r="L562" s="5"/>
      <c r="M562" s="4">
        <f>M561-Table1[[#This Row],[Debits]]+Table1[[#This Row],[Income]]</f>
        <v>1900</v>
      </c>
      <c r="N562" t="str">
        <f>IF(AND(Table1[[#This Row],[Category]]="pay",NOT(Table1[[#This Row],[Debits]]=0)),"bad","good")</f>
        <v>good</v>
      </c>
      <c r="O562" s="5"/>
    </row>
    <row r="563" spans="6:15" x14ac:dyDescent="0.3">
      <c r="F563">
        <f>MONTH(Table1[[#This Row],[Date  (DMY)]])</f>
        <v>1</v>
      </c>
      <c r="G563" s="2"/>
      <c r="L563" s="5"/>
      <c r="M563" s="4">
        <f>M562-Table1[[#This Row],[Debits]]+Table1[[#This Row],[Income]]</f>
        <v>1900</v>
      </c>
      <c r="N563" t="str">
        <f>IF(AND(Table1[[#This Row],[Category]]="pay",NOT(Table1[[#This Row],[Debits]]=0)),"bad","good")</f>
        <v>good</v>
      </c>
      <c r="O563" s="5"/>
    </row>
    <row r="564" spans="6:15" x14ac:dyDescent="0.3">
      <c r="F564">
        <f>MONTH(Table1[[#This Row],[Date  (DMY)]])</f>
        <v>1</v>
      </c>
      <c r="G564" s="2"/>
      <c r="L564" s="5"/>
      <c r="M564" s="4">
        <f>M563-Table1[[#This Row],[Debits]]+Table1[[#This Row],[Income]]</f>
        <v>1900</v>
      </c>
      <c r="N564" t="str">
        <f>IF(AND(Table1[[#This Row],[Category]]="pay",NOT(Table1[[#This Row],[Debits]]=0)),"bad","good")</f>
        <v>good</v>
      </c>
      <c r="O564" s="5"/>
    </row>
    <row r="565" spans="6:15" x14ac:dyDescent="0.3">
      <c r="F565">
        <f>MONTH(Table1[[#This Row],[Date  (DMY)]])</f>
        <v>1</v>
      </c>
      <c r="G565" s="2"/>
      <c r="L565" s="5"/>
      <c r="M565" s="4">
        <f>M564-Table1[[#This Row],[Debits]]+Table1[[#This Row],[Income]]</f>
        <v>1900</v>
      </c>
      <c r="N565" t="str">
        <f>IF(AND(Table1[[#This Row],[Category]]="pay",NOT(Table1[[#This Row],[Debits]]=0)),"bad","good")</f>
        <v>good</v>
      </c>
      <c r="O565" s="5"/>
    </row>
    <row r="566" spans="6:15" x14ac:dyDescent="0.3">
      <c r="F566">
        <f>MONTH(Table1[[#This Row],[Date  (DMY)]])</f>
        <v>1</v>
      </c>
      <c r="G566" s="2"/>
      <c r="L566" s="5"/>
      <c r="M566" s="4">
        <f>M565-Table1[[#This Row],[Debits]]+Table1[[#This Row],[Income]]</f>
        <v>1900</v>
      </c>
      <c r="N566" t="str">
        <f>IF(AND(Table1[[#This Row],[Category]]="pay",NOT(Table1[[#This Row],[Debits]]=0)),"bad","good")</f>
        <v>good</v>
      </c>
      <c r="O566" s="5"/>
    </row>
    <row r="567" spans="6:15" x14ac:dyDescent="0.3">
      <c r="F567">
        <f>MONTH(Table1[[#This Row],[Date  (DMY)]])</f>
        <v>1</v>
      </c>
      <c r="G567" s="2"/>
      <c r="L567" s="5"/>
      <c r="M567" s="4">
        <f>M566-Table1[[#This Row],[Debits]]+Table1[[#This Row],[Income]]</f>
        <v>1900</v>
      </c>
      <c r="N567" t="str">
        <f>IF(AND(Table1[[#This Row],[Category]]="pay",NOT(Table1[[#This Row],[Debits]]=0)),"bad","good")</f>
        <v>good</v>
      </c>
      <c r="O567" s="5"/>
    </row>
    <row r="568" spans="6:15" x14ac:dyDescent="0.3">
      <c r="F568">
        <f>MONTH(Table1[[#This Row],[Date  (DMY)]])</f>
        <v>1</v>
      </c>
      <c r="G568" s="2"/>
      <c r="L568" s="5"/>
      <c r="M568" s="4">
        <f>M567-Table1[[#This Row],[Debits]]+Table1[[#This Row],[Income]]</f>
        <v>1900</v>
      </c>
      <c r="N568" t="str">
        <f>IF(AND(Table1[[#This Row],[Category]]="pay",NOT(Table1[[#This Row],[Debits]]=0)),"bad","good")</f>
        <v>good</v>
      </c>
      <c r="O568" s="5"/>
    </row>
    <row r="569" spans="6:15" x14ac:dyDescent="0.3">
      <c r="F569">
        <f>MONTH(Table1[[#This Row],[Date  (DMY)]])</f>
        <v>1</v>
      </c>
      <c r="G569" s="2"/>
      <c r="L569" s="5"/>
      <c r="M569" s="4">
        <f>M568-Table1[[#This Row],[Debits]]+Table1[[#This Row],[Income]]</f>
        <v>1900</v>
      </c>
      <c r="N569" t="str">
        <f>IF(AND(Table1[[#This Row],[Category]]="pay",NOT(Table1[[#This Row],[Debits]]=0)),"bad","good")</f>
        <v>good</v>
      </c>
      <c r="O569" s="5"/>
    </row>
    <row r="570" spans="6:15" x14ac:dyDescent="0.3">
      <c r="F570">
        <f>MONTH(Table1[[#This Row],[Date  (DMY)]])</f>
        <v>1</v>
      </c>
      <c r="G570" s="2"/>
      <c r="L570" s="5"/>
      <c r="M570" s="4">
        <f>M569-Table1[[#This Row],[Debits]]+Table1[[#This Row],[Income]]</f>
        <v>1900</v>
      </c>
      <c r="N570" t="str">
        <f>IF(AND(Table1[[#This Row],[Category]]="pay",NOT(Table1[[#This Row],[Debits]]=0)),"bad","good")</f>
        <v>good</v>
      </c>
      <c r="O570" s="5"/>
    </row>
    <row r="571" spans="6:15" x14ac:dyDescent="0.3">
      <c r="F571">
        <f>MONTH(Table1[[#This Row],[Date  (DMY)]])</f>
        <v>1</v>
      </c>
      <c r="G571" s="2"/>
      <c r="L571" s="5"/>
      <c r="M571" s="4">
        <f>M570-Table1[[#This Row],[Debits]]+Table1[[#This Row],[Income]]</f>
        <v>1900</v>
      </c>
      <c r="N571" t="str">
        <f>IF(AND(Table1[[#This Row],[Category]]="pay",NOT(Table1[[#This Row],[Debits]]=0)),"bad","good")</f>
        <v>good</v>
      </c>
      <c r="O571" s="5"/>
    </row>
    <row r="572" spans="6:15" x14ac:dyDescent="0.3">
      <c r="F572">
        <f>MONTH(Table1[[#This Row],[Date  (DMY)]])</f>
        <v>1</v>
      </c>
      <c r="G572" s="2"/>
      <c r="L572" s="5"/>
      <c r="M572" s="4">
        <f>M571-Table1[[#This Row],[Debits]]+Table1[[#This Row],[Income]]</f>
        <v>1900</v>
      </c>
      <c r="N572" t="str">
        <f>IF(AND(Table1[[#This Row],[Category]]="pay",NOT(Table1[[#This Row],[Debits]]=0)),"bad","good")</f>
        <v>good</v>
      </c>
      <c r="O572" s="5"/>
    </row>
    <row r="573" spans="6:15" x14ac:dyDescent="0.3">
      <c r="F573">
        <f>MONTH(Table1[[#This Row],[Date  (DMY)]])</f>
        <v>1</v>
      </c>
      <c r="G573" s="2"/>
      <c r="L573" s="5"/>
      <c r="M573" s="4">
        <f>M572-Table1[[#This Row],[Debits]]+Table1[[#This Row],[Income]]</f>
        <v>1900</v>
      </c>
      <c r="N573" t="str">
        <f>IF(AND(Table1[[#This Row],[Category]]="pay",NOT(Table1[[#This Row],[Debits]]=0)),"bad","good")</f>
        <v>good</v>
      </c>
      <c r="O573" s="5"/>
    </row>
    <row r="574" spans="6:15" x14ac:dyDescent="0.3">
      <c r="F574">
        <f>MONTH(Table1[[#This Row],[Date  (DMY)]])</f>
        <v>1</v>
      </c>
      <c r="G574" s="2"/>
      <c r="L574" s="5"/>
      <c r="M574" s="4">
        <f>M573-Table1[[#This Row],[Debits]]+Table1[[#This Row],[Income]]</f>
        <v>1900</v>
      </c>
      <c r="N574" t="str">
        <f>IF(AND(Table1[[#This Row],[Category]]="pay",NOT(Table1[[#This Row],[Debits]]=0)),"bad","good")</f>
        <v>good</v>
      </c>
      <c r="O574" s="5"/>
    </row>
    <row r="575" spans="6:15" x14ac:dyDescent="0.3">
      <c r="F575">
        <f>MONTH(Table1[[#This Row],[Date  (DMY)]])</f>
        <v>1</v>
      </c>
      <c r="G575" s="2"/>
      <c r="L575" s="5"/>
      <c r="M575" s="4">
        <f>M574-Table1[[#This Row],[Debits]]+Table1[[#This Row],[Income]]</f>
        <v>1900</v>
      </c>
      <c r="N575" t="str">
        <f>IF(AND(Table1[[#This Row],[Category]]="pay",NOT(Table1[[#This Row],[Debits]]=0)),"bad","good")</f>
        <v>good</v>
      </c>
      <c r="O575" s="5"/>
    </row>
    <row r="576" spans="6:15" x14ac:dyDescent="0.3">
      <c r="F576">
        <f>MONTH(Table1[[#This Row],[Date  (DMY)]])</f>
        <v>1</v>
      </c>
      <c r="G576" s="2"/>
      <c r="L576" s="5"/>
      <c r="M576" s="4">
        <f>M575-Table1[[#This Row],[Debits]]+Table1[[#This Row],[Income]]</f>
        <v>1900</v>
      </c>
      <c r="N576" t="str">
        <f>IF(AND(Table1[[#This Row],[Category]]="pay",NOT(Table1[[#This Row],[Debits]]=0)),"bad","good")</f>
        <v>good</v>
      </c>
      <c r="O576" s="5"/>
    </row>
    <row r="577" spans="6:15" x14ac:dyDescent="0.3">
      <c r="F577">
        <f>MONTH(Table1[[#This Row],[Date  (DMY)]])</f>
        <v>1</v>
      </c>
      <c r="G577" s="2"/>
      <c r="L577" s="5"/>
      <c r="M577" s="4">
        <f>M576-Table1[[#This Row],[Debits]]+Table1[[#This Row],[Income]]</f>
        <v>1900</v>
      </c>
      <c r="N577" t="str">
        <f>IF(AND(Table1[[#This Row],[Category]]="pay",NOT(Table1[[#This Row],[Debits]]=0)),"bad","good")</f>
        <v>good</v>
      </c>
      <c r="O577" s="5"/>
    </row>
    <row r="578" spans="6:15" x14ac:dyDescent="0.3">
      <c r="F578">
        <f>MONTH(Table1[[#This Row],[Date  (DMY)]])</f>
        <v>1</v>
      </c>
      <c r="G578" s="2"/>
      <c r="L578" s="5"/>
      <c r="M578" s="4">
        <f>M577-Table1[[#This Row],[Debits]]+Table1[[#This Row],[Income]]</f>
        <v>1900</v>
      </c>
      <c r="N578" t="str">
        <f>IF(AND(Table1[[#This Row],[Category]]="pay",NOT(Table1[[#This Row],[Debits]]=0)),"bad","good")</f>
        <v>good</v>
      </c>
      <c r="O578" s="5"/>
    </row>
    <row r="579" spans="6:15" x14ac:dyDescent="0.3">
      <c r="F579">
        <f>MONTH(Table1[[#This Row],[Date  (DMY)]])</f>
        <v>1</v>
      </c>
      <c r="G579" s="2"/>
      <c r="L579" s="5"/>
      <c r="M579" s="4">
        <f>M578-Table1[[#This Row],[Debits]]+Table1[[#This Row],[Income]]</f>
        <v>1900</v>
      </c>
      <c r="N579" t="str">
        <f>IF(AND(Table1[[#This Row],[Category]]="pay",NOT(Table1[[#This Row],[Debits]]=0)),"bad","good")</f>
        <v>good</v>
      </c>
      <c r="O579" s="5"/>
    </row>
    <row r="580" spans="6:15" x14ac:dyDescent="0.3">
      <c r="F580">
        <f>MONTH(Table1[[#This Row],[Date  (DMY)]])</f>
        <v>1</v>
      </c>
      <c r="G580" s="2"/>
      <c r="L580" s="5"/>
      <c r="M580" s="4">
        <f>M579-Table1[[#This Row],[Debits]]+Table1[[#This Row],[Income]]</f>
        <v>1900</v>
      </c>
      <c r="N580" t="str">
        <f>IF(AND(Table1[[#This Row],[Category]]="pay",NOT(Table1[[#This Row],[Debits]]=0)),"bad","good")</f>
        <v>good</v>
      </c>
      <c r="O580" s="5"/>
    </row>
    <row r="581" spans="6:15" x14ac:dyDescent="0.3">
      <c r="F581">
        <f>MONTH(Table1[[#This Row],[Date  (DMY)]])</f>
        <v>1</v>
      </c>
      <c r="G581" s="2"/>
      <c r="L581" s="5"/>
      <c r="M581" s="4">
        <f>M580-Table1[[#This Row],[Debits]]+Table1[[#This Row],[Income]]</f>
        <v>1900</v>
      </c>
      <c r="N581" t="str">
        <f>IF(AND(Table1[[#This Row],[Category]]="pay",NOT(Table1[[#This Row],[Debits]]=0)),"bad","good")</f>
        <v>good</v>
      </c>
      <c r="O581" s="5"/>
    </row>
    <row r="582" spans="6:15" x14ac:dyDescent="0.3">
      <c r="F582">
        <f>MONTH(Table1[[#This Row],[Date  (DMY)]])</f>
        <v>1</v>
      </c>
      <c r="G582" s="2"/>
      <c r="L582" s="5"/>
      <c r="M582" s="4">
        <f>M581-Table1[[#This Row],[Debits]]+Table1[[#This Row],[Income]]</f>
        <v>1900</v>
      </c>
      <c r="N582" t="str">
        <f>IF(AND(Table1[[#This Row],[Category]]="pay",NOT(Table1[[#This Row],[Debits]]=0)),"bad","good")</f>
        <v>good</v>
      </c>
      <c r="O582" s="5"/>
    </row>
    <row r="583" spans="6:15" x14ac:dyDescent="0.3">
      <c r="F583">
        <f>MONTH(Table1[[#This Row],[Date  (DMY)]])</f>
        <v>1</v>
      </c>
      <c r="G583" s="2"/>
      <c r="L583" s="5"/>
      <c r="M583" s="4">
        <f>M582-Table1[[#This Row],[Debits]]+Table1[[#This Row],[Income]]</f>
        <v>1900</v>
      </c>
      <c r="N583" t="str">
        <f>IF(AND(Table1[[#This Row],[Category]]="pay",NOT(Table1[[#This Row],[Debits]]=0)),"bad","good")</f>
        <v>good</v>
      </c>
      <c r="O583" s="5"/>
    </row>
    <row r="584" spans="6:15" x14ac:dyDescent="0.3">
      <c r="F584">
        <f>MONTH(Table1[[#This Row],[Date  (DMY)]])</f>
        <v>1</v>
      </c>
      <c r="G584" s="2"/>
      <c r="L584" s="5"/>
      <c r="M584" s="4">
        <f>M583-Table1[[#This Row],[Debits]]+Table1[[#This Row],[Income]]</f>
        <v>1900</v>
      </c>
      <c r="N584" t="str">
        <f>IF(AND(Table1[[#This Row],[Category]]="pay",NOT(Table1[[#This Row],[Debits]]=0)),"bad","good")</f>
        <v>good</v>
      </c>
      <c r="O584" s="5"/>
    </row>
    <row r="585" spans="6:15" x14ac:dyDescent="0.3">
      <c r="F585">
        <f>MONTH(Table1[[#This Row],[Date  (DMY)]])</f>
        <v>1</v>
      </c>
      <c r="G585" s="2"/>
      <c r="L585" s="5"/>
      <c r="M585" s="4">
        <f>M584-Table1[[#This Row],[Debits]]+Table1[[#This Row],[Income]]</f>
        <v>1900</v>
      </c>
      <c r="N585" t="str">
        <f>IF(AND(Table1[[#This Row],[Category]]="pay",NOT(Table1[[#This Row],[Debits]]=0)),"bad","good")</f>
        <v>good</v>
      </c>
      <c r="O585" s="5"/>
    </row>
    <row r="586" spans="6:15" x14ac:dyDescent="0.3">
      <c r="F586">
        <f>MONTH(Table1[[#This Row],[Date  (DMY)]])</f>
        <v>1</v>
      </c>
      <c r="G586" s="2"/>
      <c r="L586" s="5"/>
      <c r="M586" s="4">
        <f>M585-Table1[[#This Row],[Debits]]+Table1[[#This Row],[Income]]</f>
        <v>1900</v>
      </c>
      <c r="N586" t="str">
        <f>IF(AND(Table1[[#This Row],[Category]]="pay",NOT(Table1[[#This Row],[Debits]]=0)),"bad","good")</f>
        <v>good</v>
      </c>
      <c r="O586" s="5"/>
    </row>
    <row r="587" spans="6:15" x14ac:dyDescent="0.3">
      <c r="F587">
        <f>MONTH(Table1[[#This Row],[Date  (DMY)]])</f>
        <v>1</v>
      </c>
      <c r="G587" s="2"/>
      <c r="L587" s="5"/>
      <c r="M587" s="4">
        <f>M586-Table1[[#This Row],[Debits]]+Table1[[#This Row],[Income]]</f>
        <v>1900</v>
      </c>
      <c r="N587" t="str">
        <f>IF(AND(Table1[[#This Row],[Category]]="pay",NOT(Table1[[#This Row],[Debits]]=0)),"bad","good")</f>
        <v>good</v>
      </c>
      <c r="O587" s="5"/>
    </row>
    <row r="588" spans="6:15" x14ac:dyDescent="0.3">
      <c r="F588">
        <f>MONTH(Table1[[#This Row],[Date  (DMY)]])</f>
        <v>1</v>
      </c>
      <c r="G588" s="2"/>
      <c r="L588" s="5"/>
      <c r="M588" s="4">
        <f>M587-Table1[[#This Row],[Debits]]+Table1[[#This Row],[Income]]</f>
        <v>1900</v>
      </c>
      <c r="N588" t="str">
        <f>IF(AND(Table1[[#This Row],[Category]]="pay",NOT(Table1[[#This Row],[Debits]]=0)),"bad","good")</f>
        <v>good</v>
      </c>
      <c r="O588" s="5"/>
    </row>
    <row r="589" spans="6:15" x14ac:dyDescent="0.3">
      <c r="F589">
        <f>MONTH(Table1[[#This Row],[Date  (DMY)]])</f>
        <v>1</v>
      </c>
      <c r="G589" s="2"/>
      <c r="L589" s="5"/>
      <c r="M589" s="4">
        <f>M588-Table1[[#This Row],[Debits]]+Table1[[#This Row],[Income]]</f>
        <v>1900</v>
      </c>
      <c r="N589" t="str">
        <f>IF(AND(Table1[[#This Row],[Category]]="pay",NOT(Table1[[#This Row],[Debits]]=0)),"bad","good")</f>
        <v>good</v>
      </c>
      <c r="O589" s="5"/>
    </row>
    <row r="590" spans="6:15" x14ac:dyDescent="0.3">
      <c r="F590">
        <f>MONTH(Table1[[#This Row],[Date  (DMY)]])</f>
        <v>1</v>
      </c>
      <c r="G590" s="2"/>
      <c r="L590" s="5"/>
      <c r="M590" s="4">
        <f>M589-Table1[[#This Row],[Debits]]+Table1[[#This Row],[Income]]</f>
        <v>1900</v>
      </c>
      <c r="N590" t="str">
        <f>IF(AND(Table1[[#This Row],[Category]]="pay",NOT(Table1[[#This Row],[Debits]]=0)),"bad","good")</f>
        <v>good</v>
      </c>
      <c r="O590" s="5"/>
    </row>
    <row r="591" spans="6:15" x14ac:dyDescent="0.3">
      <c r="F591">
        <f>MONTH(Table1[[#This Row],[Date  (DMY)]])</f>
        <v>1</v>
      </c>
      <c r="G591" s="2"/>
      <c r="L591" s="5"/>
      <c r="M591" s="4">
        <f>M590-Table1[[#This Row],[Debits]]+Table1[[#This Row],[Income]]</f>
        <v>1900</v>
      </c>
      <c r="N591" t="str">
        <f>IF(AND(Table1[[#This Row],[Category]]="pay",NOT(Table1[[#This Row],[Debits]]=0)),"bad","good")</f>
        <v>good</v>
      </c>
      <c r="O591" s="5"/>
    </row>
    <row r="592" spans="6:15" x14ac:dyDescent="0.3">
      <c r="F592">
        <f>MONTH(Table1[[#This Row],[Date  (DMY)]])</f>
        <v>1</v>
      </c>
      <c r="G592" s="2"/>
      <c r="L592" s="5"/>
      <c r="M592" s="4">
        <f>M591-Table1[[#This Row],[Debits]]+Table1[[#This Row],[Income]]</f>
        <v>1900</v>
      </c>
      <c r="N592" t="str">
        <f>IF(AND(Table1[[#This Row],[Category]]="pay",NOT(Table1[[#This Row],[Debits]]=0)),"bad","good")</f>
        <v>good</v>
      </c>
      <c r="O592" s="5"/>
    </row>
    <row r="593" spans="6:15" x14ac:dyDescent="0.3">
      <c r="F593">
        <f>MONTH(Table1[[#This Row],[Date  (DMY)]])</f>
        <v>1</v>
      </c>
      <c r="G593" s="2"/>
      <c r="L593" s="5"/>
      <c r="M593" s="4">
        <f>M592-Table1[[#This Row],[Debits]]+Table1[[#This Row],[Income]]</f>
        <v>1900</v>
      </c>
      <c r="N593" t="str">
        <f>IF(AND(Table1[[#This Row],[Category]]="pay",NOT(Table1[[#This Row],[Debits]]=0)),"bad","good")</f>
        <v>good</v>
      </c>
      <c r="O593" s="5"/>
    </row>
    <row r="594" spans="6:15" x14ac:dyDescent="0.3">
      <c r="F594">
        <f>MONTH(Table1[[#This Row],[Date  (DMY)]])</f>
        <v>1</v>
      </c>
      <c r="G594" s="2"/>
      <c r="L594" s="5"/>
      <c r="M594" s="4">
        <f>M593-Table1[[#This Row],[Debits]]+Table1[[#This Row],[Income]]</f>
        <v>1900</v>
      </c>
      <c r="N594" t="str">
        <f>IF(AND(Table1[[#This Row],[Category]]="pay",NOT(Table1[[#This Row],[Debits]]=0)),"bad","good")</f>
        <v>good</v>
      </c>
      <c r="O594" s="5"/>
    </row>
    <row r="595" spans="6:15" x14ac:dyDescent="0.3">
      <c r="F595">
        <f>MONTH(Table1[[#This Row],[Date  (DMY)]])</f>
        <v>1</v>
      </c>
      <c r="G595" s="2"/>
      <c r="L595" s="5"/>
      <c r="M595" s="4">
        <f>M594-Table1[[#This Row],[Debits]]+Table1[[#This Row],[Income]]</f>
        <v>1900</v>
      </c>
      <c r="N595" t="str">
        <f>IF(AND(Table1[[#This Row],[Category]]="pay",NOT(Table1[[#This Row],[Debits]]=0)),"bad","good")</f>
        <v>good</v>
      </c>
      <c r="O595" s="5"/>
    </row>
    <row r="596" spans="6:15" x14ac:dyDescent="0.3">
      <c r="F596">
        <f>MONTH(Table1[[#This Row],[Date  (DMY)]])</f>
        <v>1</v>
      </c>
      <c r="G596" s="2"/>
      <c r="L596" s="5"/>
      <c r="M596" s="4">
        <f>M595-Table1[[#This Row],[Debits]]+Table1[[#This Row],[Income]]</f>
        <v>1900</v>
      </c>
      <c r="N596" t="str">
        <f>IF(AND(Table1[[#This Row],[Category]]="pay",NOT(Table1[[#This Row],[Debits]]=0)),"bad","good")</f>
        <v>good</v>
      </c>
      <c r="O596" s="5"/>
    </row>
    <row r="597" spans="6:15" x14ac:dyDescent="0.3">
      <c r="F597">
        <f>MONTH(Table1[[#This Row],[Date  (DMY)]])</f>
        <v>1</v>
      </c>
      <c r="G597" s="2"/>
      <c r="L597" s="5"/>
      <c r="M597" s="4">
        <f>M596-Table1[[#This Row],[Debits]]+Table1[[#This Row],[Income]]</f>
        <v>1900</v>
      </c>
      <c r="N597" t="str">
        <f>IF(AND(Table1[[#This Row],[Category]]="pay",NOT(Table1[[#This Row],[Debits]]=0)),"bad","good")</f>
        <v>good</v>
      </c>
      <c r="O597" s="5"/>
    </row>
    <row r="598" spans="6:15" x14ac:dyDescent="0.3">
      <c r="F598">
        <f>MONTH(Table1[[#This Row],[Date  (DMY)]])</f>
        <v>1</v>
      </c>
      <c r="G598" s="2"/>
      <c r="L598" s="5"/>
      <c r="M598" s="4">
        <f>M597-Table1[[#This Row],[Debits]]+Table1[[#This Row],[Income]]</f>
        <v>1900</v>
      </c>
      <c r="N598" t="str">
        <f>IF(AND(Table1[[#This Row],[Category]]="pay",NOT(Table1[[#This Row],[Debits]]=0)),"bad","good")</f>
        <v>good</v>
      </c>
      <c r="O598" s="5"/>
    </row>
    <row r="599" spans="6:15" x14ac:dyDescent="0.3">
      <c r="F599">
        <f>MONTH(Table1[[#This Row],[Date  (DMY)]])</f>
        <v>1</v>
      </c>
      <c r="G599" s="2"/>
      <c r="L599" s="5"/>
      <c r="M599" s="4">
        <f>M598-Table1[[#This Row],[Debits]]+Table1[[#This Row],[Income]]</f>
        <v>1900</v>
      </c>
      <c r="N599" t="str">
        <f>IF(AND(Table1[[#This Row],[Category]]="pay",NOT(Table1[[#This Row],[Debits]]=0)),"bad","good")</f>
        <v>good</v>
      </c>
      <c r="O599" s="5"/>
    </row>
    <row r="600" spans="6:15" x14ac:dyDescent="0.3">
      <c r="F600">
        <f>MONTH(Table1[[#This Row],[Date  (DMY)]])</f>
        <v>1</v>
      </c>
      <c r="G600" s="2"/>
      <c r="L600" s="5"/>
      <c r="M600" s="4">
        <f>M599-Table1[[#This Row],[Debits]]+Table1[[#This Row],[Income]]</f>
        <v>1900</v>
      </c>
      <c r="N600" t="str">
        <f>IF(AND(Table1[[#This Row],[Category]]="pay",NOT(Table1[[#This Row],[Debits]]=0)),"bad","good")</f>
        <v>good</v>
      </c>
      <c r="O600" s="5"/>
    </row>
    <row r="601" spans="6:15" x14ac:dyDescent="0.3">
      <c r="F601">
        <f>MONTH(Table1[[#This Row],[Date  (DMY)]])</f>
        <v>1</v>
      </c>
      <c r="G601" s="2"/>
      <c r="L601" s="5"/>
      <c r="M601" s="4">
        <f>M600-Table1[[#This Row],[Debits]]+Table1[[#This Row],[Income]]</f>
        <v>1900</v>
      </c>
      <c r="N601" t="str">
        <f>IF(AND(Table1[[#This Row],[Category]]="pay",NOT(Table1[[#This Row],[Debits]]=0)),"bad","good")</f>
        <v>good</v>
      </c>
      <c r="O601" s="5"/>
    </row>
    <row r="602" spans="6:15" x14ac:dyDescent="0.3">
      <c r="F602">
        <f>MONTH(Table1[[#This Row],[Date  (DMY)]])</f>
        <v>1</v>
      </c>
      <c r="G602" s="2"/>
      <c r="L602" s="5"/>
      <c r="M602" s="4">
        <f>M601-Table1[[#This Row],[Debits]]+Table1[[#This Row],[Income]]</f>
        <v>1900</v>
      </c>
      <c r="N602" t="str">
        <f>IF(AND(Table1[[#This Row],[Category]]="pay",NOT(Table1[[#This Row],[Debits]]=0)),"bad","good")</f>
        <v>good</v>
      </c>
      <c r="O602" s="5"/>
    </row>
    <row r="603" spans="6:15" x14ac:dyDescent="0.3">
      <c r="F603">
        <f>MONTH(Table1[[#This Row],[Date  (DMY)]])</f>
        <v>1</v>
      </c>
      <c r="G603" s="2"/>
      <c r="L603" s="5"/>
      <c r="M603" s="4">
        <f>M602-Table1[[#This Row],[Debits]]+Table1[[#This Row],[Income]]</f>
        <v>1900</v>
      </c>
      <c r="N603" t="str">
        <f>IF(AND(Table1[[#This Row],[Category]]="pay",NOT(Table1[[#This Row],[Debits]]=0)),"bad","good")</f>
        <v>good</v>
      </c>
      <c r="O603" s="5"/>
    </row>
    <row r="604" spans="6:15" x14ac:dyDescent="0.3">
      <c r="F604">
        <f>MONTH(Table1[[#This Row],[Date  (DMY)]])</f>
        <v>1</v>
      </c>
      <c r="G604" s="2"/>
      <c r="L604" s="5"/>
      <c r="M604" s="4">
        <f>M603-Table1[[#This Row],[Debits]]+Table1[[#This Row],[Income]]</f>
        <v>1900</v>
      </c>
      <c r="N604" t="str">
        <f>IF(AND(Table1[[#This Row],[Category]]="pay",NOT(Table1[[#This Row],[Debits]]=0)),"bad","good")</f>
        <v>good</v>
      </c>
      <c r="O604" s="5"/>
    </row>
    <row r="605" spans="6:15" x14ac:dyDescent="0.3">
      <c r="F605">
        <f>MONTH(Table1[[#This Row],[Date  (DMY)]])</f>
        <v>1</v>
      </c>
      <c r="G605" s="2"/>
      <c r="L605" s="5"/>
      <c r="M605" s="4">
        <f>M604-Table1[[#This Row],[Debits]]+Table1[[#This Row],[Income]]</f>
        <v>1900</v>
      </c>
      <c r="N605" t="str">
        <f>IF(AND(Table1[[#This Row],[Category]]="pay",NOT(Table1[[#This Row],[Debits]]=0)),"bad","good")</f>
        <v>good</v>
      </c>
      <c r="O605" s="5"/>
    </row>
    <row r="606" spans="6:15" x14ac:dyDescent="0.3">
      <c r="F606">
        <f>MONTH(Table1[[#This Row],[Date  (DMY)]])</f>
        <v>1</v>
      </c>
      <c r="G606" s="2"/>
      <c r="L606" s="5"/>
      <c r="M606" s="4">
        <f>M605-Table1[[#This Row],[Debits]]+Table1[[#This Row],[Income]]</f>
        <v>1900</v>
      </c>
      <c r="N606" t="str">
        <f>IF(AND(Table1[[#This Row],[Category]]="pay",NOT(Table1[[#This Row],[Debits]]=0)),"bad","good")</f>
        <v>good</v>
      </c>
      <c r="O606" s="5"/>
    </row>
    <row r="607" spans="6:15" x14ac:dyDescent="0.3">
      <c r="F607">
        <f>MONTH(Table1[[#This Row],[Date  (DMY)]])</f>
        <v>1</v>
      </c>
      <c r="G607" s="2"/>
      <c r="L607" s="5"/>
      <c r="M607" s="4">
        <f>M606-Table1[[#This Row],[Debits]]+Table1[[#This Row],[Income]]</f>
        <v>1900</v>
      </c>
      <c r="N607" t="str">
        <f>IF(AND(Table1[[#This Row],[Category]]="pay",NOT(Table1[[#This Row],[Debits]]=0)),"bad","good")</f>
        <v>good</v>
      </c>
      <c r="O607" s="5"/>
    </row>
    <row r="608" spans="6:15" x14ac:dyDescent="0.3">
      <c r="F608">
        <f>MONTH(Table1[[#This Row],[Date  (DMY)]])</f>
        <v>1</v>
      </c>
      <c r="G608" s="2"/>
      <c r="L608" s="5"/>
      <c r="M608" s="4">
        <f>M607-Table1[[#This Row],[Debits]]+Table1[[#This Row],[Income]]</f>
        <v>1900</v>
      </c>
      <c r="N608" t="str">
        <f>IF(AND(Table1[[#This Row],[Category]]="pay",NOT(Table1[[#This Row],[Debits]]=0)),"bad","good")</f>
        <v>good</v>
      </c>
      <c r="O608" s="5"/>
    </row>
    <row r="609" spans="6:15" x14ac:dyDescent="0.3">
      <c r="F609">
        <f>MONTH(Table1[[#This Row],[Date  (DMY)]])</f>
        <v>1</v>
      </c>
      <c r="G609" s="2"/>
      <c r="L609" s="5"/>
      <c r="M609" s="4">
        <f>M608-Table1[[#This Row],[Debits]]+Table1[[#This Row],[Income]]</f>
        <v>1900</v>
      </c>
      <c r="N609" t="str">
        <f>IF(AND(Table1[[#This Row],[Category]]="pay",NOT(Table1[[#This Row],[Debits]]=0)),"bad","good")</f>
        <v>good</v>
      </c>
      <c r="O609" s="5"/>
    </row>
    <row r="610" spans="6:15" x14ac:dyDescent="0.3">
      <c r="F610">
        <f>MONTH(Table1[[#This Row],[Date  (DMY)]])</f>
        <v>1</v>
      </c>
      <c r="G610" s="2"/>
      <c r="L610" s="5"/>
      <c r="M610" s="4">
        <f>M609-Table1[[#This Row],[Debits]]+Table1[[#This Row],[Income]]</f>
        <v>1900</v>
      </c>
      <c r="N610" t="str">
        <f>IF(AND(Table1[[#This Row],[Category]]="pay",NOT(Table1[[#This Row],[Debits]]=0)),"bad","good")</f>
        <v>good</v>
      </c>
      <c r="O610" s="5"/>
    </row>
    <row r="611" spans="6:15" x14ac:dyDescent="0.3">
      <c r="F611">
        <f>MONTH(Table1[[#This Row],[Date  (DMY)]])</f>
        <v>1</v>
      </c>
      <c r="G611" s="2"/>
      <c r="L611" s="5"/>
      <c r="M611" s="4">
        <f>M610-Table1[[#This Row],[Debits]]+Table1[[#This Row],[Income]]</f>
        <v>1900</v>
      </c>
      <c r="N611" t="str">
        <f>IF(AND(Table1[[#This Row],[Category]]="pay",NOT(Table1[[#This Row],[Debits]]=0)),"bad","good")</f>
        <v>good</v>
      </c>
      <c r="O611" s="5"/>
    </row>
    <row r="612" spans="6:15" x14ac:dyDescent="0.3">
      <c r="F612">
        <f>MONTH(Table1[[#This Row],[Date  (DMY)]])</f>
        <v>1</v>
      </c>
      <c r="G612" s="2"/>
      <c r="L612" s="5"/>
      <c r="M612" s="4">
        <f>M611-Table1[[#This Row],[Debits]]+Table1[[#This Row],[Income]]</f>
        <v>1900</v>
      </c>
      <c r="N612" t="str">
        <f>IF(AND(Table1[[#This Row],[Category]]="pay",NOT(Table1[[#This Row],[Debits]]=0)),"bad","good")</f>
        <v>good</v>
      </c>
      <c r="O612" s="5"/>
    </row>
    <row r="613" spans="6:15" x14ac:dyDescent="0.3">
      <c r="F613">
        <f>MONTH(Table1[[#This Row],[Date  (DMY)]])</f>
        <v>1</v>
      </c>
      <c r="G613" s="2"/>
      <c r="L613" s="5"/>
      <c r="M613" s="4">
        <f>M612-Table1[[#This Row],[Debits]]+Table1[[#This Row],[Income]]</f>
        <v>1900</v>
      </c>
      <c r="N613" t="str">
        <f>IF(AND(Table1[[#This Row],[Category]]="pay",NOT(Table1[[#This Row],[Debits]]=0)),"bad","good")</f>
        <v>good</v>
      </c>
      <c r="O613" s="5"/>
    </row>
    <row r="614" spans="6:15" x14ac:dyDescent="0.3">
      <c r="F614">
        <f>MONTH(Table1[[#This Row],[Date  (DMY)]])</f>
        <v>1</v>
      </c>
      <c r="G614" s="2"/>
      <c r="L614" s="5"/>
      <c r="M614" s="4">
        <f>M613-Table1[[#This Row],[Debits]]+Table1[[#This Row],[Income]]</f>
        <v>1900</v>
      </c>
      <c r="N614" t="str">
        <f>IF(AND(Table1[[#This Row],[Category]]="pay",NOT(Table1[[#This Row],[Debits]]=0)),"bad","good")</f>
        <v>good</v>
      </c>
      <c r="O614" s="5"/>
    </row>
    <row r="615" spans="6:15" x14ac:dyDescent="0.3">
      <c r="F615">
        <f>MONTH(Table1[[#This Row],[Date  (DMY)]])</f>
        <v>1</v>
      </c>
      <c r="G615" s="2"/>
      <c r="L615" s="5"/>
      <c r="M615" s="4">
        <f>M614-Table1[[#This Row],[Debits]]+Table1[[#This Row],[Income]]</f>
        <v>1900</v>
      </c>
      <c r="N615" t="str">
        <f>IF(AND(Table1[[#This Row],[Category]]="pay",NOT(Table1[[#This Row],[Debits]]=0)),"bad","good")</f>
        <v>good</v>
      </c>
      <c r="O615" s="5"/>
    </row>
    <row r="616" spans="6:15" x14ac:dyDescent="0.3">
      <c r="F616">
        <f>MONTH(Table1[[#This Row],[Date  (DMY)]])</f>
        <v>1</v>
      </c>
      <c r="G616" s="2"/>
      <c r="L616" s="5"/>
      <c r="M616" s="4">
        <f>M615-Table1[[#This Row],[Debits]]+Table1[[#This Row],[Income]]</f>
        <v>1900</v>
      </c>
      <c r="N616" t="str">
        <f>IF(AND(Table1[[#This Row],[Category]]="pay",NOT(Table1[[#This Row],[Debits]]=0)),"bad","good")</f>
        <v>good</v>
      </c>
      <c r="O616" s="5"/>
    </row>
    <row r="617" spans="6:15" x14ac:dyDescent="0.3">
      <c r="F617">
        <f>MONTH(Table1[[#This Row],[Date  (DMY)]])</f>
        <v>1</v>
      </c>
      <c r="G617" s="2"/>
      <c r="L617" s="5"/>
      <c r="M617" s="4">
        <f>M616-Table1[[#This Row],[Debits]]+Table1[[#This Row],[Income]]</f>
        <v>1900</v>
      </c>
      <c r="N617" t="str">
        <f>IF(AND(Table1[[#This Row],[Category]]="pay",NOT(Table1[[#This Row],[Debits]]=0)),"bad","good")</f>
        <v>good</v>
      </c>
      <c r="O617" s="5"/>
    </row>
    <row r="618" spans="6:15" x14ac:dyDescent="0.3">
      <c r="F618">
        <f>MONTH(Table1[[#This Row],[Date  (DMY)]])</f>
        <v>1</v>
      </c>
      <c r="G618" s="2"/>
      <c r="L618" s="5"/>
      <c r="M618" s="4">
        <f>M617-Table1[[#This Row],[Debits]]+Table1[[#This Row],[Income]]</f>
        <v>1900</v>
      </c>
      <c r="N618" t="str">
        <f>IF(AND(Table1[[#This Row],[Category]]="pay",NOT(Table1[[#This Row],[Debits]]=0)),"bad","good")</f>
        <v>good</v>
      </c>
      <c r="O618" s="5"/>
    </row>
    <row r="619" spans="6:15" x14ac:dyDescent="0.3">
      <c r="F619">
        <f>MONTH(Table1[[#This Row],[Date  (DMY)]])</f>
        <v>1</v>
      </c>
      <c r="G619" s="2"/>
      <c r="L619" s="5"/>
      <c r="M619" s="4">
        <f>M618-Table1[[#This Row],[Debits]]+Table1[[#This Row],[Income]]</f>
        <v>1900</v>
      </c>
      <c r="N619" t="str">
        <f>IF(AND(Table1[[#This Row],[Category]]="pay",NOT(Table1[[#This Row],[Debits]]=0)),"bad","good")</f>
        <v>good</v>
      </c>
      <c r="O619" s="5"/>
    </row>
    <row r="620" spans="6:15" x14ac:dyDescent="0.3">
      <c r="F620">
        <f>MONTH(Table1[[#This Row],[Date  (DMY)]])</f>
        <v>1</v>
      </c>
      <c r="G620" s="2"/>
      <c r="L620" s="5"/>
      <c r="M620" s="4">
        <f>M619-Table1[[#This Row],[Debits]]+Table1[[#This Row],[Income]]</f>
        <v>1900</v>
      </c>
      <c r="N620" t="str">
        <f>IF(AND(Table1[[#This Row],[Category]]="pay",NOT(Table1[[#This Row],[Debits]]=0)),"bad","good")</f>
        <v>good</v>
      </c>
      <c r="O620" s="5"/>
    </row>
    <row r="621" spans="6:15" x14ac:dyDescent="0.3">
      <c r="F621">
        <f>MONTH(Table1[[#This Row],[Date  (DMY)]])</f>
        <v>1</v>
      </c>
      <c r="G621" s="2"/>
      <c r="L621" s="5"/>
      <c r="M621" s="4">
        <f>M620-Table1[[#This Row],[Debits]]+Table1[[#This Row],[Income]]</f>
        <v>1900</v>
      </c>
      <c r="N621" t="str">
        <f>IF(AND(Table1[[#This Row],[Category]]="pay",NOT(Table1[[#This Row],[Debits]]=0)),"bad","good")</f>
        <v>good</v>
      </c>
      <c r="O621" s="5"/>
    </row>
    <row r="622" spans="6:15" x14ac:dyDescent="0.3">
      <c r="F622">
        <f>MONTH(Table1[[#This Row],[Date  (DMY)]])</f>
        <v>1</v>
      </c>
      <c r="G622" s="2"/>
      <c r="L622" s="5"/>
      <c r="M622" s="4">
        <f>M621-Table1[[#This Row],[Debits]]+Table1[[#This Row],[Income]]</f>
        <v>1900</v>
      </c>
      <c r="N622" t="str">
        <f>IF(AND(Table1[[#This Row],[Category]]="pay",NOT(Table1[[#This Row],[Debits]]=0)),"bad","good")</f>
        <v>good</v>
      </c>
      <c r="O622" s="5"/>
    </row>
    <row r="623" spans="6:15" x14ac:dyDescent="0.3">
      <c r="F623">
        <f>MONTH(Table1[[#This Row],[Date  (DMY)]])</f>
        <v>1</v>
      </c>
      <c r="G623" s="2"/>
      <c r="L623" s="5"/>
      <c r="M623" s="4">
        <f>M622-Table1[[#This Row],[Debits]]+Table1[[#This Row],[Income]]</f>
        <v>1900</v>
      </c>
      <c r="N623" t="str">
        <f>IF(AND(Table1[[#This Row],[Category]]="pay",NOT(Table1[[#This Row],[Debits]]=0)),"bad","good")</f>
        <v>good</v>
      </c>
      <c r="O623" s="5"/>
    </row>
    <row r="624" spans="6:15" x14ac:dyDescent="0.3">
      <c r="F624">
        <f>MONTH(Table1[[#This Row],[Date  (DMY)]])</f>
        <v>1</v>
      </c>
      <c r="G624" s="2"/>
      <c r="L624" s="5"/>
      <c r="M624" s="4">
        <f>M623-Table1[[#This Row],[Debits]]+Table1[[#This Row],[Income]]</f>
        <v>1900</v>
      </c>
      <c r="N624" t="str">
        <f>IF(AND(Table1[[#This Row],[Category]]="pay",NOT(Table1[[#This Row],[Debits]]=0)),"bad","good")</f>
        <v>good</v>
      </c>
      <c r="O624" s="5"/>
    </row>
    <row r="625" spans="6:15" x14ac:dyDescent="0.3">
      <c r="F625">
        <f>MONTH(Table1[[#This Row],[Date  (DMY)]])</f>
        <v>1</v>
      </c>
      <c r="G625" s="2"/>
      <c r="L625" s="5"/>
      <c r="M625" s="4">
        <f>M624-Table1[[#This Row],[Debits]]+Table1[[#This Row],[Income]]</f>
        <v>1900</v>
      </c>
      <c r="N625" t="str">
        <f>IF(AND(Table1[[#This Row],[Category]]="pay",NOT(Table1[[#This Row],[Debits]]=0)),"bad","good")</f>
        <v>good</v>
      </c>
      <c r="O625" s="5"/>
    </row>
    <row r="626" spans="6:15" x14ac:dyDescent="0.3">
      <c r="F626">
        <f>MONTH(Table1[[#This Row],[Date  (DMY)]])</f>
        <v>1</v>
      </c>
      <c r="G626" s="2"/>
      <c r="L626" s="5"/>
      <c r="M626" s="4">
        <f>M625-Table1[[#This Row],[Debits]]+Table1[[#This Row],[Income]]</f>
        <v>1900</v>
      </c>
      <c r="N626" t="str">
        <f>IF(AND(Table1[[#This Row],[Category]]="pay",NOT(Table1[[#This Row],[Debits]]=0)),"bad","good")</f>
        <v>good</v>
      </c>
      <c r="O626" s="5"/>
    </row>
    <row r="627" spans="6:15" x14ac:dyDescent="0.3">
      <c r="F627">
        <f>MONTH(Table1[[#This Row],[Date  (DMY)]])</f>
        <v>1</v>
      </c>
      <c r="G627" s="2"/>
      <c r="L627" s="5"/>
      <c r="M627" s="4">
        <f>M626-Table1[[#This Row],[Debits]]+Table1[[#This Row],[Income]]</f>
        <v>1900</v>
      </c>
      <c r="N627" t="str">
        <f>IF(AND(Table1[[#This Row],[Category]]="pay",NOT(Table1[[#This Row],[Debits]]=0)),"bad","good")</f>
        <v>good</v>
      </c>
      <c r="O627" s="5"/>
    </row>
    <row r="628" spans="6:15" x14ac:dyDescent="0.3">
      <c r="F628">
        <f>MONTH(Table1[[#This Row],[Date  (DMY)]])</f>
        <v>1</v>
      </c>
      <c r="G628" s="2"/>
      <c r="L628" s="5"/>
      <c r="M628" s="4">
        <f>M627-Table1[[#This Row],[Debits]]+Table1[[#This Row],[Income]]</f>
        <v>1900</v>
      </c>
      <c r="N628" t="str">
        <f>IF(AND(Table1[[#This Row],[Category]]="pay",NOT(Table1[[#This Row],[Debits]]=0)),"bad","good")</f>
        <v>good</v>
      </c>
      <c r="O628" s="5"/>
    </row>
    <row r="629" spans="6:15" x14ac:dyDescent="0.3">
      <c r="F629">
        <f>MONTH(Table1[[#This Row],[Date  (DMY)]])</f>
        <v>1</v>
      </c>
      <c r="G629" s="2"/>
      <c r="L629" s="5"/>
      <c r="M629" s="4">
        <f>M628-Table1[[#This Row],[Debits]]+Table1[[#This Row],[Income]]</f>
        <v>1900</v>
      </c>
      <c r="N629" t="str">
        <f>IF(AND(Table1[[#This Row],[Category]]="pay",NOT(Table1[[#This Row],[Debits]]=0)),"bad","good")</f>
        <v>good</v>
      </c>
      <c r="O629" s="5"/>
    </row>
    <row r="630" spans="6:15" x14ac:dyDescent="0.3">
      <c r="F630">
        <f>MONTH(Table1[[#This Row],[Date  (DMY)]])</f>
        <v>1</v>
      </c>
      <c r="G630" s="2"/>
      <c r="L630" s="5"/>
      <c r="M630" s="4">
        <f>M629-Table1[[#This Row],[Debits]]+Table1[[#This Row],[Income]]</f>
        <v>1900</v>
      </c>
      <c r="N630" t="str">
        <f>IF(AND(Table1[[#This Row],[Category]]="pay",NOT(Table1[[#This Row],[Debits]]=0)),"bad","good")</f>
        <v>good</v>
      </c>
      <c r="O630" s="5"/>
    </row>
    <row r="631" spans="6:15" x14ac:dyDescent="0.3">
      <c r="F631">
        <f>MONTH(Table1[[#This Row],[Date  (DMY)]])</f>
        <v>1</v>
      </c>
      <c r="G631" s="2"/>
      <c r="L631" s="5"/>
      <c r="M631" s="4">
        <f>M630-Table1[[#This Row],[Debits]]+Table1[[#This Row],[Income]]</f>
        <v>1900</v>
      </c>
      <c r="N631" t="str">
        <f>IF(AND(Table1[[#This Row],[Category]]="pay",NOT(Table1[[#This Row],[Debits]]=0)),"bad","good")</f>
        <v>good</v>
      </c>
      <c r="O631" s="5"/>
    </row>
    <row r="632" spans="6:15" x14ac:dyDescent="0.3">
      <c r="F632">
        <f>MONTH(Table1[[#This Row],[Date  (DMY)]])</f>
        <v>1</v>
      </c>
      <c r="G632" s="2"/>
      <c r="L632" s="5"/>
      <c r="M632" s="4">
        <f>M631-Table1[[#This Row],[Debits]]+Table1[[#This Row],[Income]]</f>
        <v>1900</v>
      </c>
      <c r="N632" t="str">
        <f>IF(AND(Table1[[#This Row],[Category]]="pay",NOT(Table1[[#This Row],[Debits]]=0)),"bad","good")</f>
        <v>good</v>
      </c>
      <c r="O632" s="5"/>
    </row>
    <row r="633" spans="6:15" x14ac:dyDescent="0.3">
      <c r="F633">
        <f>MONTH(Table1[[#This Row],[Date  (DMY)]])</f>
        <v>1</v>
      </c>
      <c r="G633" s="2"/>
      <c r="L633" s="5"/>
      <c r="M633" s="4">
        <f>M632-Table1[[#This Row],[Debits]]+Table1[[#This Row],[Income]]</f>
        <v>1900</v>
      </c>
      <c r="N633" t="str">
        <f>IF(AND(Table1[[#This Row],[Category]]="pay",NOT(Table1[[#This Row],[Debits]]=0)),"bad","good")</f>
        <v>good</v>
      </c>
      <c r="O633" s="5"/>
    </row>
    <row r="634" spans="6:15" x14ac:dyDescent="0.3">
      <c r="F634">
        <f>MONTH(Table1[[#This Row],[Date  (DMY)]])</f>
        <v>1</v>
      </c>
      <c r="G634" s="2"/>
      <c r="L634" s="5"/>
      <c r="M634" s="4">
        <f>M633-Table1[[#This Row],[Debits]]+Table1[[#This Row],[Income]]</f>
        <v>1900</v>
      </c>
      <c r="N634" t="str">
        <f>IF(AND(Table1[[#This Row],[Category]]="pay",NOT(Table1[[#This Row],[Debits]]=0)),"bad","good")</f>
        <v>good</v>
      </c>
      <c r="O634" s="5"/>
    </row>
    <row r="635" spans="6:15" x14ac:dyDescent="0.3">
      <c r="F635">
        <f>MONTH(Table1[[#This Row],[Date  (DMY)]])</f>
        <v>1</v>
      </c>
      <c r="G635" s="2"/>
      <c r="L635" s="5"/>
      <c r="M635" s="4">
        <f>M634-Table1[[#This Row],[Debits]]+Table1[[#This Row],[Income]]</f>
        <v>1900</v>
      </c>
      <c r="N635" t="str">
        <f>IF(AND(Table1[[#This Row],[Category]]="pay",NOT(Table1[[#This Row],[Debits]]=0)),"bad","good")</f>
        <v>good</v>
      </c>
      <c r="O635" s="5"/>
    </row>
    <row r="636" spans="6:15" x14ac:dyDescent="0.3">
      <c r="F636">
        <f>MONTH(Table1[[#This Row],[Date  (DMY)]])</f>
        <v>1</v>
      </c>
      <c r="G636" s="2"/>
      <c r="L636" s="5"/>
      <c r="M636" s="4">
        <f>M635-Table1[[#This Row],[Debits]]+Table1[[#This Row],[Income]]</f>
        <v>1900</v>
      </c>
      <c r="N636" t="str">
        <f>IF(AND(Table1[[#This Row],[Category]]="pay",NOT(Table1[[#This Row],[Debits]]=0)),"bad","good")</f>
        <v>good</v>
      </c>
      <c r="O636" s="5"/>
    </row>
    <row r="637" spans="6:15" x14ac:dyDescent="0.3">
      <c r="F637">
        <f>MONTH(Table1[[#This Row],[Date  (DMY)]])</f>
        <v>1</v>
      </c>
      <c r="G637" s="2"/>
      <c r="L637" s="5"/>
      <c r="M637" s="4">
        <f>M636-Table1[[#This Row],[Debits]]+Table1[[#This Row],[Income]]</f>
        <v>1900</v>
      </c>
      <c r="N637" t="str">
        <f>IF(AND(Table1[[#This Row],[Category]]="pay",NOT(Table1[[#This Row],[Debits]]=0)),"bad","good")</f>
        <v>good</v>
      </c>
      <c r="O637" s="5"/>
    </row>
    <row r="638" spans="6:15" x14ac:dyDescent="0.3">
      <c r="F638">
        <f>MONTH(Table1[[#This Row],[Date  (DMY)]])</f>
        <v>1</v>
      </c>
      <c r="G638" s="2"/>
      <c r="L638" s="5"/>
      <c r="M638" s="4">
        <f>M637-Table1[[#This Row],[Debits]]+Table1[[#This Row],[Income]]</f>
        <v>1900</v>
      </c>
      <c r="N638" t="str">
        <f>IF(AND(Table1[[#This Row],[Category]]="pay",NOT(Table1[[#This Row],[Debits]]=0)),"bad","good")</f>
        <v>good</v>
      </c>
      <c r="O638" s="5"/>
    </row>
    <row r="639" spans="6:15" x14ac:dyDescent="0.3">
      <c r="F639">
        <f>MONTH(Table1[[#This Row],[Date  (DMY)]])</f>
        <v>1</v>
      </c>
      <c r="G639" s="2"/>
      <c r="L639" s="5"/>
      <c r="M639" s="4">
        <f>M638-Table1[[#This Row],[Debits]]+Table1[[#This Row],[Income]]</f>
        <v>1900</v>
      </c>
      <c r="N639" t="str">
        <f>IF(AND(Table1[[#This Row],[Category]]="pay",NOT(Table1[[#This Row],[Debits]]=0)),"bad","good")</f>
        <v>good</v>
      </c>
      <c r="O639" s="5"/>
    </row>
    <row r="640" spans="6:15" x14ac:dyDescent="0.3">
      <c r="F640">
        <f>MONTH(Table1[[#This Row],[Date  (DMY)]])</f>
        <v>1</v>
      </c>
      <c r="G640" s="2"/>
      <c r="L640" s="5"/>
      <c r="M640" s="4">
        <f>M639-Table1[[#This Row],[Debits]]+Table1[[#This Row],[Income]]</f>
        <v>1900</v>
      </c>
      <c r="N640" t="str">
        <f>IF(AND(Table1[[#This Row],[Category]]="pay",NOT(Table1[[#This Row],[Debits]]=0)),"bad","good")</f>
        <v>good</v>
      </c>
      <c r="O640" s="5"/>
    </row>
    <row r="641" spans="6:15" x14ac:dyDescent="0.3">
      <c r="F641">
        <f>MONTH(Table1[[#This Row],[Date  (DMY)]])</f>
        <v>1</v>
      </c>
      <c r="G641" s="2"/>
      <c r="L641" s="5"/>
      <c r="M641" s="4">
        <f>M640-Table1[[#This Row],[Debits]]+Table1[[#This Row],[Income]]</f>
        <v>1900</v>
      </c>
      <c r="N641" t="str">
        <f>IF(AND(Table1[[#This Row],[Category]]="pay",NOT(Table1[[#This Row],[Debits]]=0)),"bad","good")</f>
        <v>good</v>
      </c>
      <c r="O641" s="5"/>
    </row>
    <row r="642" spans="6:15" x14ac:dyDescent="0.3">
      <c r="F642">
        <f>MONTH(Table1[[#This Row],[Date  (DMY)]])</f>
        <v>1</v>
      </c>
      <c r="G642" s="2"/>
      <c r="L642" s="5"/>
      <c r="M642" s="4">
        <f>M641-Table1[[#This Row],[Debits]]+Table1[[#This Row],[Income]]</f>
        <v>1900</v>
      </c>
      <c r="N642" t="str">
        <f>IF(AND(Table1[[#This Row],[Category]]="pay",NOT(Table1[[#This Row],[Debits]]=0)),"bad","good")</f>
        <v>good</v>
      </c>
      <c r="O642" s="5"/>
    </row>
    <row r="643" spans="6:15" x14ac:dyDescent="0.3">
      <c r="F643">
        <f>MONTH(Table1[[#This Row],[Date  (DMY)]])</f>
        <v>1</v>
      </c>
      <c r="G643" s="2"/>
      <c r="L643" s="5"/>
      <c r="M643" s="4">
        <f>M642-Table1[[#This Row],[Debits]]+Table1[[#This Row],[Income]]</f>
        <v>1900</v>
      </c>
      <c r="N643" t="str">
        <f>IF(AND(Table1[[#This Row],[Category]]="pay",NOT(Table1[[#This Row],[Debits]]=0)),"bad","good")</f>
        <v>good</v>
      </c>
      <c r="O643" s="5"/>
    </row>
    <row r="644" spans="6:15" x14ac:dyDescent="0.3">
      <c r="F644">
        <f>MONTH(Table1[[#This Row],[Date  (DMY)]])</f>
        <v>1</v>
      </c>
      <c r="G644" s="2"/>
      <c r="L644" s="5"/>
      <c r="M644" s="4">
        <f>M643-Table1[[#This Row],[Debits]]+Table1[[#This Row],[Income]]</f>
        <v>1900</v>
      </c>
      <c r="N644" t="str">
        <f>IF(AND(Table1[[#This Row],[Category]]="pay",NOT(Table1[[#This Row],[Debits]]=0)),"bad","good")</f>
        <v>good</v>
      </c>
      <c r="O644" s="5"/>
    </row>
    <row r="645" spans="6:15" x14ac:dyDescent="0.3">
      <c r="F645">
        <f>MONTH(Table1[[#This Row],[Date  (DMY)]])</f>
        <v>1</v>
      </c>
      <c r="G645" s="2"/>
      <c r="L645" s="5"/>
      <c r="M645" s="4">
        <f>M644-Table1[[#This Row],[Debits]]+Table1[[#This Row],[Income]]</f>
        <v>1900</v>
      </c>
      <c r="N645" t="str">
        <f>IF(AND(Table1[[#This Row],[Category]]="pay",NOT(Table1[[#This Row],[Debits]]=0)),"bad","good")</f>
        <v>good</v>
      </c>
      <c r="O645" s="5"/>
    </row>
    <row r="646" spans="6:15" x14ac:dyDescent="0.3">
      <c r="F646">
        <f>MONTH(Table1[[#This Row],[Date  (DMY)]])</f>
        <v>1</v>
      </c>
      <c r="G646" s="2"/>
      <c r="L646" s="5"/>
      <c r="M646" s="4">
        <f>M645-Table1[[#This Row],[Debits]]+Table1[[#This Row],[Income]]</f>
        <v>1900</v>
      </c>
      <c r="N646" t="str">
        <f>IF(AND(Table1[[#This Row],[Category]]="pay",NOT(Table1[[#This Row],[Debits]]=0)),"bad","good")</f>
        <v>good</v>
      </c>
      <c r="O646" s="5"/>
    </row>
    <row r="647" spans="6:15" x14ac:dyDescent="0.3">
      <c r="F647">
        <f>MONTH(Table1[[#This Row],[Date  (DMY)]])</f>
        <v>1</v>
      </c>
      <c r="G647" s="2"/>
      <c r="L647" s="5"/>
      <c r="M647" s="4">
        <f>M646-Table1[[#This Row],[Debits]]+Table1[[#This Row],[Income]]</f>
        <v>1900</v>
      </c>
      <c r="N647" t="str">
        <f>IF(AND(Table1[[#This Row],[Category]]="pay",NOT(Table1[[#This Row],[Debits]]=0)),"bad","good")</f>
        <v>good</v>
      </c>
      <c r="O647" s="5"/>
    </row>
    <row r="648" spans="6:15" x14ac:dyDescent="0.3">
      <c r="F648">
        <f>MONTH(Table1[[#This Row],[Date  (DMY)]])</f>
        <v>1</v>
      </c>
      <c r="G648" s="2"/>
      <c r="L648" s="5"/>
      <c r="M648" s="4">
        <f>M647-Table1[[#This Row],[Debits]]+Table1[[#This Row],[Income]]</f>
        <v>1900</v>
      </c>
      <c r="N648" t="str">
        <f>IF(AND(Table1[[#This Row],[Category]]="pay",NOT(Table1[[#This Row],[Debits]]=0)),"bad","good")</f>
        <v>good</v>
      </c>
      <c r="O648" s="5"/>
    </row>
    <row r="649" spans="6:15" x14ac:dyDescent="0.3">
      <c r="F649">
        <f>MONTH(Table1[[#This Row],[Date  (DMY)]])</f>
        <v>1</v>
      </c>
      <c r="G649" s="2"/>
      <c r="L649" s="5"/>
      <c r="M649" s="4">
        <f>M648-Table1[[#This Row],[Debits]]+Table1[[#This Row],[Income]]</f>
        <v>1900</v>
      </c>
      <c r="N649" t="str">
        <f>IF(AND(Table1[[#This Row],[Category]]="pay",NOT(Table1[[#This Row],[Debits]]=0)),"bad","good")</f>
        <v>good</v>
      </c>
      <c r="O649" s="5"/>
    </row>
    <row r="650" spans="6:15" x14ac:dyDescent="0.3">
      <c r="F650">
        <f>MONTH(Table1[[#This Row],[Date  (DMY)]])</f>
        <v>1</v>
      </c>
      <c r="G650" s="2"/>
      <c r="L650" s="5"/>
      <c r="M650" s="4">
        <f>M649-Table1[[#This Row],[Debits]]+Table1[[#This Row],[Income]]</f>
        <v>1900</v>
      </c>
      <c r="N650" t="str">
        <f>IF(AND(Table1[[#This Row],[Category]]="pay",NOT(Table1[[#This Row],[Debits]]=0)),"bad","good")</f>
        <v>good</v>
      </c>
      <c r="O650" s="5"/>
    </row>
    <row r="651" spans="6:15" x14ac:dyDescent="0.3">
      <c r="F651">
        <f>MONTH(Table1[[#This Row],[Date  (DMY)]])</f>
        <v>1</v>
      </c>
      <c r="G651" s="2"/>
      <c r="L651" s="5"/>
      <c r="M651" s="4">
        <f>M650-Table1[[#This Row],[Debits]]+Table1[[#This Row],[Income]]</f>
        <v>1900</v>
      </c>
      <c r="N651" t="str">
        <f>IF(AND(Table1[[#This Row],[Category]]="pay",NOT(Table1[[#This Row],[Debits]]=0)),"bad","good")</f>
        <v>good</v>
      </c>
      <c r="O651" s="5"/>
    </row>
    <row r="652" spans="6:15" x14ac:dyDescent="0.3">
      <c r="F652">
        <f>MONTH(Table1[[#This Row],[Date  (DMY)]])</f>
        <v>1</v>
      </c>
      <c r="G652" s="2"/>
      <c r="L652" s="5"/>
      <c r="M652" s="4">
        <f>M651-Table1[[#This Row],[Debits]]+Table1[[#This Row],[Income]]</f>
        <v>1900</v>
      </c>
      <c r="N652" t="str">
        <f>IF(AND(Table1[[#This Row],[Category]]="pay",NOT(Table1[[#This Row],[Debits]]=0)),"bad","good")</f>
        <v>good</v>
      </c>
      <c r="O652" s="5"/>
    </row>
    <row r="653" spans="6:15" x14ac:dyDescent="0.3">
      <c r="F653">
        <f>MONTH(Table1[[#This Row],[Date  (DMY)]])</f>
        <v>1</v>
      </c>
      <c r="G653" s="2"/>
      <c r="L653" s="5"/>
      <c r="M653" s="4">
        <f>M652-Table1[[#This Row],[Debits]]+Table1[[#This Row],[Income]]</f>
        <v>1900</v>
      </c>
      <c r="N653" t="str">
        <f>IF(AND(Table1[[#This Row],[Category]]="pay",NOT(Table1[[#This Row],[Debits]]=0)),"bad","good")</f>
        <v>good</v>
      </c>
      <c r="O653" s="5"/>
    </row>
    <row r="654" spans="6:15" x14ac:dyDescent="0.3">
      <c r="F654">
        <f>MONTH(Table1[[#This Row],[Date  (DMY)]])</f>
        <v>1</v>
      </c>
      <c r="G654" s="2"/>
      <c r="L654" s="5"/>
      <c r="M654" s="4">
        <f>M653-Table1[[#This Row],[Debits]]+Table1[[#This Row],[Income]]</f>
        <v>1900</v>
      </c>
      <c r="N654" t="str">
        <f>IF(AND(Table1[[#This Row],[Category]]="pay",NOT(Table1[[#This Row],[Debits]]=0)),"bad","good")</f>
        <v>good</v>
      </c>
      <c r="O654" s="5"/>
    </row>
    <row r="655" spans="6:15" x14ac:dyDescent="0.3">
      <c r="F655">
        <f>MONTH(Table1[[#This Row],[Date  (DMY)]])</f>
        <v>1</v>
      </c>
      <c r="G655" s="2"/>
      <c r="L655" s="5"/>
      <c r="M655" s="4">
        <f>M654-Table1[[#This Row],[Debits]]+Table1[[#This Row],[Income]]</f>
        <v>1900</v>
      </c>
      <c r="N655" t="str">
        <f>IF(AND(Table1[[#This Row],[Category]]="pay",NOT(Table1[[#This Row],[Debits]]=0)),"bad","good")</f>
        <v>good</v>
      </c>
      <c r="O655" s="5"/>
    </row>
    <row r="656" spans="6:15" x14ac:dyDescent="0.3">
      <c r="F656">
        <f>MONTH(Table1[[#This Row],[Date  (DMY)]])</f>
        <v>1</v>
      </c>
      <c r="G656" s="2"/>
      <c r="L656" s="5"/>
      <c r="M656" s="4">
        <f>M655-Table1[[#This Row],[Debits]]+Table1[[#This Row],[Income]]</f>
        <v>1900</v>
      </c>
      <c r="N656" t="str">
        <f>IF(AND(Table1[[#This Row],[Category]]="pay",NOT(Table1[[#This Row],[Debits]]=0)),"bad","good")</f>
        <v>good</v>
      </c>
      <c r="O656" s="5"/>
    </row>
    <row r="657" spans="6:15" x14ac:dyDescent="0.3">
      <c r="F657">
        <f>MONTH(Table1[[#This Row],[Date  (DMY)]])</f>
        <v>1</v>
      </c>
      <c r="G657" s="2"/>
      <c r="L657" s="5"/>
      <c r="M657" s="4">
        <f>M656-Table1[[#This Row],[Debits]]+Table1[[#This Row],[Income]]</f>
        <v>1900</v>
      </c>
      <c r="N657" t="str">
        <f>IF(AND(Table1[[#This Row],[Category]]="pay",NOT(Table1[[#This Row],[Debits]]=0)),"bad","good")</f>
        <v>good</v>
      </c>
      <c r="O657" s="5"/>
    </row>
    <row r="658" spans="6:15" x14ac:dyDescent="0.3">
      <c r="F658">
        <f>MONTH(Table1[[#This Row],[Date  (DMY)]])</f>
        <v>1</v>
      </c>
      <c r="G658" s="2"/>
      <c r="L658" s="5"/>
      <c r="M658" s="4">
        <f>M657-Table1[[#This Row],[Debits]]+Table1[[#This Row],[Income]]</f>
        <v>1900</v>
      </c>
      <c r="N658" t="str">
        <f>IF(AND(Table1[[#This Row],[Category]]="pay",NOT(Table1[[#This Row],[Debits]]=0)),"bad","good")</f>
        <v>good</v>
      </c>
      <c r="O658" s="5"/>
    </row>
    <row r="659" spans="6:15" x14ac:dyDescent="0.3">
      <c r="F659">
        <f>MONTH(Table1[[#This Row],[Date  (DMY)]])</f>
        <v>1</v>
      </c>
      <c r="G659" s="2"/>
      <c r="L659" s="5"/>
      <c r="M659" s="4">
        <f>M658-Table1[[#This Row],[Debits]]+Table1[[#This Row],[Income]]</f>
        <v>1900</v>
      </c>
      <c r="N659" t="str">
        <f>IF(AND(Table1[[#This Row],[Category]]="pay",NOT(Table1[[#This Row],[Debits]]=0)),"bad","good")</f>
        <v>good</v>
      </c>
      <c r="O659" s="5"/>
    </row>
    <row r="660" spans="6:15" x14ac:dyDescent="0.3">
      <c r="F660">
        <f>MONTH(Table1[[#This Row],[Date  (DMY)]])</f>
        <v>1</v>
      </c>
      <c r="G660" s="2"/>
      <c r="L660" s="5"/>
      <c r="M660" s="4">
        <f>M659-Table1[[#This Row],[Debits]]+Table1[[#This Row],[Income]]</f>
        <v>1900</v>
      </c>
      <c r="N660" t="str">
        <f>IF(AND(Table1[[#This Row],[Category]]="pay",NOT(Table1[[#This Row],[Debits]]=0)),"bad","good")</f>
        <v>good</v>
      </c>
      <c r="O660" s="5"/>
    </row>
    <row r="661" spans="6:15" x14ac:dyDescent="0.3">
      <c r="F661">
        <f>MONTH(Table1[[#This Row],[Date  (DMY)]])</f>
        <v>1</v>
      </c>
      <c r="G661" s="2"/>
      <c r="L661" s="5"/>
      <c r="M661" s="4">
        <f>M660-Table1[[#This Row],[Debits]]+Table1[[#This Row],[Income]]</f>
        <v>1900</v>
      </c>
      <c r="N661" t="str">
        <f>IF(AND(Table1[[#This Row],[Category]]="pay",NOT(Table1[[#This Row],[Debits]]=0)),"bad","good")</f>
        <v>good</v>
      </c>
      <c r="O661" s="5"/>
    </row>
    <row r="662" spans="6:15" x14ac:dyDescent="0.3">
      <c r="F662">
        <f>MONTH(Table1[[#This Row],[Date  (DMY)]])</f>
        <v>1</v>
      </c>
      <c r="G662" s="2"/>
      <c r="L662" s="5"/>
      <c r="M662" s="4">
        <f>M661-Table1[[#This Row],[Debits]]+Table1[[#This Row],[Income]]</f>
        <v>1900</v>
      </c>
      <c r="N662" t="str">
        <f>IF(AND(Table1[[#This Row],[Category]]="pay",NOT(Table1[[#This Row],[Debits]]=0)),"bad","good")</f>
        <v>good</v>
      </c>
      <c r="O662" s="5"/>
    </row>
    <row r="663" spans="6:15" x14ac:dyDescent="0.3">
      <c r="F663">
        <f>MONTH(Table1[[#This Row],[Date  (DMY)]])</f>
        <v>1</v>
      </c>
      <c r="G663" s="2"/>
      <c r="L663" s="5"/>
      <c r="M663" s="4">
        <f>M662-Table1[[#This Row],[Debits]]+Table1[[#This Row],[Income]]</f>
        <v>1900</v>
      </c>
      <c r="N663" t="str">
        <f>IF(AND(Table1[[#This Row],[Category]]="pay",NOT(Table1[[#This Row],[Debits]]=0)),"bad","good")</f>
        <v>good</v>
      </c>
      <c r="O663" s="5"/>
    </row>
    <row r="664" spans="6:15" x14ac:dyDescent="0.3">
      <c r="F664">
        <f>MONTH(Table1[[#This Row],[Date  (DMY)]])</f>
        <v>1</v>
      </c>
      <c r="G664" s="2"/>
      <c r="L664" s="5"/>
      <c r="M664" s="4">
        <f>M663-Table1[[#This Row],[Debits]]+Table1[[#This Row],[Income]]</f>
        <v>1900</v>
      </c>
      <c r="N664" t="str">
        <f>IF(AND(Table1[[#This Row],[Category]]="pay",NOT(Table1[[#This Row],[Debits]]=0)),"bad","good")</f>
        <v>good</v>
      </c>
      <c r="O664" s="5"/>
    </row>
    <row r="665" spans="6:15" x14ac:dyDescent="0.3">
      <c r="F665">
        <f>MONTH(Table1[[#This Row],[Date  (DMY)]])</f>
        <v>1</v>
      </c>
      <c r="G665" s="2"/>
      <c r="L665" s="5"/>
      <c r="M665" s="4">
        <f>M664-Table1[[#This Row],[Debits]]+Table1[[#This Row],[Income]]</f>
        <v>1900</v>
      </c>
      <c r="N665" t="str">
        <f>IF(AND(Table1[[#This Row],[Category]]="pay",NOT(Table1[[#This Row],[Debits]]=0)),"bad","good")</f>
        <v>good</v>
      </c>
      <c r="O665" s="5"/>
    </row>
    <row r="666" spans="6:15" x14ac:dyDescent="0.3">
      <c r="F666">
        <f>MONTH(Table1[[#This Row],[Date  (DMY)]])</f>
        <v>1</v>
      </c>
      <c r="G666" s="2"/>
      <c r="L666" s="5"/>
      <c r="M666" s="4">
        <f>M665-Table1[[#This Row],[Debits]]+Table1[[#This Row],[Income]]</f>
        <v>1900</v>
      </c>
      <c r="N666" t="str">
        <f>IF(AND(Table1[[#This Row],[Category]]="pay",NOT(Table1[[#This Row],[Debits]]=0)),"bad","good")</f>
        <v>good</v>
      </c>
      <c r="O666" s="5"/>
    </row>
    <row r="667" spans="6:15" x14ac:dyDescent="0.3">
      <c r="F667">
        <f>MONTH(Table1[[#This Row],[Date  (DMY)]])</f>
        <v>1</v>
      </c>
      <c r="G667" s="2"/>
      <c r="L667" s="5"/>
      <c r="M667" s="4">
        <f>M666-Table1[[#This Row],[Debits]]+Table1[[#This Row],[Income]]</f>
        <v>1900</v>
      </c>
      <c r="N667" t="str">
        <f>IF(AND(Table1[[#This Row],[Category]]="pay",NOT(Table1[[#This Row],[Debits]]=0)),"bad","good")</f>
        <v>good</v>
      </c>
      <c r="O667" s="5"/>
    </row>
    <row r="668" spans="6:15" x14ac:dyDescent="0.3">
      <c r="F668">
        <f>MONTH(Table1[[#This Row],[Date  (DMY)]])</f>
        <v>1</v>
      </c>
      <c r="G668" s="2"/>
      <c r="L668" s="5"/>
      <c r="M668" s="4">
        <f>M667-Table1[[#This Row],[Debits]]+Table1[[#This Row],[Income]]</f>
        <v>1900</v>
      </c>
      <c r="N668" t="str">
        <f>IF(AND(Table1[[#This Row],[Category]]="pay",NOT(Table1[[#This Row],[Debits]]=0)),"bad","good")</f>
        <v>good</v>
      </c>
      <c r="O668" s="5"/>
    </row>
    <row r="669" spans="6:15" x14ac:dyDescent="0.3">
      <c r="F669">
        <f>MONTH(Table1[[#This Row],[Date  (DMY)]])</f>
        <v>1</v>
      </c>
      <c r="G669" s="2"/>
      <c r="L669" s="5"/>
      <c r="M669" s="4">
        <f>M668-Table1[[#This Row],[Debits]]+Table1[[#This Row],[Income]]</f>
        <v>1900</v>
      </c>
      <c r="N669" t="str">
        <f>IF(AND(Table1[[#This Row],[Category]]="pay",NOT(Table1[[#This Row],[Debits]]=0)),"bad","good")</f>
        <v>good</v>
      </c>
      <c r="O669" s="5"/>
    </row>
    <row r="670" spans="6:15" x14ac:dyDescent="0.3">
      <c r="F670">
        <f>MONTH(Table1[[#This Row],[Date  (DMY)]])</f>
        <v>1</v>
      </c>
      <c r="G670" s="2"/>
      <c r="L670" s="5"/>
      <c r="M670" s="4">
        <f>M669-Table1[[#This Row],[Debits]]+Table1[[#This Row],[Income]]</f>
        <v>1900</v>
      </c>
      <c r="N670" t="str">
        <f>IF(AND(Table1[[#This Row],[Category]]="pay",NOT(Table1[[#This Row],[Debits]]=0)),"bad","good")</f>
        <v>good</v>
      </c>
      <c r="O670" s="5"/>
    </row>
    <row r="671" spans="6:15" x14ac:dyDescent="0.3">
      <c r="F671">
        <f>MONTH(Table1[[#This Row],[Date  (DMY)]])</f>
        <v>1</v>
      </c>
      <c r="G671" s="2"/>
      <c r="L671" s="5"/>
      <c r="M671" s="4">
        <f>M670-Table1[[#This Row],[Debits]]+Table1[[#This Row],[Income]]</f>
        <v>1900</v>
      </c>
      <c r="N671" t="str">
        <f>IF(AND(Table1[[#This Row],[Category]]="pay",NOT(Table1[[#This Row],[Debits]]=0)),"bad","good")</f>
        <v>good</v>
      </c>
      <c r="O671" s="5"/>
    </row>
    <row r="672" spans="6:15" x14ac:dyDescent="0.3">
      <c r="F672">
        <f>MONTH(Table1[[#This Row],[Date  (DMY)]])</f>
        <v>1</v>
      </c>
      <c r="G672" s="2"/>
      <c r="L672" s="5"/>
      <c r="M672" s="4">
        <f>M671-Table1[[#This Row],[Debits]]+Table1[[#This Row],[Income]]</f>
        <v>1900</v>
      </c>
      <c r="N672" t="str">
        <f>IF(AND(Table1[[#This Row],[Category]]="pay",NOT(Table1[[#This Row],[Debits]]=0)),"bad","good")</f>
        <v>good</v>
      </c>
      <c r="O672" s="5"/>
    </row>
    <row r="673" spans="6:15" x14ac:dyDescent="0.3">
      <c r="F673">
        <f>MONTH(Table1[[#This Row],[Date  (DMY)]])</f>
        <v>1</v>
      </c>
      <c r="G673" s="2"/>
      <c r="L673" s="5"/>
      <c r="M673" s="4">
        <f>M672-Table1[[#This Row],[Debits]]+Table1[[#This Row],[Income]]</f>
        <v>1900</v>
      </c>
      <c r="N673" t="str">
        <f>IF(AND(Table1[[#This Row],[Category]]="pay",NOT(Table1[[#This Row],[Debits]]=0)),"bad","good")</f>
        <v>good</v>
      </c>
      <c r="O673" s="5"/>
    </row>
    <row r="674" spans="6:15" x14ac:dyDescent="0.3">
      <c r="F674">
        <f>MONTH(Table1[[#This Row],[Date  (DMY)]])</f>
        <v>1</v>
      </c>
      <c r="G674" s="2"/>
      <c r="L674" s="5"/>
      <c r="M674" s="4">
        <f>M673-Table1[[#This Row],[Debits]]+Table1[[#This Row],[Income]]</f>
        <v>1900</v>
      </c>
      <c r="N674" t="str">
        <f>IF(AND(Table1[[#This Row],[Category]]="pay",NOT(Table1[[#This Row],[Debits]]=0)),"bad","good")</f>
        <v>good</v>
      </c>
      <c r="O674" s="5"/>
    </row>
    <row r="675" spans="6:15" x14ac:dyDescent="0.3">
      <c r="F675">
        <f>MONTH(Table1[[#This Row],[Date  (DMY)]])</f>
        <v>1</v>
      </c>
      <c r="G675" s="2"/>
      <c r="L675" s="5"/>
      <c r="M675" s="4">
        <f>M674-Table1[[#This Row],[Debits]]+Table1[[#This Row],[Income]]</f>
        <v>1900</v>
      </c>
      <c r="N675" t="str">
        <f>IF(AND(Table1[[#This Row],[Category]]="pay",NOT(Table1[[#This Row],[Debits]]=0)),"bad","good")</f>
        <v>good</v>
      </c>
      <c r="O675" s="5"/>
    </row>
    <row r="676" spans="6:15" x14ac:dyDescent="0.3">
      <c r="F676">
        <f>MONTH(Table1[[#This Row],[Date  (DMY)]])</f>
        <v>1</v>
      </c>
      <c r="G676" s="2"/>
      <c r="L676" s="5"/>
      <c r="M676" s="4">
        <f>M675-Table1[[#This Row],[Debits]]+Table1[[#This Row],[Income]]</f>
        <v>1900</v>
      </c>
      <c r="N676" t="str">
        <f>IF(AND(Table1[[#This Row],[Category]]="pay",NOT(Table1[[#This Row],[Debits]]=0)),"bad","good")</f>
        <v>good</v>
      </c>
      <c r="O676" s="5"/>
    </row>
    <row r="677" spans="6:15" x14ac:dyDescent="0.3">
      <c r="F677">
        <f>MONTH(Table1[[#This Row],[Date  (DMY)]])</f>
        <v>1</v>
      </c>
      <c r="G677" s="2"/>
      <c r="L677" s="5"/>
      <c r="M677" s="4">
        <f>M676-Table1[[#This Row],[Debits]]+Table1[[#This Row],[Income]]</f>
        <v>1900</v>
      </c>
      <c r="N677" t="str">
        <f>IF(AND(Table1[[#This Row],[Category]]="pay",NOT(Table1[[#This Row],[Debits]]=0)),"bad","good")</f>
        <v>good</v>
      </c>
      <c r="O677" s="5"/>
    </row>
    <row r="678" spans="6:15" x14ac:dyDescent="0.3">
      <c r="F678">
        <f>MONTH(Table1[[#This Row],[Date  (DMY)]])</f>
        <v>1</v>
      </c>
      <c r="G678" s="2"/>
      <c r="L678" s="5"/>
      <c r="M678" s="4">
        <f>M677-Table1[[#This Row],[Debits]]+Table1[[#This Row],[Income]]</f>
        <v>1900</v>
      </c>
      <c r="N678" t="str">
        <f>IF(AND(Table1[[#This Row],[Category]]="pay",NOT(Table1[[#This Row],[Debits]]=0)),"bad","good")</f>
        <v>good</v>
      </c>
      <c r="O678" s="5"/>
    </row>
    <row r="679" spans="6:15" x14ac:dyDescent="0.3">
      <c r="F679">
        <f>MONTH(Table1[[#This Row],[Date  (DMY)]])</f>
        <v>1</v>
      </c>
      <c r="G679" s="2"/>
      <c r="L679" s="5"/>
      <c r="M679" s="4">
        <f>M678-Table1[[#This Row],[Debits]]+Table1[[#This Row],[Income]]</f>
        <v>1900</v>
      </c>
      <c r="N679" t="str">
        <f>IF(AND(Table1[[#This Row],[Category]]="pay",NOT(Table1[[#This Row],[Debits]]=0)),"bad","good")</f>
        <v>good</v>
      </c>
      <c r="O679" s="5"/>
    </row>
    <row r="680" spans="6:15" x14ac:dyDescent="0.3">
      <c r="F680">
        <f>MONTH(Table1[[#This Row],[Date  (DMY)]])</f>
        <v>1</v>
      </c>
      <c r="G680" s="2"/>
      <c r="L680" s="5"/>
      <c r="M680" s="4">
        <f>M679-Table1[[#This Row],[Debits]]+Table1[[#This Row],[Income]]</f>
        <v>1900</v>
      </c>
      <c r="N680" t="str">
        <f>IF(AND(Table1[[#This Row],[Category]]="pay",NOT(Table1[[#This Row],[Debits]]=0)),"bad","good")</f>
        <v>good</v>
      </c>
      <c r="O680" s="5"/>
    </row>
    <row r="681" spans="6:15" x14ac:dyDescent="0.3">
      <c r="F681">
        <f>MONTH(Table1[[#This Row],[Date  (DMY)]])</f>
        <v>1</v>
      </c>
      <c r="G681" s="2"/>
      <c r="L681" s="5"/>
      <c r="M681" s="4">
        <f>M680-Table1[[#This Row],[Debits]]+Table1[[#This Row],[Income]]</f>
        <v>1900</v>
      </c>
      <c r="N681" t="str">
        <f>IF(AND(Table1[[#This Row],[Category]]="pay",NOT(Table1[[#This Row],[Debits]]=0)),"bad","good")</f>
        <v>good</v>
      </c>
      <c r="O681" s="5"/>
    </row>
    <row r="682" spans="6:15" x14ac:dyDescent="0.3">
      <c r="F682">
        <f>MONTH(Table1[[#This Row],[Date  (DMY)]])</f>
        <v>1</v>
      </c>
      <c r="G682" s="2"/>
      <c r="L682" s="5"/>
      <c r="M682" s="4">
        <f>M681-Table1[[#This Row],[Debits]]+Table1[[#This Row],[Income]]</f>
        <v>1900</v>
      </c>
      <c r="N682" t="str">
        <f>IF(AND(Table1[[#This Row],[Category]]="pay",NOT(Table1[[#This Row],[Debits]]=0)),"bad","good")</f>
        <v>good</v>
      </c>
      <c r="O682" s="5"/>
    </row>
    <row r="683" spans="6:15" x14ac:dyDescent="0.3">
      <c r="F683">
        <f>MONTH(Table1[[#This Row],[Date  (DMY)]])</f>
        <v>1</v>
      </c>
      <c r="G683" s="2"/>
      <c r="L683" s="5"/>
      <c r="M683" s="4">
        <f>M682-Table1[[#This Row],[Debits]]+Table1[[#This Row],[Income]]</f>
        <v>1900</v>
      </c>
      <c r="N683" t="str">
        <f>IF(AND(Table1[[#This Row],[Category]]="pay",NOT(Table1[[#This Row],[Debits]]=0)),"bad","good")</f>
        <v>good</v>
      </c>
      <c r="O683" s="5"/>
    </row>
    <row r="684" spans="6:15" x14ac:dyDescent="0.3">
      <c r="F684">
        <f>MONTH(Table1[[#This Row],[Date  (DMY)]])</f>
        <v>1</v>
      </c>
      <c r="G684" s="2"/>
      <c r="L684" s="5"/>
      <c r="M684" s="4">
        <f>M683-Table1[[#This Row],[Debits]]+Table1[[#This Row],[Income]]</f>
        <v>1900</v>
      </c>
      <c r="N684" t="str">
        <f>IF(AND(Table1[[#This Row],[Category]]="pay",NOT(Table1[[#This Row],[Debits]]=0)),"bad","good")</f>
        <v>good</v>
      </c>
      <c r="O684" s="5"/>
    </row>
    <row r="685" spans="6:15" x14ac:dyDescent="0.3">
      <c r="F685">
        <f>MONTH(Table1[[#This Row],[Date  (DMY)]])</f>
        <v>1</v>
      </c>
      <c r="G685" s="2"/>
      <c r="L685" s="5"/>
      <c r="M685" s="4">
        <f>M684-Table1[[#This Row],[Debits]]+Table1[[#This Row],[Income]]</f>
        <v>1900</v>
      </c>
      <c r="N685" t="str">
        <f>IF(AND(Table1[[#This Row],[Category]]="pay",NOT(Table1[[#This Row],[Debits]]=0)),"bad","good")</f>
        <v>good</v>
      </c>
      <c r="O685" s="5"/>
    </row>
    <row r="686" spans="6:15" x14ac:dyDescent="0.3">
      <c r="F686">
        <f>MONTH(Table1[[#This Row],[Date  (DMY)]])</f>
        <v>1</v>
      </c>
      <c r="G686" s="2"/>
      <c r="L686" s="5"/>
      <c r="M686" s="4">
        <f>M685-Table1[[#This Row],[Debits]]+Table1[[#This Row],[Income]]</f>
        <v>1900</v>
      </c>
      <c r="N686" t="str">
        <f>IF(AND(Table1[[#This Row],[Category]]="pay",NOT(Table1[[#This Row],[Debits]]=0)),"bad","good")</f>
        <v>good</v>
      </c>
      <c r="O686" s="5"/>
    </row>
    <row r="687" spans="6:15" x14ac:dyDescent="0.3">
      <c r="F687">
        <f>MONTH(Table1[[#This Row],[Date  (DMY)]])</f>
        <v>1</v>
      </c>
      <c r="G687" s="2"/>
      <c r="L687" s="5"/>
      <c r="M687" s="4">
        <f>M686-Table1[[#This Row],[Debits]]+Table1[[#This Row],[Income]]</f>
        <v>1900</v>
      </c>
      <c r="N687" t="str">
        <f>IF(AND(Table1[[#This Row],[Category]]="pay",NOT(Table1[[#This Row],[Debits]]=0)),"bad","good")</f>
        <v>good</v>
      </c>
      <c r="O687" s="5"/>
    </row>
    <row r="688" spans="6:15" x14ac:dyDescent="0.3">
      <c r="F688">
        <f>MONTH(Table1[[#This Row],[Date  (DMY)]])</f>
        <v>1</v>
      </c>
      <c r="G688" s="2"/>
      <c r="L688" s="5"/>
      <c r="M688" s="4">
        <f>M687-Table1[[#This Row],[Debits]]+Table1[[#This Row],[Income]]</f>
        <v>1900</v>
      </c>
      <c r="N688" t="str">
        <f>IF(AND(Table1[[#This Row],[Category]]="pay",NOT(Table1[[#This Row],[Debits]]=0)),"bad","good")</f>
        <v>good</v>
      </c>
      <c r="O688" s="5"/>
    </row>
    <row r="689" spans="6:15" x14ac:dyDescent="0.3">
      <c r="F689">
        <f>MONTH(Table1[[#This Row],[Date  (DMY)]])</f>
        <v>1</v>
      </c>
      <c r="G689" s="2"/>
      <c r="L689" s="5"/>
      <c r="M689" s="4">
        <f>M688-Table1[[#This Row],[Debits]]+Table1[[#This Row],[Income]]</f>
        <v>1900</v>
      </c>
      <c r="N689" t="str">
        <f>IF(AND(Table1[[#This Row],[Category]]="pay",NOT(Table1[[#This Row],[Debits]]=0)),"bad","good")</f>
        <v>good</v>
      </c>
      <c r="O689" s="5"/>
    </row>
    <row r="690" spans="6:15" x14ac:dyDescent="0.3">
      <c r="F690">
        <f>MONTH(Table1[[#This Row],[Date  (DMY)]])</f>
        <v>1</v>
      </c>
      <c r="G690" s="2"/>
      <c r="L690" s="5"/>
      <c r="M690" s="4">
        <f>M689-Table1[[#This Row],[Debits]]+Table1[[#This Row],[Income]]</f>
        <v>1900</v>
      </c>
      <c r="N690" t="str">
        <f>IF(AND(Table1[[#This Row],[Category]]="pay",NOT(Table1[[#This Row],[Debits]]=0)),"bad","good")</f>
        <v>good</v>
      </c>
      <c r="O690" s="5"/>
    </row>
    <row r="691" spans="6:15" x14ac:dyDescent="0.3">
      <c r="F691">
        <f>MONTH(Table1[[#This Row],[Date  (DMY)]])</f>
        <v>1</v>
      </c>
      <c r="G691" s="2"/>
      <c r="L691" s="5"/>
      <c r="M691" s="4">
        <f>M690-Table1[[#This Row],[Debits]]+Table1[[#This Row],[Income]]</f>
        <v>1900</v>
      </c>
      <c r="N691" t="str">
        <f>IF(AND(Table1[[#This Row],[Category]]="pay",NOT(Table1[[#This Row],[Debits]]=0)),"bad","good")</f>
        <v>good</v>
      </c>
      <c r="O691" s="5"/>
    </row>
    <row r="692" spans="6:15" x14ac:dyDescent="0.3">
      <c r="F692">
        <f>MONTH(Table1[[#This Row],[Date  (DMY)]])</f>
        <v>1</v>
      </c>
      <c r="G692" s="2"/>
      <c r="L692" s="5"/>
      <c r="M692" s="4">
        <f>M691-Table1[[#This Row],[Debits]]+Table1[[#This Row],[Income]]</f>
        <v>1900</v>
      </c>
      <c r="N692" t="str">
        <f>IF(AND(Table1[[#This Row],[Category]]="pay",NOT(Table1[[#This Row],[Debits]]=0)),"bad","good")</f>
        <v>good</v>
      </c>
      <c r="O692" s="5"/>
    </row>
    <row r="693" spans="6:15" x14ac:dyDescent="0.3">
      <c r="F693">
        <f>MONTH(Table1[[#This Row],[Date  (DMY)]])</f>
        <v>1</v>
      </c>
      <c r="G693" s="2"/>
      <c r="L693" s="5"/>
      <c r="M693" s="4">
        <f>M692-Table1[[#This Row],[Debits]]+Table1[[#This Row],[Income]]</f>
        <v>1900</v>
      </c>
      <c r="N693" t="str">
        <f>IF(AND(Table1[[#This Row],[Category]]="pay",NOT(Table1[[#This Row],[Debits]]=0)),"bad","good")</f>
        <v>good</v>
      </c>
      <c r="O693" s="5"/>
    </row>
    <row r="694" spans="6:15" x14ac:dyDescent="0.3">
      <c r="F694">
        <f>MONTH(Table1[[#This Row],[Date  (DMY)]])</f>
        <v>1</v>
      </c>
      <c r="G694" s="2"/>
      <c r="L694" s="5"/>
      <c r="M694" s="4">
        <f>M693-Table1[[#This Row],[Debits]]+Table1[[#This Row],[Income]]</f>
        <v>1900</v>
      </c>
      <c r="N694" t="str">
        <f>IF(AND(Table1[[#This Row],[Category]]="pay",NOT(Table1[[#This Row],[Debits]]=0)),"bad","good")</f>
        <v>good</v>
      </c>
      <c r="O694" s="5"/>
    </row>
    <row r="695" spans="6:15" x14ac:dyDescent="0.3">
      <c r="F695">
        <f>MONTH(Table1[[#This Row],[Date  (DMY)]])</f>
        <v>1</v>
      </c>
      <c r="G695" s="2"/>
      <c r="L695" s="5"/>
      <c r="M695" s="4">
        <f>M694-Table1[[#This Row],[Debits]]+Table1[[#This Row],[Income]]</f>
        <v>1900</v>
      </c>
      <c r="N695" t="str">
        <f>IF(AND(Table1[[#This Row],[Category]]="pay",NOT(Table1[[#This Row],[Debits]]=0)),"bad","good")</f>
        <v>good</v>
      </c>
      <c r="O695" s="5"/>
    </row>
    <row r="696" spans="6:15" x14ac:dyDescent="0.3">
      <c r="F696">
        <f>MONTH(Table1[[#This Row],[Date  (DMY)]])</f>
        <v>1</v>
      </c>
      <c r="G696" s="2"/>
      <c r="L696" s="5"/>
      <c r="M696" s="4">
        <f>M695-Table1[[#This Row],[Debits]]+Table1[[#This Row],[Income]]</f>
        <v>1900</v>
      </c>
      <c r="N696" t="str">
        <f>IF(AND(Table1[[#This Row],[Category]]="pay",NOT(Table1[[#This Row],[Debits]]=0)),"bad","good")</f>
        <v>good</v>
      </c>
      <c r="O696" s="5"/>
    </row>
    <row r="697" spans="6:15" x14ac:dyDescent="0.3">
      <c r="F697">
        <f>MONTH(Table1[[#This Row],[Date  (DMY)]])</f>
        <v>1</v>
      </c>
      <c r="G697" s="2"/>
      <c r="L697" s="5"/>
      <c r="M697" s="4">
        <f>M696-Table1[[#This Row],[Debits]]+Table1[[#This Row],[Income]]</f>
        <v>1900</v>
      </c>
      <c r="N697" t="str">
        <f>IF(AND(Table1[[#This Row],[Category]]="pay",NOT(Table1[[#This Row],[Debits]]=0)),"bad","good")</f>
        <v>good</v>
      </c>
      <c r="O697" s="5"/>
    </row>
    <row r="698" spans="6:15" x14ac:dyDescent="0.3">
      <c r="F698">
        <f>MONTH(Table1[[#This Row],[Date  (DMY)]])</f>
        <v>1</v>
      </c>
      <c r="G698" s="2"/>
      <c r="L698" s="5"/>
      <c r="M698" s="4">
        <f>M697-Table1[[#This Row],[Debits]]+Table1[[#This Row],[Income]]</f>
        <v>1900</v>
      </c>
      <c r="N698" t="str">
        <f>IF(AND(Table1[[#This Row],[Category]]="pay",NOT(Table1[[#This Row],[Debits]]=0)),"bad","good")</f>
        <v>good</v>
      </c>
      <c r="O698" s="5"/>
    </row>
    <row r="699" spans="6:15" x14ac:dyDescent="0.3">
      <c r="F699">
        <f>MONTH(Table1[[#This Row],[Date  (DMY)]])</f>
        <v>1</v>
      </c>
      <c r="G699" s="2"/>
      <c r="L699" s="5"/>
      <c r="M699" s="4">
        <f>M698-Table1[[#This Row],[Debits]]+Table1[[#This Row],[Income]]</f>
        <v>1900</v>
      </c>
      <c r="N699" t="str">
        <f>IF(AND(Table1[[#This Row],[Category]]="pay",NOT(Table1[[#This Row],[Debits]]=0)),"bad","good")</f>
        <v>good</v>
      </c>
      <c r="O699" s="5"/>
    </row>
    <row r="700" spans="6:15" x14ac:dyDescent="0.3">
      <c r="F700">
        <f>MONTH(Table1[[#This Row],[Date  (DMY)]])</f>
        <v>1</v>
      </c>
      <c r="G700" s="2"/>
      <c r="L700" s="5"/>
      <c r="M700" s="4">
        <f>M699-Table1[[#This Row],[Debits]]+Table1[[#This Row],[Income]]</f>
        <v>1900</v>
      </c>
      <c r="N700" t="str">
        <f>IF(AND(Table1[[#This Row],[Category]]="pay",NOT(Table1[[#This Row],[Debits]]=0)),"bad","good")</f>
        <v>good</v>
      </c>
      <c r="O700" s="5"/>
    </row>
    <row r="701" spans="6:15" x14ac:dyDescent="0.3">
      <c r="F701">
        <f>MONTH(Table1[[#This Row],[Date  (DMY)]])</f>
        <v>1</v>
      </c>
      <c r="G701" s="2"/>
      <c r="L701" s="5"/>
      <c r="M701" s="4">
        <f>M700-Table1[[#This Row],[Debits]]+Table1[[#This Row],[Income]]</f>
        <v>1900</v>
      </c>
      <c r="N701" t="str">
        <f>IF(AND(Table1[[#This Row],[Category]]="pay",NOT(Table1[[#This Row],[Debits]]=0)),"bad","good")</f>
        <v>good</v>
      </c>
      <c r="O701" s="5"/>
    </row>
    <row r="702" spans="6:15" x14ac:dyDescent="0.3">
      <c r="F702">
        <f>MONTH(Table1[[#This Row],[Date  (DMY)]])</f>
        <v>1</v>
      </c>
      <c r="G702" s="2"/>
      <c r="L702" s="5"/>
      <c r="M702" s="4">
        <f>M701-Table1[[#This Row],[Debits]]+Table1[[#This Row],[Income]]</f>
        <v>1900</v>
      </c>
      <c r="N702" t="str">
        <f>IF(AND(Table1[[#This Row],[Category]]="pay",NOT(Table1[[#This Row],[Debits]]=0)),"bad","good")</f>
        <v>good</v>
      </c>
      <c r="O702" s="5"/>
    </row>
    <row r="703" spans="6:15" x14ac:dyDescent="0.3">
      <c r="F703">
        <f>MONTH(Table1[[#This Row],[Date  (DMY)]])</f>
        <v>1</v>
      </c>
      <c r="G703" s="2"/>
      <c r="L703" s="5"/>
      <c r="M703" s="4">
        <f>M702-Table1[[#This Row],[Debits]]+Table1[[#This Row],[Income]]</f>
        <v>1900</v>
      </c>
      <c r="N703" t="str">
        <f>IF(AND(Table1[[#This Row],[Category]]="pay",NOT(Table1[[#This Row],[Debits]]=0)),"bad","good")</f>
        <v>good</v>
      </c>
      <c r="O703" s="5"/>
    </row>
    <row r="704" spans="6:15" x14ac:dyDescent="0.3">
      <c r="F704">
        <f>MONTH(Table1[[#This Row],[Date  (DMY)]])</f>
        <v>1</v>
      </c>
      <c r="G704" s="2"/>
      <c r="L704" s="5"/>
      <c r="M704" s="4">
        <f>M703-Table1[[#This Row],[Debits]]+Table1[[#This Row],[Income]]</f>
        <v>1900</v>
      </c>
      <c r="N704" t="str">
        <f>IF(AND(Table1[[#This Row],[Category]]="pay",NOT(Table1[[#This Row],[Debits]]=0)),"bad","good")</f>
        <v>good</v>
      </c>
      <c r="O704" s="5"/>
    </row>
    <row r="705" spans="6:15" x14ac:dyDescent="0.3">
      <c r="F705">
        <f>MONTH(Table1[[#This Row],[Date  (DMY)]])</f>
        <v>1</v>
      </c>
      <c r="G705" s="2"/>
      <c r="L705" s="5"/>
      <c r="M705" s="4">
        <f>M704-Table1[[#This Row],[Debits]]+Table1[[#This Row],[Income]]</f>
        <v>1900</v>
      </c>
      <c r="N705" t="str">
        <f>IF(AND(Table1[[#This Row],[Category]]="pay",NOT(Table1[[#This Row],[Debits]]=0)),"bad","good")</f>
        <v>good</v>
      </c>
      <c r="O705" s="5"/>
    </row>
    <row r="706" spans="6:15" x14ac:dyDescent="0.3">
      <c r="F706">
        <f>MONTH(Table1[[#This Row],[Date  (DMY)]])</f>
        <v>1</v>
      </c>
      <c r="G706" s="2"/>
      <c r="L706" s="5"/>
      <c r="M706" s="4">
        <f>M705-Table1[[#This Row],[Debits]]+Table1[[#This Row],[Income]]</f>
        <v>1900</v>
      </c>
      <c r="N706" t="str">
        <f>IF(AND(Table1[[#This Row],[Category]]="pay",NOT(Table1[[#This Row],[Debits]]=0)),"bad","good")</f>
        <v>good</v>
      </c>
      <c r="O706" s="5"/>
    </row>
    <row r="707" spans="6:15" x14ac:dyDescent="0.3">
      <c r="F707">
        <f>MONTH(Table1[[#This Row],[Date  (DMY)]])</f>
        <v>1</v>
      </c>
      <c r="G707" s="2"/>
      <c r="L707" s="5"/>
      <c r="M707" s="4">
        <f>M706-Table1[[#This Row],[Debits]]+Table1[[#This Row],[Income]]</f>
        <v>1900</v>
      </c>
      <c r="N707" t="str">
        <f>IF(AND(Table1[[#This Row],[Category]]="pay",NOT(Table1[[#This Row],[Debits]]=0)),"bad","good")</f>
        <v>good</v>
      </c>
      <c r="O707" s="5"/>
    </row>
    <row r="708" spans="6:15" x14ac:dyDescent="0.3">
      <c r="F708">
        <f>MONTH(Table1[[#This Row],[Date  (DMY)]])</f>
        <v>1</v>
      </c>
      <c r="G708" s="2"/>
      <c r="L708" s="5"/>
      <c r="M708" s="4">
        <f>M707-Table1[[#This Row],[Debits]]+Table1[[#This Row],[Income]]</f>
        <v>1900</v>
      </c>
      <c r="N708" t="str">
        <f>IF(AND(Table1[[#This Row],[Category]]="pay",NOT(Table1[[#This Row],[Debits]]=0)),"bad","good")</f>
        <v>good</v>
      </c>
      <c r="O708" s="5"/>
    </row>
    <row r="709" spans="6:15" x14ac:dyDescent="0.3">
      <c r="F709">
        <f>MONTH(Table1[[#This Row],[Date  (DMY)]])</f>
        <v>1</v>
      </c>
      <c r="G709" s="2"/>
      <c r="L709" s="5"/>
      <c r="M709" s="4">
        <f>M708-Table1[[#This Row],[Debits]]+Table1[[#This Row],[Income]]</f>
        <v>1900</v>
      </c>
      <c r="N709" t="str">
        <f>IF(AND(Table1[[#This Row],[Category]]="pay",NOT(Table1[[#This Row],[Debits]]=0)),"bad","good")</f>
        <v>good</v>
      </c>
      <c r="O709" s="5"/>
    </row>
    <row r="710" spans="6:15" x14ac:dyDescent="0.3">
      <c r="F710">
        <f>MONTH(Table1[[#This Row],[Date  (DMY)]])</f>
        <v>1</v>
      </c>
      <c r="G710" s="2"/>
      <c r="L710" s="5"/>
      <c r="M710" s="4">
        <f>M709-Table1[[#This Row],[Debits]]+Table1[[#This Row],[Income]]</f>
        <v>1900</v>
      </c>
      <c r="N710" t="str">
        <f>IF(AND(Table1[[#This Row],[Category]]="pay",NOT(Table1[[#This Row],[Debits]]=0)),"bad","good")</f>
        <v>good</v>
      </c>
      <c r="O710" s="5"/>
    </row>
    <row r="711" spans="6:15" x14ac:dyDescent="0.3">
      <c r="F711">
        <f>MONTH(Table1[[#This Row],[Date  (DMY)]])</f>
        <v>1</v>
      </c>
      <c r="G711" s="2"/>
      <c r="L711" s="5"/>
      <c r="M711" s="4">
        <f>M710-Table1[[#This Row],[Debits]]+Table1[[#This Row],[Income]]</f>
        <v>1900</v>
      </c>
      <c r="N711" t="str">
        <f>IF(AND(Table1[[#This Row],[Category]]="pay",NOT(Table1[[#This Row],[Debits]]=0)),"bad","good")</f>
        <v>good</v>
      </c>
      <c r="O711" s="5"/>
    </row>
    <row r="712" spans="6:15" x14ac:dyDescent="0.3">
      <c r="F712">
        <f>MONTH(Table1[[#This Row],[Date  (DMY)]])</f>
        <v>1</v>
      </c>
      <c r="G712" s="2"/>
      <c r="L712" s="5"/>
      <c r="M712" s="4">
        <f>M711-Table1[[#This Row],[Debits]]+Table1[[#This Row],[Income]]</f>
        <v>1900</v>
      </c>
      <c r="N712" t="str">
        <f>IF(AND(Table1[[#This Row],[Category]]="pay",NOT(Table1[[#This Row],[Debits]]=0)),"bad","good")</f>
        <v>good</v>
      </c>
      <c r="O712" s="5"/>
    </row>
    <row r="713" spans="6:15" x14ac:dyDescent="0.3">
      <c r="F713">
        <f>MONTH(Table1[[#This Row],[Date  (DMY)]])</f>
        <v>1</v>
      </c>
      <c r="G713" s="2"/>
      <c r="L713" s="5"/>
      <c r="M713" s="4">
        <f>M712-Table1[[#This Row],[Debits]]+Table1[[#This Row],[Income]]</f>
        <v>1900</v>
      </c>
      <c r="N713" t="str">
        <f>IF(AND(Table1[[#This Row],[Category]]="pay",NOT(Table1[[#This Row],[Debits]]=0)),"bad","good")</f>
        <v>good</v>
      </c>
      <c r="O713" s="5"/>
    </row>
    <row r="714" spans="6:15" x14ac:dyDescent="0.3">
      <c r="F714">
        <f>MONTH(Table1[[#This Row],[Date  (DMY)]])</f>
        <v>1</v>
      </c>
      <c r="G714" s="2"/>
      <c r="L714" s="5"/>
      <c r="M714" s="4">
        <f>M713-Table1[[#This Row],[Debits]]+Table1[[#This Row],[Income]]</f>
        <v>1900</v>
      </c>
      <c r="N714" t="str">
        <f>IF(AND(Table1[[#This Row],[Category]]="pay",NOT(Table1[[#This Row],[Debits]]=0)),"bad","good")</f>
        <v>good</v>
      </c>
      <c r="O714" s="5"/>
    </row>
    <row r="715" spans="6:15" x14ac:dyDescent="0.3">
      <c r="F715">
        <f>MONTH(Table1[[#This Row],[Date  (DMY)]])</f>
        <v>1</v>
      </c>
      <c r="G715" s="2"/>
      <c r="L715" s="5"/>
      <c r="M715" s="4">
        <f>M714-Table1[[#This Row],[Debits]]+Table1[[#This Row],[Income]]</f>
        <v>1900</v>
      </c>
      <c r="N715" t="str">
        <f>IF(AND(Table1[[#This Row],[Category]]="pay",NOT(Table1[[#This Row],[Debits]]=0)),"bad","good")</f>
        <v>good</v>
      </c>
      <c r="O715" s="5"/>
    </row>
    <row r="716" spans="6:15" x14ac:dyDescent="0.3">
      <c r="F716">
        <f>MONTH(Table1[[#This Row],[Date  (DMY)]])</f>
        <v>1</v>
      </c>
      <c r="G716" s="2"/>
      <c r="L716" s="5"/>
      <c r="M716" s="4">
        <f>M715-Table1[[#This Row],[Debits]]+Table1[[#This Row],[Income]]</f>
        <v>1900</v>
      </c>
      <c r="N716" t="str">
        <f>IF(AND(Table1[[#This Row],[Category]]="pay",NOT(Table1[[#This Row],[Debits]]=0)),"bad","good")</f>
        <v>good</v>
      </c>
      <c r="O716" s="5"/>
    </row>
    <row r="717" spans="6:15" x14ac:dyDescent="0.3">
      <c r="F717">
        <f>MONTH(Table1[[#This Row],[Date  (DMY)]])</f>
        <v>1</v>
      </c>
      <c r="G717" s="2"/>
      <c r="L717" s="5"/>
      <c r="M717" s="4">
        <f>M716-Table1[[#This Row],[Debits]]+Table1[[#This Row],[Income]]</f>
        <v>1900</v>
      </c>
      <c r="N717" t="str">
        <f>IF(AND(Table1[[#This Row],[Category]]="pay",NOT(Table1[[#This Row],[Debits]]=0)),"bad","good")</f>
        <v>good</v>
      </c>
      <c r="O717" s="5"/>
    </row>
    <row r="718" spans="6:15" x14ac:dyDescent="0.3">
      <c r="F718">
        <f>MONTH(Table1[[#This Row],[Date  (DMY)]])</f>
        <v>1</v>
      </c>
      <c r="G718" s="2"/>
      <c r="L718" s="5"/>
      <c r="M718" s="4">
        <f>M717-Table1[[#This Row],[Debits]]+Table1[[#This Row],[Income]]</f>
        <v>1900</v>
      </c>
      <c r="N718" t="str">
        <f>IF(AND(Table1[[#This Row],[Category]]="pay",NOT(Table1[[#This Row],[Debits]]=0)),"bad","good")</f>
        <v>good</v>
      </c>
      <c r="O718" s="5"/>
    </row>
    <row r="719" spans="6:15" x14ac:dyDescent="0.3">
      <c r="F719">
        <f>MONTH(Table1[[#This Row],[Date  (DMY)]])</f>
        <v>1</v>
      </c>
      <c r="G719" s="2"/>
      <c r="L719" s="5"/>
      <c r="M719" s="4">
        <f>M718-Table1[[#This Row],[Debits]]+Table1[[#This Row],[Income]]</f>
        <v>1900</v>
      </c>
      <c r="N719" t="str">
        <f>IF(AND(Table1[[#This Row],[Category]]="pay",NOT(Table1[[#This Row],[Debits]]=0)),"bad","good")</f>
        <v>good</v>
      </c>
      <c r="O719" s="5"/>
    </row>
    <row r="720" spans="6:15" x14ac:dyDescent="0.3">
      <c r="F720">
        <f>MONTH(Table1[[#This Row],[Date  (DMY)]])</f>
        <v>1</v>
      </c>
      <c r="G720" s="2"/>
      <c r="L720" s="5"/>
      <c r="M720" s="4">
        <f>M719-Table1[[#This Row],[Debits]]+Table1[[#This Row],[Income]]</f>
        <v>1900</v>
      </c>
      <c r="N720" t="str">
        <f>IF(AND(Table1[[#This Row],[Category]]="pay",NOT(Table1[[#This Row],[Debits]]=0)),"bad","good")</f>
        <v>good</v>
      </c>
      <c r="O720" s="5"/>
    </row>
    <row r="721" spans="6:15" x14ac:dyDescent="0.3">
      <c r="F721">
        <f>MONTH(Table1[[#This Row],[Date  (DMY)]])</f>
        <v>1</v>
      </c>
      <c r="G721" s="2"/>
      <c r="L721" s="5"/>
      <c r="M721" s="4">
        <f>M720-Table1[[#This Row],[Debits]]+Table1[[#This Row],[Income]]</f>
        <v>1900</v>
      </c>
      <c r="N721" t="str">
        <f>IF(AND(Table1[[#This Row],[Category]]="pay",NOT(Table1[[#This Row],[Debits]]=0)),"bad","good")</f>
        <v>good</v>
      </c>
      <c r="O721" s="5"/>
    </row>
    <row r="722" spans="6:15" x14ac:dyDescent="0.3">
      <c r="F722">
        <f>MONTH(Table1[[#This Row],[Date  (DMY)]])</f>
        <v>1</v>
      </c>
      <c r="G722" s="2"/>
      <c r="L722" s="5"/>
      <c r="M722" s="4">
        <f>M721-Table1[[#This Row],[Debits]]+Table1[[#This Row],[Income]]</f>
        <v>1900</v>
      </c>
      <c r="N722" t="str">
        <f>IF(AND(Table1[[#This Row],[Category]]="pay",NOT(Table1[[#This Row],[Debits]]=0)),"bad","good")</f>
        <v>good</v>
      </c>
      <c r="O722" s="5"/>
    </row>
    <row r="723" spans="6:15" x14ac:dyDescent="0.3">
      <c r="F723">
        <f>MONTH(Table1[[#This Row],[Date  (DMY)]])</f>
        <v>1</v>
      </c>
      <c r="G723" s="2"/>
      <c r="L723" s="5"/>
      <c r="M723" s="4">
        <f>M722-Table1[[#This Row],[Debits]]+Table1[[#This Row],[Income]]</f>
        <v>1900</v>
      </c>
      <c r="N723" t="str">
        <f>IF(AND(Table1[[#This Row],[Category]]="pay",NOT(Table1[[#This Row],[Debits]]=0)),"bad","good")</f>
        <v>good</v>
      </c>
      <c r="O723" s="5"/>
    </row>
    <row r="724" spans="6:15" x14ac:dyDescent="0.3">
      <c r="F724">
        <f>MONTH(Table1[[#This Row],[Date  (DMY)]])</f>
        <v>1</v>
      </c>
      <c r="G724" s="2"/>
      <c r="L724" s="5"/>
      <c r="M724" s="4">
        <f>M723-Table1[[#This Row],[Debits]]+Table1[[#This Row],[Income]]</f>
        <v>1900</v>
      </c>
      <c r="N724" t="str">
        <f>IF(AND(Table1[[#This Row],[Category]]="pay",NOT(Table1[[#This Row],[Debits]]=0)),"bad","good")</f>
        <v>good</v>
      </c>
      <c r="O724" s="5"/>
    </row>
    <row r="725" spans="6:15" x14ac:dyDescent="0.3">
      <c r="F725">
        <f>MONTH(Table1[[#This Row],[Date  (DMY)]])</f>
        <v>1</v>
      </c>
      <c r="G725" s="2"/>
      <c r="L725" s="5"/>
      <c r="M725" s="4">
        <f>M724-Table1[[#This Row],[Debits]]+Table1[[#This Row],[Income]]</f>
        <v>1900</v>
      </c>
      <c r="N725" t="str">
        <f>IF(AND(Table1[[#This Row],[Category]]="pay",NOT(Table1[[#This Row],[Debits]]=0)),"bad","good")</f>
        <v>good</v>
      </c>
      <c r="O725" s="5"/>
    </row>
    <row r="726" spans="6:15" x14ac:dyDescent="0.3">
      <c r="F726">
        <f>MONTH(Table1[[#This Row],[Date  (DMY)]])</f>
        <v>1</v>
      </c>
      <c r="G726" s="2"/>
      <c r="L726" s="5"/>
      <c r="M726" s="4">
        <f>M725-Table1[[#This Row],[Debits]]+Table1[[#This Row],[Income]]</f>
        <v>1900</v>
      </c>
      <c r="N726" t="str">
        <f>IF(AND(Table1[[#This Row],[Category]]="pay",NOT(Table1[[#This Row],[Debits]]=0)),"bad","good")</f>
        <v>good</v>
      </c>
      <c r="O726" s="5"/>
    </row>
    <row r="727" spans="6:15" x14ac:dyDescent="0.3">
      <c r="F727">
        <f>MONTH(Table1[[#This Row],[Date  (DMY)]])</f>
        <v>1</v>
      </c>
      <c r="G727" s="2"/>
      <c r="L727" s="5"/>
      <c r="M727" s="4">
        <f>M726-Table1[[#This Row],[Debits]]+Table1[[#This Row],[Income]]</f>
        <v>1900</v>
      </c>
      <c r="N727" t="str">
        <f>IF(AND(Table1[[#This Row],[Category]]="pay",NOT(Table1[[#This Row],[Debits]]=0)),"bad","good")</f>
        <v>good</v>
      </c>
      <c r="O727" s="5"/>
    </row>
    <row r="728" spans="6:15" x14ac:dyDescent="0.3">
      <c r="F728">
        <f>MONTH(Table1[[#This Row],[Date  (DMY)]])</f>
        <v>1</v>
      </c>
      <c r="G728" s="2"/>
      <c r="L728" s="5"/>
      <c r="M728" s="4">
        <f>M727-Table1[[#This Row],[Debits]]+Table1[[#This Row],[Income]]</f>
        <v>1900</v>
      </c>
      <c r="N728" t="str">
        <f>IF(AND(Table1[[#This Row],[Category]]="pay",NOT(Table1[[#This Row],[Debits]]=0)),"bad","good")</f>
        <v>good</v>
      </c>
      <c r="O728" s="5"/>
    </row>
    <row r="729" spans="6:15" x14ac:dyDescent="0.3">
      <c r="F729">
        <f>MONTH(Table1[[#This Row],[Date  (DMY)]])</f>
        <v>1</v>
      </c>
      <c r="G729" s="2"/>
      <c r="L729" s="5"/>
      <c r="M729" s="4">
        <f>M728-Table1[[#This Row],[Debits]]+Table1[[#This Row],[Income]]</f>
        <v>1900</v>
      </c>
      <c r="N729" t="str">
        <f>IF(AND(Table1[[#This Row],[Category]]="pay",NOT(Table1[[#This Row],[Debits]]=0)),"bad","good")</f>
        <v>good</v>
      </c>
      <c r="O729" s="5"/>
    </row>
    <row r="730" spans="6:15" x14ac:dyDescent="0.3">
      <c r="F730">
        <f>MONTH(Table1[[#This Row],[Date  (DMY)]])</f>
        <v>1</v>
      </c>
      <c r="G730" s="2"/>
      <c r="L730" s="5"/>
      <c r="M730" s="4">
        <f>M729-Table1[[#This Row],[Debits]]+Table1[[#This Row],[Income]]</f>
        <v>1900</v>
      </c>
      <c r="N730" t="str">
        <f>IF(AND(Table1[[#This Row],[Category]]="pay",NOT(Table1[[#This Row],[Debits]]=0)),"bad","good")</f>
        <v>good</v>
      </c>
      <c r="O730" s="5"/>
    </row>
    <row r="731" spans="6:15" x14ac:dyDescent="0.3">
      <c r="F731">
        <f>MONTH(Table1[[#This Row],[Date  (DMY)]])</f>
        <v>1</v>
      </c>
      <c r="G731" s="2"/>
      <c r="L731" s="5"/>
      <c r="M731" s="4">
        <f>M730-Table1[[#This Row],[Debits]]+Table1[[#This Row],[Income]]</f>
        <v>1900</v>
      </c>
      <c r="N731" t="str">
        <f>IF(AND(Table1[[#This Row],[Category]]="pay",NOT(Table1[[#This Row],[Debits]]=0)),"bad","good")</f>
        <v>good</v>
      </c>
      <c r="O731" s="5"/>
    </row>
    <row r="732" spans="6:15" x14ac:dyDescent="0.3">
      <c r="F732">
        <f>MONTH(Table1[[#This Row],[Date  (DMY)]])</f>
        <v>1</v>
      </c>
      <c r="G732" s="2"/>
      <c r="L732" s="5"/>
      <c r="M732" s="4">
        <f>M731-Table1[[#This Row],[Debits]]+Table1[[#This Row],[Income]]</f>
        <v>1900</v>
      </c>
      <c r="N732" t="str">
        <f>IF(AND(Table1[[#This Row],[Category]]="pay",NOT(Table1[[#This Row],[Debits]]=0)),"bad","good")</f>
        <v>good</v>
      </c>
      <c r="O732" s="5"/>
    </row>
    <row r="733" spans="6:15" x14ac:dyDescent="0.3">
      <c r="F733">
        <f>MONTH(Table1[[#This Row],[Date  (DMY)]])</f>
        <v>1</v>
      </c>
      <c r="G733" s="2"/>
      <c r="L733" s="5"/>
      <c r="M733" s="4">
        <f>M732-Table1[[#This Row],[Debits]]+Table1[[#This Row],[Income]]</f>
        <v>1900</v>
      </c>
      <c r="N733" t="str">
        <f>IF(AND(Table1[[#This Row],[Category]]="pay",NOT(Table1[[#This Row],[Debits]]=0)),"bad","good")</f>
        <v>good</v>
      </c>
      <c r="O733" s="5"/>
    </row>
    <row r="734" spans="6:15" x14ac:dyDescent="0.3">
      <c r="F734">
        <f>MONTH(Table1[[#This Row],[Date  (DMY)]])</f>
        <v>1</v>
      </c>
      <c r="G734" s="2"/>
      <c r="L734" s="5"/>
      <c r="M734" s="4">
        <f>M733-Table1[[#This Row],[Debits]]+Table1[[#This Row],[Income]]</f>
        <v>1900</v>
      </c>
      <c r="N734" t="str">
        <f>IF(AND(Table1[[#This Row],[Category]]="pay",NOT(Table1[[#This Row],[Debits]]=0)),"bad","good")</f>
        <v>good</v>
      </c>
      <c r="O734" s="5"/>
    </row>
    <row r="735" spans="6:15" x14ac:dyDescent="0.3">
      <c r="F735">
        <f>MONTH(Table1[[#This Row],[Date  (DMY)]])</f>
        <v>1</v>
      </c>
      <c r="G735" s="2"/>
      <c r="L735" s="5"/>
      <c r="M735" s="4">
        <f>M734-Table1[[#This Row],[Debits]]+Table1[[#This Row],[Income]]</f>
        <v>1900</v>
      </c>
      <c r="N735" t="str">
        <f>IF(AND(Table1[[#This Row],[Category]]="pay",NOT(Table1[[#This Row],[Debits]]=0)),"bad","good")</f>
        <v>good</v>
      </c>
      <c r="O735" s="5"/>
    </row>
    <row r="736" spans="6:15" x14ac:dyDescent="0.3">
      <c r="F736">
        <f>MONTH(Table1[[#This Row],[Date  (DMY)]])</f>
        <v>1</v>
      </c>
      <c r="G736" s="2"/>
      <c r="L736" s="5"/>
      <c r="M736" s="4">
        <f>M735-Table1[[#This Row],[Debits]]+Table1[[#This Row],[Income]]</f>
        <v>1900</v>
      </c>
      <c r="N736" t="str">
        <f>IF(AND(Table1[[#This Row],[Category]]="pay",NOT(Table1[[#This Row],[Debits]]=0)),"bad","good")</f>
        <v>good</v>
      </c>
      <c r="O736" s="5"/>
    </row>
    <row r="737" spans="6:15" x14ac:dyDescent="0.3">
      <c r="F737">
        <f>MONTH(Table1[[#This Row],[Date  (DMY)]])</f>
        <v>1</v>
      </c>
      <c r="G737" s="2"/>
      <c r="L737" s="5"/>
      <c r="M737" s="4">
        <f>M736-Table1[[#This Row],[Debits]]+Table1[[#This Row],[Income]]</f>
        <v>1900</v>
      </c>
      <c r="N737" t="str">
        <f>IF(AND(Table1[[#This Row],[Category]]="pay",NOT(Table1[[#This Row],[Debits]]=0)),"bad","good")</f>
        <v>good</v>
      </c>
      <c r="O737" s="5"/>
    </row>
    <row r="738" spans="6:15" x14ac:dyDescent="0.3">
      <c r="F738">
        <f>MONTH(Table1[[#This Row],[Date  (DMY)]])</f>
        <v>1</v>
      </c>
      <c r="G738" s="2"/>
      <c r="L738" s="5"/>
      <c r="M738" s="4">
        <f>M737-Table1[[#This Row],[Debits]]+Table1[[#This Row],[Income]]</f>
        <v>1900</v>
      </c>
      <c r="N738" t="str">
        <f>IF(AND(Table1[[#This Row],[Category]]="pay",NOT(Table1[[#This Row],[Debits]]=0)),"bad","good")</f>
        <v>good</v>
      </c>
      <c r="O738" s="5"/>
    </row>
    <row r="739" spans="6:15" x14ac:dyDescent="0.3">
      <c r="F739">
        <f>MONTH(Table1[[#This Row],[Date  (DMY)]])</f>
        <v>1</v>
      </c>
      <c r="G739" s="2"/>
      <c r="L739" s="5"/>
      <c r="M739" s="4">
        <f>M738-Table1[[#This Row],[Debits]]+Table1[[#This Row],[Income]]</f>
        <v>1900</v>
      </c>
      <c r="N739" t="str">
        <f>IF(AND(Table1[[#This Row],[Category]]="pay",NOT(Table1[[#This Row],[Debits]]=0)),"bad","good")</f>
        <v>good</v>
      </c>
      <c r="O739" s="5"/>
    </row>
    <row r="740" spans="6:15" x14ac:dyDescent="0.3">
      <c r="F740">
        <f>MONTH(Table1[[#This Row],[Date  (DMY)]])</f>
        <v>1</v>
      </c>
      <c r="G740" s="2"/>
      <c r="L740" s="5"/>
      <c r="M740" s="4">
        <f>M739-Table1[[#This Row],[Debits]]+Table1[[#This Row],[Income]]</f>
        <v>1900</v>
      </c>
      <c r="N740" t="str">
        <f>IF(AND(Table1[[#This Row],[Category]]="pay",NOT(Table1[[#This Row],[Debits]]=0)),"bad","good")</f>
        <v>good</v>
      </c>
      <c r="O740" s="5"/>
    </row>
    <row r="741" spans="6:15" x14ac:dyDescent="0.3">
      <c r="F741">
        <f>MONTH(Table1[[#This Row],[Date  (DMY)]])</f>
        <v>1</v>
      </c>
      <c r="G741" s="2"/>
      <c r="L741" s="5"/>
      <c r="M741" s="4">
        <f>M740-Table1[[#This Row],[Debits]]+Table1[[#This Row],[Income]]</f>
        <v>1900</v>
      </c>
      <c r="N741" t="str">
        <f>IF(AND(Table1[[#This Row],[Category]]="pay",NOT(Table1[[#This Row],[Debits]]=0)),"bad","good")</f>
        <v>good</v>
      </c>
      <c r="O741" s="5"/>
    </row>
    <row r="742" spans="6:15" x14ac:dyDescent="0.3">
      <c r="F742">
        <f>MONTH(Table1[[#This Row],[Date  (DMY)]])</f>
        <v>1</v>
      </c>
      <c r="G742" s="2"/>
      <c r="L742" s="5"/>
      <c r="M742" s="4">
        <f>M741-Table1[[#This Row],[Debits]]+Table1[[#This Row],[Income]]</f>
        <v>1900</v>
      </c>
      <c r="N742" t="str">
        <f>IF(AND(Table1[[#This Row],[Category]]="pay",NOT(Table1[[#This Row],[Debits]]=0)),"bad","good")</f>
        <v>good</v>
      </c>
      <c r="O742" s="5"/>
    </row>
    <row r="743" spans="6:15" x14ac:dyDescent="0.3">
      <c r="F743">
        <f>MONTH(Table1[[#This Row],[Date  (DMY)]])</f>
        <v>1</v>
      </c>
      <c r="G743" s="2"/>
      <c r="L743" s="5"/>
      <c r="M743" s="4">
        <f>M742-Table1[[#This Row],[Debits]]+Table1[[#This Row],[Income]]</f>
        <v>1900</v>
      </c>
      <c r="N743" t="str">
        <f>IF(AND(Table1[[#This Row],[Category]]="pay",NOT(Table1[[#This Row],[Debits]]=0)),"bad","good")</f>
        <v>good</v>
      </c>
      <c r="O743" s="5"/>
    </row>
    <row r="744" spans="6:15" x14ac:dyDescent="0.3">
      <c r="F744">
        <f>MONTH(Table1[[#This Row],[Date  (DMY)]])</f>
        <v>1</v>
      </c>
      <c r="G744" s="2"/>
      <c r="L744" s="5"/>
      <c r="M744" s="4">
        <f>M743-Table1[[#This Row],[Debits]]+Table1[[#This Row],[Income]]</f>
        <v>1900</v>
      </c>
      <c r="N744" t="str">
        <f>IF(AND(Table1[[#This Row],[Category]]="pay",NOT(Table1[[#This Row],[Debits]]=0)),"bad","good")</f>
        <v>good</v>
      </c>
      <c r="O744" s="5"/>
    </row>
    <row r="745" spans="6:15" x14ac:dyDescent="0.3">
      <c r="F745">
        <f>MONTH(Table1[[#This Row],[Date  (DMY)]])</f>
        <v>1</v>
      </c>
      <c r="G745" s="2"/>
      <c r="L745" s="5"/>
      <c r="M745" s="4">
        <f>M744-Table1[[#This Row],[Debits]]+Table1[[#This Row],[Income]]</f>
        <v>1900</v>
      </c>
      <c r="N745" t="str">
        <f>IF(AND(Table1[[#This Row],[Category]]="pay",NOT(Table1[[#This Row],[Debits]]=0)),"bad","good")</f>
        <v>good</v>
      </c>
      <c r="O745" s="5"/>
    </row>
    <row r="746" spans="6:15" x14ac:dyDescent="0.3">
      <c r="F746">
        <f>MONTH(Table1[[#This Row],[Date  (DMY)]])</f>
        <v>1</v>
      </c>
      <c r="G746" s="2"/>
      <c r="L746" s="5"/>
      <c r="M746" s="4">
        <f>M745-Table1[[#This Row],[Debits]]+Table1[[#This Row],[Income]]</f>
        <v>1900</v>
      </c>
      <c r="N746" t="str">
        <f>IF(AND(Table1[[#This Row],[Category]]="pay",NOT(Table1[[#This Row],[Debits]]=0)),"bad","good")</f>
        <v>good</v>
      </c>
      <c r="O746" s="5"/>
    </row>
    <row r="747" spans="6:15" x14ac:dyDescent="0.3">
      <c r="F747">
        <f>MONTH(Table1[[#This Row],[Date  (DMY)]])</f>
        <v>1</v>
      </c>
      <c r="G747" s="2"/>
      <c r="L747" s="5"/>
      <c r="M747" s="4">
        <f>M746-Table1[[#This Row],[Debits]]+Table1[[#This Row],[Income]]</f>
        <v>1900</v>
      </c>
      <c r="N747" t="str">
        <f>IF(AND(Table1[[#This Row],[Category]]="pay",NOT(Table1[[#This Row],[Debits]]=0)),"bad","good")</f>
        <v>good</v>
      </c>
      <c r="O747" s="5"/>
    </row>
    <row r="748" spans="6:15" x14ac:dyDescent="0.3">
      <c r="F748">
        <f>MONTH(Table1[[#This Row],[Date  (DMY)]])</f>
        <v>1</v>
      </c>
      <c r="G748" s="2"/>
      <c r="L748" s="5"/>
      <c r="M748" s="4">
        <f>M747-Table1[[#This Row],[Debits]]+Table1[[#This Row],[Income]]</f>
        <v>1900</v>
      </c>
      <c r="N748" t="str">
        <f>IF(AND(Table1[[#This Row],[Category]]="pay",NOT(Table1[[#This Row],[Debits]]=0)),"bad","good")</f>
        <v>good</v>
      </c>
      <c r="O748" s="5"/>
    </row>
    <row r="749" spans="6:15" x14ac:dyDescent="0.3">
      <c r="F749">
        <f>MONTH(Table1[[#This Row],[Date  (DMY)]])</f>
        <v>1</v>
      </c>
      <c r="G749" s="2"/>
      <c r="L749" s="5"/>
      <c r="M749" s="4">
        <f>M748-Table1[[#This Row],[Debits]]+Table1[[#This Row],[Income]]</f>
        <v>1900</v>
      </c>
      <c r="N749" t="str">
        <f>IF(AND(Table1[[#This Row],[Category]]="pay",NOT(Table1[[#This Row],[Debits]]=0)),"bad","good")</f>
        <v>good</v>
      </c>
      <c r="O749" s="5"/>
    </row>
    <row r="750" spans="6:15" x14ac:dyDescent="0.3">
      <c r="F750">
        <f>MONTH(Table1[[#This Row],[Date  (DMY)]])</f>
        <v>1</v>
      </c>
      <c r="G750" s="2"/>
      <c r="L750" s="5"/>
      <c r="M750" s="4">
        <f>M749-Table1[[#This Row],[Debits]]+Table1[[#This Row],[Income]]</f>
        <v>1900</v>
      </c>
      <c r="N750" t="str">
        <f>IF(AND(Table1[[#This Row],[Category]]="pay",NOT(Table1[[#This Row],[Debits]]=0)),"bad","good")</f>
        <v>good</v>
      </c>
      <c r="O750" s="5"/>
    </row>
    <row r="751" spans="6:15" x14ac:dyDescent="0.3">
      <c r="F751">
        <f>MONTH(Table1[[#This Row],[Date  (DMY)]])</f>
        <v>1</v>
      </c>
      <c r="G751" s="2"/>
      <c r="L751" s="5"/>
      <c r="M751" s="4">
        <f>M750-Table1[[#This Row],[Debits]]+Table1[[#This Row],[Income]]</f>
        <v>1900</v>
      </c>
      <c r="N751" t="str">
        <f>IF(AND(Table1[[#This Row],[Category]]="pay",NOT(Table1[[#This Row],[Debits]]=0)),"bad","good")</f>
        <v>good</v>
      </c>
      <c r="O751" s="5"/>
    </row>
    <row r="752" spans="6:15" x14ac:dyDescent="0.3">
      <c r="F752">
        <f>MONTH(Table1[[#This Row],[Date  (DMY)]])</f>
        <v>1</v>
      </c>
      <c r="G752" s="2"/>
      <c r="L752" s="5"/>
      <c r="M752" s="4">
        <f>M751-Table1[[#This Row],[Debits]]+Table1[[#This Row],[Income]]</f>
        <v>1900</v>
      </c>
      <c r="N752" t="str">
        <f>IF(AND(Table1[[#This Row],[Category]]="pay",NOT(Table1[[#This Row],[Debits]]=0)),"bad","good")</f>
        <v>good</v>
      </c>
      <c r="O752" s="5"/>
    </row>
    <row r="753" spans="6:15" x14ac:dyDescent="0.3">
      <c r="F753">
        <f>MONTH(Table1[[#This Row],[Date  (DMY)]])</f>
        <v>1</v>
      </c>
      <c r="G753" s="2"/>
      <c r="L753" s="5"/>
      <c r="M753" s="4">
        <f>M752-Table1[[#This Row],[Debits]]+Table1[[#This Row],[Income]]</f>
        <v>1900</v>
      </c>
      <c r="N753" t="str">
        <f>IF(AND(Table1[[#This Row],[Category]]="pay",NOT(Table1[[#This Row],[Debits]]=0)),"bad","good")</f>
        <v>good</v>
      </c>
      <c r="O753" s="5"/>
    </row>
    <row r="754" spans="6:15" x14ac:dyDescent="0.3">
      <c r="F754">
        <f>MONTH(Table1[[#This Row],[Date  (DMY)]])</f>
        <v>1</v>
      </c>
      <c r="G754" s="2"/>
      <c r="L754" s="5"/>
      <c r="M754" s="4">
        <f>M753-Table1[[#This Row],[Debits]]+Table1[[#This Row],[Income]]</f>
        <v>1900</v>
      </c>
      <c r="N754" t="str">
        <f>IF(AND(Table1[[#This Row],[Category]]="pay",NOT(Table1[[#This Row],[Debits]]=0)),"bad","good")</f>
        <v>good</v>
      </c>
      <c r="O754" s="5"/>
    </row>
    <row r="755" spans="6:15" x14ac:dyDescent="0.3">
      <c r="F755">
        <f>MONTH(Table1[[#This Row],[Date  (DMY)]])</f>
        <v>1</v>
      </c>
      <c r="G755" s="2"/>
      <c r="L755" s="5"/>
      <c r="M755" s="4">
        <f>M754-Table1[[#This Row],[Debits]]+Table1[[#This Row],[Income]]</f>
        <v>1900</v>
      </c>
      <c r="N755" t="str">
        <f>IF(AND(Table1[[#This Row],[Category]]="pay",NOT(Table1[[#This Row],[Debits]]=0)),"bad","good")</f>
        <v>good</v>
      </c>
      <c r="O755" s="5"/>
    </row>
    <row r="756" spans="6:15" x14ac:dyDescent="0.3">
      <c r="F756">
        <f>MONTH(Table1[[#This Row],[Date  (DMY)]])</f>
        <v>1</v>
      </c>
      <c r="G756" s="2"/>
      <c r="L756" s="5"/>
      <c r="M756" s="4">
        <f>M755-Table1[[#This Row],[Debits]]+Table1[[#This Row],[Income]]</f>
        <v>1900</v>
      </c>
      <c r="N756" t="str">
        <f>IF(AND(Table1[[#This Row],[Category]]="pay",NOT(Table1[[#This Row],[Debits]]=0)),"bad","good")</f>
        <v>good</v>
      </c>
      <c r="O756" s="5"/>
    </row>
    <row r="757" spans="6:15" x14ac:dyDescent="0.3">
      <c r="F757">
        <f>MONTH(Table1[[#This Row],[Date  (DMY)]])</f>
        <v>1</v>
      </c>
      <c r="G757" s="2"/>
      <c r="L757" s="5"/>
      <c r="M757" s="4">
        <f>M756-Table1[[#This Row],[Debits]]+Table1[[#This Row],[Income]]</f>
        <v>1900</v>
      </c>
      <c r="N757" t="str">
        <f>IF(AND(Table1[[#This Row],[Category]]="pay",NOT(Table1[[#This Row],[Debits]]=0)),"bad","good")</f>
        <v>good</v>
      </c>
      <c r="O757" s="5"/>
    </row>
    <row r="758" spans="6:15" x14ac:dyDescent="0.3">
      <c r="F758">
        <f>MONTH(Table1[[#This Row],[Date  (DMY)]])</f>
        <v>1</v>
      </c>
      <c r="G758" s="2"/>
      <c r="L758" s="5"/>
      <c r="M758" s="4">
        <f>M757-Table1[[#This Row],[Debits]]+Table1[[#This Row],[Income]]</f>
        <v>1900</v>
      </c>
      <c r="N758" t="str">
        <f>IF(AND(Table1[[#This Row],[Category]]="pay",NOT(Table1[[#This Row],[Debits]]=0)),"bad","good")</f>
        <v>good</v>
      </c>
      <c r="O758" s="5"/>
    </row>
    <row r="759" spans="6:15" x14ac:dyDescent="0.3">
      <c r="F759">
        <f>MONTH(Table1[[#This Row],[Date  (DMY)]])</f>
        <v>1</v>
      </c>
      <c r="G759" s="2"/>
      <c r="L759" s="5"/>
      <c r="M759" s="4">
        <f>M758-Table1[[#This Row],[Debits]]+Table1[[#This Row],[Income]]</f>
        <v>1900</v>
      </c>
      <c r="N759" t="str">
        <f>IF(AND(Table1[[#This Row],[Category]]="pay",NOT(Table1[[#This Row],[Debits]]=0)),"bad","good")</f>
        <v>good</v>
      </c>
      <c r="O759" s="5"/>
    </row>
    <row r="760" spans="6:15" x14ac:dyDescent="0.3">
      <c r="F760">
        <f>MONTH(Table1[[#This Row],[Date  (DMY)]])</f>
        <v>1</v>
      </c>
      <c r="G760" s="2"/>
      <c r="L760" s="5"/>
      <c r="M760" s="4">
        <f>M759-Table1[[#This Row],[Debits]]+Table1[[#This Row],[Income]]</f>
        <v>1900</v>
      </c>
      <c r="N760" t="str">
        <f>IF(AND(Table1[[#This Row],[Category]]="pay",NOT(Table1[[#This Row],[Debits]]=0)),"bad","good")</f>
        <v>good</v>
      </c>
      <c r="O760" s="5"/>
    </row>
    <row r="761" spans="6:15" x14ac:dyDescent="0.3">
      <c r="F761">
        <f>MONTH(Table1[[#This Row],[Date  (DMY)]])</f>
        <v>1</v>
      </c>
      <c r="G761" s="2"/>
      <c r="L761" s="5"/>
      <c r="M761" s="4">
        <f>M760-Table1[[#This Row],[Debits]]+Table1[[#This Row],[Income]]</f>
        <v>1900</v>
      </c>
      <c r="N761" t="str">
        <f>IF(AND(Table1[[#This Row],[Category]]="pay",NOT(Table1[[#This Row],[Debits]]=0)),"bad","good")</f>
        <v>good</v>
      </c>
      <c r="O761" s="5"/>
    </row>
    <row r="762" spans="6:15" x14ac:dyDescent="0.3">
      <c r="F762">
        <f>MONTH(Table1[[#This Row],[Date  (DMY)]])</f>
        <v>1</v>
      </c>
      <c r="G762" s="2"/>
      <c r="L762" s="5"/>
      <c r="M762" s="4">
        <f>M761-Table1[[#This Row],[Debits]]+Table1[[#This Row],[Income]]</f>
        <v>1900</v>
      </c>
      <c r="N762" t="str">
        <f>IF(AND(Table1[[#This Row],[Category]]="pay",NOT(Table1[[#This Row],[Debits]]=0)),"bad","good")</f>
        <v>good</v>
      </c>
      <c r="O762" s="5"/>
    </row>
    <row r="763" spans="6:15" x14ac:dyDescent="0.3">
      <c r="F763">
        <f>MONTH(Table1[[#This Row],[Date  (DMY)]])</f>
        <v>1</v>
      </c>
      <c r="G763" s="2"/>
      <c r="L763" s="5"/>
      <c r="M763" s="4">
        <f>M762-Table1[[#This Row],[Debits]]+Table1[[#This Row],[Income]]</f>
        <v>1900</v>
      </c>
      <c r="N763" t="str">
        <f>IF(AND(Table1[[#This Row],[Category]]="pay",NOT(Table1[[#This Row],[Debits]]=0)),"bad","good")</f>
        <v>good</v>
      </c>
      <c r="O763" s="5"/>
    </row>
    <row r="764" spans="6:15" x14ac:dyDescent="0.3">
      <c r="F764">
        <f>MONTH(Table1[[#This Row],[Date  (DMY)]])</f>
        <v>1</v>
      </c>
      <c r="G764" s="2"/>
      <c r="L764" s="5"/>
      <c r="M764" s="4">
        <f>M763-Table1[[#This Row],[Debits]]+Table1[[#This Row],[Income]]</f>
        <v>1900</v>
      </c>
      <c r="N764" t="str">
        <f>IF(AND(Table1[[#This Row],[Category]]="pay",NOT(Table1[[#This Row],[Debits]]=0)),"bad","good")</f>
        <v>good</v>
      </c>
      <c r="O764" s="5"/>
    </row>
    <row r="765" spans="6:15" x14ac:dyDescent="0.3">
      <c r="F765">
        <f>MONTH(Table1[[#This Row],[Date  (DMY)]])</f>
        <v>1</v>
      </c>
      <c r="G765" s="2"/>
      <c r="L765" s="5"/>
      <c r="M765" s="4">
        <f>M764-Table1[[#This Row],[Debits]]+Table1[[#This Row],[Income]]</f>
        <v>1900</v>
      </c>
      <c r="N765" t="str">
        <f>IF(AND(Table1[[#This Row],[Category]]="pay",NOT(Table1[[#This Row],[Debits]]=0)),"bad","good")</f>
        <v>good</v>
      </c>
      <c r="O765" s="5"/>
    </row>
    <row r="766" spans="6:15" x14ac:dyDescent="0.3">
      <c r="F766">
        <f>MONTH(Table1[[#This Row],[Date  (DMY)]])</f>
        <v>1</v>
      </c>
      <c r="G766" s="2"/>
      <c r="L766" s="5"/>
      <c r="M766" s="4">
        <f>M765-Table1[[#This Row],[Debits]]+Table1[[#This Row],[Income]]</f>
        <v>1900</v>
      </c>
      <c r="N766" t="str">
        <f>IF(AND(Table1[[#This Row],[Category]]="pay",NOT(Table1[[#This Row],[Debits]]=0)),"bad","good")</f>
        <v>good</v>
      </c>
      <c r="O766" s="5"/>
    </row>
    <row r="767" spans="6:15" x14ac:dyDescent="0.3">
      <c r="F767">
        <f>MONTH(Table1[[#This Row],[Date  (DMY)]])</f>
        <v>1</v>
      </c>
      <c r="G767" s="2"/>
      <c r="L767" s="5"/>
      <c r="M767" s="4">
        <f>M766-Table1[[#This Row],[Debits]]+Table1[[#This Row],[Income]]</f>
        <v>1900</v>
      </c>
      <c r="N767" t="str">
        <f>IF(AND(Table1[[#This Row],[Category]]="pay",NOT(Table1[[#This Row],[Debits]]=0)),"bad","good")</f>
        <v>good</v>
      </c>
      <c r="O767" s="5"/>
    </row>
    <row r="768" spans="6:15" x14ac:dyDescent="0.3">
      <c r="F768">
        <f>MONTH(Table1[[#This Row],[Date  (DMY)]])</f>
        <v>1</v>
      </c>
      <c r="G768" s="2"/>
      <c r="L768" s="5"/>
      <c r="M768" s="4">
        <f>M767-Table1[[#This Row],[Debits]]+Table1[[#This Row],[Income]]</f>
        <v>1900</v>
      </c>
      <c r="N768" t="str">
        <f>IF(AND(Table1[[#This Row],[Category]]="pay",NOT(Table1[[#This Row],[Debits]]=0)),"bad","good")</f>
        <v>good</v>
      </c>
      <c r="O768" s="5"/>
    </row>
    <row r="769" spans="6:15" x14ac:dyDescent="0.3">
      <c r="F769">
        <f>MONTH(Table1[[#This Row],[Date  (DMY)]])</f>
        <v>1</v>
      </c>
      <c r="G769" s="2"/>
      <c r="L769" s="5"/>
      <c r="M769" s="4">
        <f>M768-Table1[[#This Row],[Debits]]+Table1[[#This Row],[Income]]</f>
        <v>1900</v>
      </c>
      <c r="N769" t="str">
        <f>IF(AND(Table1[[#This Row],[Category]]="pay",NOT(Table1[[#This Row],[Debits]]=0)),"bad","good")</f>
        <v>good</v>
      </c>
      <c r="O769" s="5"/>
    </row>
    <row r="770" spans="6:15" x14ac:dyDescent="0.3">
      <c r="F770">
        <f>MONTH(Table1[[#This Row],[Date  (DMY)]])</f>
        <v>1</v>
      </c>
      <c r="G770" s="2"/>
      <c r="L770" s="5"/>
      <c r="M770" s="4">
        <f>M769-Table1[[#This Row],[Debits]]+Table1[[#This Row],[Income]]</f>
        <v>1900</v>
      </c>
      <c r="N770" t="str">
        <f>IF(AND(Table1[[#This Row],[Category]]="pay",NOT(Table1[[#This Row],[Debits]]=0)),"bad","good")</f>
        <v>good</v>
      </c>
      <c r="O770" s="5"/>
    </row>
    <row r="771" spans="6:15" x14ac:dyDescent="0.3">
      <c r="F771">
        <f>MONTH(Table1[[#This Row],[Date  (DMY)]])</f>
        <v>1</v>
      </c>
      <c r="G771" s="2"/>
      <c r="L771" s="5"/>
      <c r="M771" s="4">
        <f>M770-Table1[[#This Row],[Debits]]+Table1[[#This Row],[Income]]</f>
        <v>1900</v>
      </c>
      <c r="N771" t="str">
        <f>IF(AND(Table1[[#This Row],[Category]]="pay",NOT(Table1[[#This Row],[Debits]]=0)),"bad","good")</f>
        <v>good</v>
      </c>
      <c r="O771" s="5"/>
    </row>
    <row r="772" spans="6:15" x14ac:dyDescent="0.3">
      <c r="F772">
        <f>MONTH(Table1[[#This Row],[Date  (DMY)]])</f>
        <v>1</v>
      </c>
      <c r="G772" s="2"/>
      <c r="L772" s="5"/>
      <c r="M772" s="4">
        <f>M771-Table1[[#This Row],[Debits]]+Table1[[#This Row],[Income]]</f>
        <v>1900</v>
      </c>
      <c r="N772" t="str">
        <f>IF(AND(Table1[[#This Row],[Category]]="pay",NOT(Table1[[#This Row],[Debits]]=0)),"bad","good")</f>
        <v>good</v>
      </c>
      <c r="O772" s="5"/>
    </row>
    <row r="773" spans="6:15" x14ac:dyDescent="0.3">
      <c r="F773">
        <f>MONTH(Table1[[#This Row],[Date  (DMY)]])</f>
        <v>1</v>
      </c>
      <c r="G773" s="2"/>
      <c r="L773" s="5"/>
      <c r="M773" s="4">
        <f>M772-Table1[[#This Row],[Debits]]+Table1[[#This Row],[Income]]</f>
        <v>1900</v>
      </c>
      <c r="N773" t="str">
        <f>IF(AND(Table1[[#This Row],[Category]]="pay",NOT(Table1[[#This Row],[Debits]]=0)),"bad","good")</f>
        <v>good</v>
      </c>
      <c r="O773" s="5"/>
    </row>
    <row r="774" spans="6:15" x14ac:dyDescent="0.3">
      <c r="F774">
        <f>MONTH(Table1[[#This Row],[Date  (DMY)]])</f>
        <v>1</v>
      </c>
      <c r="G774" s="2"/>
      <c r="L774" s="5"/>
      <c r="M774" s="4">
        <f>M773-Table1[[#This Row],[Debits]]+Table1[[#This Row],[Income]]</f>
        <v>1900</v>
      </c>
      <c r="N774" t="str">
        <f>IF(AND(Table1[[#This Row],[Category]]="pay",NOT(Table1[[#This Row],[Debits]]=0)),"bad","good")</f>
        <v>good</v>
      </c>
      <c r="O774" s="5"/>
    </row>
    <row r="775" spans="6:15" x14ac:dyDescent="0.3">
      <c r="F775">
        <f>MONTH(Table1[[#This Row],[Date  (DMY)]])</f>
        <v>1</v>
      </c>
      <c r="G775" s="2"/>
      <c r="L775" s="5"/>
      <c r="M775" s="4">
        <f>M774-Table1[[#This Row],[Debits]]+Table1[[#This Row],[Income]]</f>
        <v>1900</v>
      </c>
      <c r="N775" t="str">
        <f>IF(AND(Table1[[#This Row],[Category]]="pay",NOT(Table1[[#This Row],[Debits]]=0)),"bad","good")</f>
        <v>good</v>
      </c>
      <c r="O775" s="5"/>
    </row>
    <row r="776" spans="6:15" x14ac:dyDescent="0.3">
      <c r="F776">
        <f>MONTH(Table1[[#This Row],[Date  (DMY)]])</f>
        <v>1</v>
      </c>
      <c r="G776" s="2"/>
      <c r="L776" s="5"/>
      <c r="M776" s="4">
        <f>M775-Table1[[#This Row],[Debits]]+Table1[[#This Row],[Income]]</f>
        <v>1900</v>
      </c>
      <c r="N776" t="str">
        <f>IF(AND(Table1[[#This Row],[Category]]="pay",NOT(Table1[[#This Row],[Debits]]=0)),"bad","good")</f>
        <v>good</v>
      </c>
      <c r="O776" s="5"/>
    </row>
    <row r="777" spans="6:15" x14ac:dyDescent="0.3">
      <c r="F777">
        <f>MONTH(Table1[[#This Row],[Date  (DMY)]])</f>
        <v>1</v>
      </c>
      <c r="G777" s="2"/>
      <c r="L777" s="5"/>
      <c r="M777" s="4">
        <f>M776-Table1[[#This Row],[Debits]]+Table1[[#This Row],[Income]]</f>
        <v>1900</v>
      </c>
      <c r="N777" t="str">
        <f>IF(AND(Table1[[#This Row],[Category]]="pay",NOT(Table1[[#This Row],[Debits]]=0)),"bad","good")</f>
        <v>good</v>
      </c>
      <c r="O777" s="5"/>
    </row>
    <row r="778" spans="6:15" x14ac:dyDescent="0.3">
      <c r="F778">
        <f>MONTH(Table1[[#This Row],[Date  (DMY)]])</f>
        <v>1</v>
      </c>
      <c r="G778" s="2"/>
      <c r="L778" s="5"/>
      <c r="M778" s="4">
        <f>M777-Table1[[#This Row],[Debits]]+Table1[[#This Row],[Income]]</f>
        <v>1900</v>
      </c>
      <c r="N778" t="str">
        <f>IF(AND(Table1[[#This Row],[Category]]="pay",NOT(Table1[[#This Row],[Debits]]=0)),"bad","good")</f>
        <v>good</v>
      </c>
      <c r="O778" s="5"/>
    </row>
    <row r="779" spans="6:15" x14ac:dyDescent="0.3">
      <c r="F779">
        <f>MONTH(Table1[[#This Row],[Date  (DMY)]])</f>
        <v>1</v>
      </c>
      <c r="G779" s="2"/>
      <c r="L779" s="5"/>
      <c r="M779" s="4">
        <f>M778-Table1[[#This Row],[Debits]]+Table1[[#This Row],[Income]]</f>
        <v>1900</v>
      </c>
      <c r="N779" t="str">
        <f>IF(AND(Table1[[#This Row],[Category]]="pay",NOT(Table1[[#This Row],[Debits]]=0)),"bad","good")</f>
        <v>good</v>
      </c>
      <c r="O779" s="5"/>
    </row>
    <row r="780" spans="6:15" x14ac:dyDescent="0.3">
      <c r="F780">
        <f>MONTH(Table1[[#This Row],[Date  (DMY)]])</f>
        <v>1</v>
      </c>
      <c r="G780" s="2"/>
      <c r="L780" s="5"/>
      <c r="M780" s="4">
        <f>M779-Table1[[#This Row],[Debits]]+Table1[[#This Row],[Income]]</f>
        <v>1900</v>
      </c>
      <c r="N780" t="str">
        <f>IF(AND(Table1[[#This Row],[Category]]="pay",NOT(Table1[[#This Row],[Debits]]=0)),"bad","good")</f>
        <v>good</v>
      </c>
      <c r="O780" s="5"/>
    </row>
    <row r="781" spans="6:15" x14ac:dyDescent="0.3">
      <c r="F781">
        <f>MONTH(Table1[[#This Row],[Date  (DMY)]])</f>
        <v>1</v>
      </c>
      <c r="G781" s="2"/>
      <c r="L781" s="5"/>
      <c r="M781" s="4">
        <f>M780-Table1[[#This Row],[Debits]]+Table1[[#This Row],[Income]]</f>
        <v>1900</v>
      </c>
      <c r="N781" t="str">
        <f>IF(AND(Table1[[#This Row],[Category]]="pay",NOT(Table1[[#This Row],[Debits]]=0)),"bad","good")</f>
        <v>good</v>
      </c>
      <c r="O781" s="5"/>
    </row>
    <row r="782" spans="6:15" x14ac:dyDescent="0.3">
      <c r="F782">
        <f>MONTH(Table1[[#This Row],[Date  (DMY)]])</f>
        <v>1</v>
      </c>
      <c r="G782" s="2"/>
      <c r="L782" s="5"/>
      <c r="M782" s="4">
        <f>M781-Table1[[#This Row],[Debits]]+Table1[[#This Row],[Income]]</f>
        <v>1900</v>
      </c>
      <c r="N782" t="str">
        <f>IF(AND(Table1[[#This Row],[Category]]="pay",NOT(Table1[[#This Row],[Debits]]=0)),"bad","good")</f>
        <v>good</v>
      </c>
      <c r="O782" s="5"/>
    </row>
    <row r="783" spans="6:15" x14ac:dyDescent="0.3">
      <c r="F783">
        <f>MONTH(Table1[[#This Row],[Date  (DMY)]])</f>
        <v>1</v>
      </c>
      <c r="G783" s="2"/>
      <c r="L783" s="5"/>
      <c r="M783" s="4">
        <f>M782-Table1[[#This Row],[Debits]]+Table1[[#This Row],[Income]]</f>
        <v>1900</v>
      </c>
      <c r="N783" t="str">
        <f>IF(AND(Table1[[#This Row],[Category]]="pay",NOT(Table1[[#This Row],[Debits]]=0)),"bad","good")</f>
        <v>good</v>
      </c>
      <c r="O783" s="5"/>
    </row>
    <row r="784" spans="6:15" x14ac:dyDescent="0.3">
      <c r="F784">
        <f>MONTH(Table1[[#This Row],[Date  (DMY)]])</f>
        <v>1</v>
      </c>
      <c r="G784" s="2"/>
      <c r="L784" s="5"/>
      <c r="M784" s="4">
        <f>M783-Table1[[#This Row],[Debits]]+Table1[[#This Row],[Income]]</f>
        <v>1900</v>
      </c>
      <c r="N784" t="str">
        <f>IF(AND(Table1[[#This Row],[Category]]="pay",NOT(Table1[[#This Row],[Debits]]=0)),"bad","good")</f>
        <v>good</v>
      </c>
      <c r="O784" s="5"/>
    </row>
    <row r="785" spans="6:15" x14ac:dyDescent="0.3">
      <c r="F785">
        <f>MONTH(Table1[[#This Row],[Date  (DMY)]])</f>
        <v>1</v>
      </c>
      <c r="G785" s="2"/>
      <c r="L785" s="5"/>
      <c r="M785" s="4">
        <f>M784-Table1[[#This Row],[Debits]]+Table1[[#This Row],[Income]]</f>
        <v>1900</v>
      </c>
      <c r="N785" t="str">
        <f>IF(AND(Table1[[#This Row],[Category]]="pay",NOT(Table1[[#This Row],[Debits]]=0)),"bad","good")</f>
        <v>good</v>
      </c>
      <c r="O785" s="5"/>
    </row>
    <row r="786" spans="6:15" x14ac:dyDescent="0.3">
      <c r="F786">
        <f>MONTH(Table1[[#This Row],[Date  (DMY)]])</f>
        <v>1</v>
      </c>
      <c r="G786" s="2"/>
      <c r="L786" s="5"/>
      <c r="M786" s="4">
        <f>M785-Table1[[#This Row],[Debits]]+Table1[[#This Row],[Income]]</f>
        <v>1900</v>
      </c>
      <c r="N786" t="str">
        <f>IF(AND(Table1[[#This Row],[Category]]="pay",NOT(Table1[[#This Row],[Debits]]=0)),"bad","good")</f>
        <v>good</v>
      </c>
      <c r="O786" s="5"/>
    </row>
    <row r="787" spans="6:15" x14ac:dyDescent="0.3">
      <c r="F787">
        <f>MONTH(Table1[[#This Row],[Date  (DMY)]])</f>
        <v>1</v>
      </c>
      <c r="G787" s="2"/>
      <c r="L787" s="5"/>
      <c r="M787" s="4">
        <f>M786-Table1[[#This Row],[Debits]]+Table1[[#This Row],[Income]]</f>
        <v>1900</v>
      </c>
      <c r="N787" t="str">
        <f>IF(AND(Table1[[#This Row],[Category]]="pay",NOT(Table1[[#This Row],[Debits]]=0)),"bad","good")</f>
        <v>good</v>
      </c>
      <c r="O787" s="5"/>
    </row>
    <row r="788" spans="6:15" x14ac:dyDescent="0.3">
      <c r="F788">
        <f>MONTH(Table1[[#This Row],[Date  (DMY)]])</f>
        <v>1</v>
      </c>
      <c r="G788" s="2"/>
      <c r="L788" s="5"/>
      <c r="M788" s="4">
        <f>M787-Table1[[#This Row],[Debits]]+Table1[[#This Row],[Income]]</f>
        <v>1900</v>
      </c>
      <c r="N788" t="str">
        <f>IF(AND(Table1[[#This Row],[Category]]="pay",NOT(Table1[[#This Row],[Debits]]=0)),"bad","good")</f>
        <v>good</v>
      </c>
      <c r="O788" s="5"/>
    </row>
    <row r="789" spans="6:15" x14ac:dyDescent="0.3">
      <c r="F789">
        <f>MONTH(Table1[[#This Row],[Date  (DMY)]])</f>
        <v>1</v>
      </c>
      <c r="G789" s="2"/>
      <c r="L789" s="5"/>
      <c r="M789" s="4">
        <f>M788-Table1[[#This Row],[Debits]]+Table1[[#This Row],[Income]]</f>
        <v>1900</v>
      </c>
      <c r="N789" t="str">
        <f>IF(AND(Table1[[#This Row],[Category]]="pay",NOT(Table1[[#This Row],[Debits]]=0)),"bad","good")</f>
        <v>good</v>
      </c>
      <c r="O789" s="5"/>
    </row>
    <row r="790" spans="6:15" x14ac:dyDescent="0.3">
      <c r="F790">
        <f>MONTH(Table1[[#This Row],[Date  (DMY)]])</f>
        <v>1</v>
      </c>
      <c r="G790" s="2"/>
      <c r="L790" s="5"/>
      <c r="M790" s="4">
        <f>M789-Table1[[#This Row],[Debits]]+Table1[[#This Row],[Income]]</f>
        <v>1900</v>
      </c>
      <c r="N790" t="str">
        <f>IF(AND(Table1[[#This Row],[Category]]="pay",NOT(Table1[[#This Row],[Debits]]=0)),"bad","good")</f>
        <v>good</v>
      </c>
      <c r="O790" s="5"/>
    </row>
    <row r="791" spans="6:15" x14ac:dyDescent="0.3">
      <c r="F791">
        <f>MONTH(Table1[[#This Row],[Date  (DMY)]])</f>
        <v>1</v>
      </c>
      <c r="G791" s="2"/>
      <c r="L791" s="5"/>
      <c r="M791" s="4">
        <f>M790-Table1[[#This Row],[Debits]]+Table1[[#This Row],[Income]]</f>
        <v>1900</v>
      </c>
      <c r="N791" t="str">
        <f>IF(AND(Table1[[#This Row],[Category]]="pay",NOT(Table1[[#This Row],[Debits]]=0)),"bad","good")</f>
        <v>good</v>
      </c>
      <c r="O791" s="5"/>
    </row>
    <row r="792" spans="6:15" x14ac:dyDescent="0.3">
      <c r="F792">
        <f>MONTH(Table1[[#This Row],[Date  (DMY)]])</f>
        <v>1</v>
      </c>
      <c r="G792" s="2"/>
      <c r="L792" s="5"/>
      <c r="M792" s="4">
        <f>M791-Table1[[#This Row],[Debits]]+Table1[[#This Row],[Income]]</f>
        <v>1900</v>
      </c>
      <c r="N792" t="str">
        <f>IF(AND(Table1[[#This Row],[Category]]="pay",NOT(Table1[[#This Row],[Debits]]=0)),"bad","good")</f>
        <v>good</v>
      </c>
      <c r="O792" s="5"/>
    </row>
    <row r="793" spans="6:15" x14ac:dyDescent="0.3">
      <c r="F793">
        <f>MONTH(Table1[[#This Row],[Date  (DMY)]])</f>
        <v>1</v>
      </c>
      <c r="G793" s="2"/>
      <c r="L793" s="5"/>
      <c r="M793" s="4">
        <f>M792-Table1[[#This Row],[Debits]]+Table1[[#This Row],[Income]]</f>
        <v>1900</v>
      </c>
      <c r="N793" t="str">
        <f>IF(AND(Table1[[#This Row],[Category]]="pay",NOT(Table1[[#This Row],[Debits]]=0)),"bad","good")</f>
        <v>good</v>
      </c>
      <c r="O793" s="5"/>
    </row>
    <row r="794" spans="6:15" x14ac:dyDescent="0.3">
      <c r="F794">
        <f>MONTH(Table1[[#This Row],[Date  (DMY)]])</f>
        <v>1</v>
      </c>
      <c r="G794" s="2"/>
      <c r="L794" s="5"/>
      <c r="M794" s="4">
        <f>M793-Table1[[#This Row],[Debits]]+Table1[[#This Row],[Income]]</f>
        <v>1900</v>
      </c>
      <c r="N794" t="str">
        <f>IF(AND(Table1[[#This Row],[Category]]="pay",NOT(Table1[[#This Row],[Debits]]=0)),"bad","good")</f>
        <v>good</v>
      </c>
      <c r="O794" s="5"/>
    </row>
    <row r="795" spans="6:15" x14ac:dyDescent="0.3">
      <c r="F795">
        <f>MONTH(Table1[[#This Row],[Date  (DMY)]])</f>
        <v>1</v>
      </c>
      <c r="G795" s="2"/>
      <c r="L795" s="5"/>
      <c r="M795" s="4">
        <f>M794-Table1[[#This Row],[Debits]]+Table1[[#This Row],[Income]]</f>
        <v>1900</v>
      </c>
      <c r="N795" t="str">
        <f>IF(AND(Table1[[#This Row],[Category]]="pay",NOT(Table1[[#This Row],[Debits]]=0)),"bad","good")</f>
        <v>good</v>
      </c>
      <c r="O795" s="5"/>
    </row>
    <row r="796" spans="6:15" x14ac:dyDescent="0.3">
      <c r="F796">
        <f>MONTH(Table1[[#This Row],[Date  (DMY)]])</f>
        <v>1</v>
      </c>
      <c r="G796" s="2"/>
      <c r="L796" s="5"/>
      <c r="M796" s="4">
        <f>M795-Table1[[#This Row],[Debits]]+Table1[[#This Row],[Income]]</f>
        <v>1900</v>
      </c>
      <c r="N796" t="str">
        <f>IF(AND(Table1[[#This Row],[Category]]="pay",NOT(Table1[[#This Row],[Debits]]=0)),"bad","good")</f>
        <v>good</v>
      </c>
      <c r="O796" s="5"/>
    </row>
    <row r="797" spans="6:15" x14ac:dyDescent="0.3">
      <c r="F797">
        <f>MONTH(Table1[[#This Row],[Date  (DMY)]])</f>
        <v>1</v>
      </c>
      <c r="G797" s="2"/>
      <c r="L797" s="5"/>
      <c r="M797" s="4">
        <f>M796-Table1[[#This Row],[Debits]]+Table1[[#This Row],[Income]]</f>
        <v>1900</v>
      </c>
      <c r="N797" t="str">
        <f>IF(AND(Table1[[#This Row],[Category]]="pay",NOT(Table1[[#This Row],[Debits]]=0)),"bad","good")</f>
        <v>good</v>
      </c>
      <c r="O797" s="5"/>
    </row>
    <row r="798" spans="6:15" x14ac:dyDescent="0.3">
      <c r="F798">
        <f>MONTH(Table1[[#This Row],[Date  (DMY)]])</f>
        <v>1</v>
      </c>
      <c r="G798" s="2"/>
      <c r="L798" s="5"/>
      <c r="M798" s="4">
        <f>M797-Table1[[#This Row],[Debits]]+Table1[[#This Row],[Income]]</f>
        <v>1900</v>
      </c>
      <c r="N798" t="str">
        <f>IF(AND(Table1[[#This Row],[Category]]="pay",NOT(Table1[[#This Row],[Debits]]=0)),"bad","good")</f>
        <v>good</v>
      </c>
      <c r="O798" s="5"/>
    </row>
    <row r="799" spans="6:15" x14ac:dyDescent="0.3">
      <c r="F799">
        <f>MONTH(Table1[[#This Row],[Date  (DMY)]])</f>
        <v>1</v>
      </c>
      <c r="G799" s="2"/>
      <c r="L799" s="5"/>
      <c r="M799" s="4">
        <f>M798-Table1[[#This Row],[Debits]]+Table1[[#This Row],[Income]]</f>
        <v>1900</v>
      </c>
      <c r="N799" t="str">
        <f>IF(AND(Table1[[#This Row],[Category]]="pay",NOT(Table1[[#This Row],[Debits]]=0)),"bad","good")</f>
        <v>good</v>
      </c>
      <c r="O799" s="5"/>
    </row>
    <row r="800" spans="6:15" x14ac:dyDescent="0.3">
      <c r="F800">
        <f>MONTH(Table1[[#This Row],[Date  (DMY)]])</f>
        <v>1</v>
      </c>
      <c r="G800" s="2"/>
      <c r="L800" s="5"/>
      <c r="M800" s="4">
        <f>M799-Table1[[#This Row],[Debits]]+Table1[[#This Row],[Income]]</f>
        <v>1900</v>
      </c>
      <c r="N800" t="str">
        <f>IF(AND(Table1[[#This Row],[Category]]="pay",NOT(Table1[[#This Row],[Debits]]=0)),"bad","good")</f>
        <v>good</v>
      </c>
      <c r="O800" s="5"/>
    </row>
    <row r="801" spans="6:15" x14ac:dyDescent="0.3">
      <c r="F801">
        <f>MONTH(Table1[[#This Row],[Date  (DMY)]])</f>
        <v>1</v>
      </c>
      <c r="G801" s="2"/>
      <c r="L801" s="5"/>
      <c r="M801" s="4">
        <f>M800-Table1[[#This Row],[Debits]]+Table1[[#This Row],[Income]]</f>
        <v>1900</v>
      </c>
      <c r="N801" t="str">
        <f>IF(AND(Table1[[#This Row],[Category]]="pay",NOT(Table1[[#This Row],[Debits]]=0)),"bad","good")</f>
        <v>good</v>
      </c>
      <c r="O801" s="5"/>
    </row>
    <row r="802" spans="6:15" x14ac:dyDescent="0.3">
      <c r="F802">
        <f>MONTH(Table1[[#This Row],[Date  (DMY)]])</f>
        <v>1</v>
      </c>
      <c r="G802" s="2"/>
      <c r="L802" s="5"/>
      <c r="M802" s="4">
        <f>M801-Table1[[#This Row],[Debits]]+Table1[[#This Row],[Income]]</f>
        <v>1900</v>
      </c>
      <c r="N802" t="str">
        <f>IF(AND(Table1[[#This Row],[Category]]="pay",NOT(Table1[[#This Row],[Debits]]=0)),"bad","good")</f>
        <v>good</v>
      </c>
      <c r="O802" s="5"/>
    </row>
    <row r="803" spans="6:15" x14ac:dyDescent="0.3">
      <c r="F803">
        <f>MONTH(Table1[[#This Row],[Date  (DMY)]])</f>
        <v>1</v>
      </c>
      <c r="G803" s="2"/>
      <c r="L803" s="5"/>
      <c r="M803" s="4">
        <f>M802-Table1[[#This Row],[Debits]]+Table1[[#This Row],[Income]]</f>
        <v>1900</v>
      </c>
      <c r="N803" t="str">
        <f>IF(AND(Table1[[#This Row],[Category]]="pay",NOT(Table1[[#This Row],[Debits]]=0)),"bad","good")</f>
        <v>good</v>
      </c>
      <c r="O803" s="5"/>
    </row>
    <row r="804" spans="6:15" x14ac:dyDescent="0.3">
      <c r="F804">
        <f>MONTH(Table1[[#This Row],[Date  (DMY)]])</f>
        <v>1</v>
      </c>
      <c r="G804" s="2"/>
      <c r="L804" s="5"/>
      <c r="M804" s="4">
        <f>M803-Table1[[#This Row],[Debits]]+Table1[[#This Row],[Income]]</f>
        <v>1900</v>
      </c>
      <c r="N804" t="str">
        <f>IF(AND(Table1[[#This Row],[Category]]="pay",NOT(Table1[[#This Row],[Debits]]=0)),"bad","good")</f>
        <v>good</v>
      </c>
      <c r="O804" s="5"/>
    </row>
    <row r="805" spans="6:15" x14ac:dyDescent="0.3">
      <c r="F805">
        <f>MONTH(Table1[[#This Row],[Date  (DMY)]])</f>
        <v>1</v>
      </c>
      <c r="G805" s="2"/>
      <c r="L805" s="5"/>
      <c r="M805" s="4">
        <f>M804-Table1[[#This Row],[Debits]]+Table1[[#This Row],[Income]]</f>
        <v>1900</v>
      </c>
      <c r="N805" t="str">
        <f>IF(AND(Table1[[#This Row],[Category]]="pay",NOT(Table1[[#This Row],[Debits]]=0)),"bad","good")</f>
        <v>good</v>
      </c>
      <c r="O805" s="5"/>
    </row>
    <row r="806" spans="6:15" x14ac:dyDescent="0.3">
      <c r="F806">
        <f>MONTH(Table1[[#This Row],[Date  (DMY)]])</f>
        <v>1</v>
      </c>
      <c r="G806" s="2"/>
      <c r="L806" s="5"/>
      <c r="M806" s="4">
        <f>M805-Table1[[#This Row],[Debits]]+Table1[[#This Row],[Income]]</f>
        <v>1900</v>
      </c>
      <c r="N806" t="str">
        <f>IF(AND(Table1[[#This Row],[Category]]="pay",NOT(Table1[[#This Row],[Debits]]=0)),"bad","good")</f>
        <v>good</v>
      </c>
      <c r="O806" s="5"/>
    </row>
    <row r="807" spans="6:15" x14ac:dyDescent="0.3">
      <c r="F807">
        <f>MONTH(Table1[[#This Row],[Date  (DMY)]])</f>
        <v>1</v>
      </c>
      <c r="G807" s="2"/>
      <c r="L807" s="5"/>
      <c r="M807" s="4">
        <f>M806-Table1[[#This Row],[Debits]]+Table1[[#This Row],[Income]]</f>
        <v>1900</v>
      </c>
      <c r="N807" t="str">
        <f>IF(AND(Table1[[#This Row],[Category]]="pay",NOT(Table1[[#This Row],[Debits]]=0)),"bad","good")</f>
        <v>good</v>
      </c>
      <c r="O807" s="5"/>
    </row>
    <row r="808" spans="6:15" x14ac:dyDescent="0.3">
      <c r="F808">
        <f>MONTH(Table1[[#This Row],[Date  (DMY)]])</f>
        <v>1</v>
      </c>
      <c r="G808" s="2"/>
      <c r="L808" s="5"/>
      <c r="M808" s="4">
        <f>M807-Table1[[#This Row],[Debits]]+Table1[[#This Row],[Income]]</f>
        <v>1900</v>
      </c>
      <c r="N808" t="str">
        <f>IF(AND(Table1[[#This Row],[Category]]="pay",NOT(Table1[[#This Row],[Debits]]=0)),"bad","good")</f>
        <v>good</v>
      </c>
      <c r="O808" s="5"/>
    </row>
    <row r="809" spans="6:15" x14ac:dyDescent="0.3">
      <c r="F809">
        <f>MONTH(Table1[[#This Row],[Date  (DMY)]])</f>
        <v>1</v>
      </c>
      <c r="G809" s="2"/>
      <c r="L809" s="5"/>
      <c r="M809" s="4">
        <f>M808-Table1[[#This Row],[Debits]]+Table1[[#This Row],[Income]]</f>
        <v>1900</v>
      </c>
      <c r="N809" t="str">
        <f>IF(AND(Table1[[#This Row],[Category]]="pay",NOT(Table1[[#This Row],[Debits]]=0)),"bad","good")</f>
        <v>good</v>
      </c>
      <c r="O809" s="5"/>
    </row>
    <row r="810" spans="6:15" x14ac:dyDescent="0.3">
      <c r="F810">
        <f>MONTH(Table1[[#This Row],[Date  (DMY)]])</f>
        <v>1</v>
      </c>
      <c r="G810" s="2"/>
      <c r="L810" s="5"/>
      <c r="M810" s="4">
        <f>M809-Table1[[#This Row],[Debits]]+Table1[[#This Row],[Income]]</f>
        <v>1900</v>
      </c>
      <c r="N810" t="str">
        <f>IF(AND(Table1[[#This Row],[Category]]="pay",NOT(Table1[[#This Row],[Debits]]=0)),"bad","good")</f>
        <v>good</v>
      </c>
      <c r="O810" s="5"/>
    </row>
    <row r="811" spans="6:15" x14ac:dyDescent="0.3">
      <c r="F811">
        <f>MONTH(Table1[[#This Row],[Date  (DMY)]])</f>
        <v>1</v>
      </c>
      <c r="G811" s="2"/>
      <c r="L811" s="5"/>
      <c r="M811" s="4">
        <f>M810-Table1[[#This Row],[Debits]]+Table1[[#This Row],[Income]]</f>
        <v>1900</v>
      </c>
      <c r="N811" t="str">
        <f>IF(AND(Table1[[#This Row],[Category]]="pay",NOT(Table1[[#This Row],[Debits]]=0)),"bad","good")</f>
        <v>good</v>
      </c>
      <c r="O811" s="5"/>
    </row>
    <row r="812" spans="6:15" x14ac:dyDescent="0.3">
      <c r="F812">
        <f>MONTH(Table1[[#This Row],[Date  (DMY)]])</f>
        <v>1</v>
      </c>
      <c r="G812" s="2"/>
      <c r="L812" s="5"/>
      <c r="M812" s="4">
        <f>M811-Table1[[#This Row],[Debits]]+Table1[[#This Row],[Income]]</f>
        <v>1900</v>
      </c>
      <c r="N812" t="str">
        <f>IF(AND(Table1[[#This Row],[Category]]="pay",NOT(Table1[[#This Row],[Debits]]=0)),"bad","good")</f>
        <v>good</v>
      </c>
      <c r="O812" s="5"/>
    </row>
    <row r="813" spans="6:15" x14ac:dyDescent="0.3">
      <c r="F813">
        <f>MONTH(Table1[[#This Row],[Date  (DMY)]])</f>
        <v>1</v>
      </c>
      <c r="G813" s="2"/>
      <c r="L813" s="5"/>
      <c r="M813" s="4">
        <f>M812-Table1[[#This Row],[Debits]]+Table1[[#This Row],[Income]]</f>
        <v>1900</v>
      </c>
      <c r="N813" t="str">
        <f>IF(AND(Table1[[#This Row],[Category]]="pay",NOT(Table1[[#This Row],[Debits]]=0)),"bad","good")</f>
        <v>good</v>
      </c>
      <c r="O813" s="5"/>
    </row>
    <row r="814" spans="6:15" x14ac:dyDescent="0.3">
      <c r="F814">
        <f>MONTH(Table1[[#This Row],[Date  (DMY)]])</f>
        <v>1</v>
      </c>
      <c r="G814" s="2"/>
      <c r="L814" s="5"/>
      <c r="M814" s="4">
        <f>M813-Table1[[#This Row],[Debits]]+Table1[[#This Row],[Income]]</f>
        <v>1900</v>
      </c>
      <c r="N814" t="str">
        <f>IF(AND(Table1[[#This Row],[Category]]="pay",NOT(Table1[[#This Row],[Debits]]=0)),"bad","good")</f>
        <v>good</v>
      </c>
      <c r="O814" s="5"/>
    </row>
    <row r="815" spans="6:15" x14ac:dyDescent="0.3">
      <c r="F815">
        <f>MONTH(Table1[[#This Row],[Date  (DMY)]])</f>
        <v>1</v>
      </c>
      <c r="G815" s="2"/>
      <c r="L815" s="5"/>
      <c r="M815" s="4">
        <f>M814-Table1[[#This Row],[Debits]]+Table1[[#This Row],[Income]]</f>
        <v>1900</v>
      </c>
      <c r="N815" t="str">
        <f>IF(AND(Table1[[#This Row],[Category]]="pay",NOT(Table1[[#This Row],[Debits]]=0)),"bad","good")</f>
        <v>good</v>
      </c>
      <c r="O815" s="5"/>
    </row>
    <row r="816" spans="6:15" x14ac:dyDescent="0.3">
      <c r="F816">
        <f>MONTH(Table1[[#This Row],[Date  (DMY)]])</f>
        <v>1</v>
      </c>
      <c r="G816" s="2"/>
      <c r="L816" s="5"/>
      <c r="M816" s="4">
        <f>M815-Table1[[#This Row],[Debits]]+Table1[[#This Row],[Income]]</f>
        <v>1900</v>
      </c>
      <c r="N816" t="str">
        <f>IF(AND(Table1[[#This Row],[Category]]="pay",NOT(Table1[[#This Row],[Debits]]=0)),"bad","good")</f>
        <v>good</v>
      </c>
      <c r="O816" s="5"/>
    </row>
    <row r="817" spans="6:15" x14ac:dyDescent="0.3">
      <c r="F817">
        <f>MONTH(Table1[[#This Row],[Date  (DMY)]])</f>
        <v>1</v>
      </c>
      <c r="G817" s="2"/>
      <c r="L817" s="5"/>
      <c r="M817" s="4">
        <f>M816-Table1[[#This Row],[Debits]]+Table1[[#This Row],[Income]]</f>
        <v>1900</v>
      </c>
      <c r="N817" t="str">
        <f>IF(AND(Table1[[#This Row],[Category]]="pay",NOT(Table1[[#This Row],[Debits]]=0)),"bad","good")</f>
        <v>good</v>
      </c>
      <c r="O817" s="5"/>
    </row>
    <row r="818" spans="6:15" x14ac:dyDescent="0.3">
      <c r="F818">
        <f>MONTH(Table1[[#This Row],[Date  (DMY)]])</f>
        <v>1</v>
      </c>
      <c r="G818" s="2"/>
      <c r="L818" s="5"/>
      <c r="M818" s="4">
        <f>M817-Table1[[#This Row],[Debits]]+Table1[[#This Row],[Income]]</f>
        <v>1900</v>
      </c>
      <c r="N818" t="str">
        <f>IF(AND(Table1[[#This Row],[Category]]="pay",NOT(Table1[[#This Row],[Debits]]=0)),"bad","good")</f>
        <v>good</v>
      </c>
      <c r="O818" s="5"/>
    </row>
    <row r="819" spans="6:15" x14ac:dyDescent="0.3">
      <c r="F819">
        <f>MONTH(Table1[[#This Row],[Date  (DMY)]])</f>
        <v>1</v>
      </c>
      <c r="G819" s="2"/>
      <c r="L819" s="5"/>
      <c r="M819" s="4">
        <f>M818-Table1[[#This Row],[Debits]]+Table1[[#This Row],[Income]]</f>
        <v>1900</v>
      </c>
      <c r="N819" t="str">
        <f>IF(AND(Table1[[#This Row],[Category]]="pay",NOT(Table1[[#This Row],[Debits]]=0)),"bad","good")</f>
        <v>good</v>
      </c>
      <c r="O819" s="5"/>
    </row>
    <row r="820" spans="6:15" x14ac:dyDescent="0.3">
      <c r="F820">
        <f>MONTH(Table1[[#This Row],[Date  (DMY)]])</f>
        <v>1</v>
      </c>
      <c r="G820" s="2"/>
      <c r="L820" s="5"/>
      <c r="M820" s="4">
        <f>M819-Table1[[#This Row],[Debits]]+Table1[[#This Row],[Income]]</f>
        <v>1900</v>
      </c>
      <c r="N820" t="str">
        <f>IF(AND(Table1[[#This Row],[Category]]="pay",NOT(Table1[[#This Row],[Debits]]=0)),"bad","good")</f>
        <v>good</v>
      </c>
      <c r="O820" s="5"/>
    </row>
    <row r="821" spans="6:15" x14ac:dyDescent="0.3">
      <c r="F821">
        <f>MONTH(Table1[[#This Row],[Date  (DMY)]])</f>
        <v>1</v>
      </c>
      <c r="G821" s="2"/>
      <c r="L821" s="5"/>
      <c r="M821" s="4">
        <f>M820-Table1[[#This Row],[Debits]]+Table1[[#This Row],[Income]]</f>
        <v>1900</v>
      </c>
      <c r="N821" t="str">
        <f>IF(AND(Table1[[#This Row],[Category]]="pay",NOT(Table1[[#This Row],[Debits]]=0)),"bad","good")</f>
        <v>good</v>
      </c>
      <c r="O821" s="5"/>
    </row>
    <row r="822" spans="6:15" x14ac:dyDescent="0.3">
      <c r="F822">
        <f>MONTH(Table1[[#This Row],[Date  (DMY)]])</f>
        <v>1</v>
      </c>
      <c r="G822" s="2"/>
      <c r="L822" s="5"/>
      <c r="M822" s="4">
        <f>M821-Table1[[#This Row],[Debits]]+Table1[[#This Row],[Income]]</f>
        <v>1900</v>
      </c>
      <c r="N822" t="str">
        <f>IF(AND(Table1[[#This Row],[Category]]="pay",NOT(Table1[[#This Row],[Debits]]=0)),"bad","good")</f>
        <v>good</v>
      </c>
      <c r="O822" s="5"/>
    </row>
    <row r="823" spans="6:15" x14ac:dyDescent="0.3">
      <c r="F823">
        <f>MONTH(Table1[[#This Row],[Date  (DMY)]])</f>
        <v>1</v>
      </c>
      <c r="G823" s="2"/>
      <c r="L823" s="5"/>
      <c r="M823" s="4">
        <f>M822-Table1[[#This Row],[Debits]]+Table1[[#This Row],[Income]]</f>
        <v>1900</v>
      </c>
      <c r="N823" t="str">
        <f>IF(AND(Table1[[#This Row],[Category]]="pay",NOT(Table1[[#This Row],[Debits]]=0)),"bad","good")</f>
        <v>good</v>
      </c>
      <c r="O823" s="5"/>
    </row>
    <row r="824" spans="6:15" x14ac:dyDescent="0.3">
      <c r="F824">
        <f>MONTH(Table1[[#This Row],[Date  (DMY)]])</f>
        <v>1</v>
      </c>
      <c r="G824" s="2"/>
      <c r="L824" s="5"/>
      <c r="M824" s="4">
        <f>M823-Table1[[#This Row],[Debits]]+Table1[[#This Row],[Income]]</f>
        <v>1900</v>
      </c>
      <c r="N824" t="str">
        <f>IF(AND(Table1[[#This Row],[Category]]="pay",NOT(Table1[[#This Row],[Debits]]=0)),"bad","good")</f>
        <v>good</v>
      </c>
      <c r="O824" s="5"/>
    </row>
    <row r="825" spans="6:15" x14ac:dyDescent="0.3">
      <c r="F825">
        <f>MONTH(Table1[[#This Row],[Date  (DMY)]])</f>
        <v>1</v>
      </c>
      <c r="G825" s="2"/>
      <c r="L825" s="5"/>
      <c r="M825" s="4">
        <f>M824-Table1[[#This Row],[Debits]]+Table1[[#This Row],[Income]]</f>
        <v>1900</v>
      </c>
      <c r="N825" t="str">
        <f>IF(AND(Table1[[#This Row],[Category]]="pay",NOT(Table1[[#This Row],[Debits]]=0)),"bad","good")</f>
        <v>good</v>
      </c>
      <c r="O825" s="5"/>
    </row>
    <row r="826" spans="6:15" x14ac:dyDescent="0.3">
      <c r="F826">
        <f>MONTH(Table1[[#This Row],[Date  (DMY)]])</f>
        <v>1</v>
      </c>
      <c r="G826" s="2"/>
      <c r="L826" s="5"/>
      <c r="M826" s="4">
        <f>M825-Table1[[#This Row],[Debits]]+Table1[[#This Row],[Income]]</f>
        <v>1900</v>
      </c>
      <c r="N826" t="str">
        <f>IF(AND(Table1[[#This Row],[Category]]="pay",NOT(Table1[[#This Row],[Debits]]=0)),"bad","good")</f>
        <v>good</v>
      </c>
      <c r="O826" s="5"/>
    </row>
    <row r="827" spans="6:15" x14ac:dyDescent="0.3">
      <c r="F827">
        <f>MONTH(Table1[[#This Row],[Date  (DMY)]])</f>
        <v>1</v>
      </c>
      <c r="G827" s="2"/>
      <c r="L827" s="5"/>
      <c r="M827" s="4">
        <f>M826-Table1[[#This Row],[Debits]]+Table1[[#This Row],[Income]]</f>
        <v>1900</v>
      </c>
      <c r="N827" t="str">
        <f>IF(AND(Table1[[#This Row],[Category]]="pay",NOT(Table1[[#This Row],[Debits]]=0)),"bad","good")</f>
        <v>good</v>
      </c>
      <c r="O827" s="5"/>
    </row>
    <row r="828" spans="6:15" x14ac:dyDescent="0.3">
      <c r="F828">
        <f>MONTH(Table1[[#This Row],[Date  (DMY)]])</f>
        <v>1</v>
      </c>
      <c r="G828" s="2"/>
      <c r="L828" s="5"/>
      <c r="M828" s="4">
        <f>M827-Table1[[#This Row],[Debits]]+Table1[[#This Row],[Income]]</f>
        <v>1900</v>
      </c>
      <c r="N828" t="str">
        <f>IF(AND(Table1[[#This Row],[Category]]="pay",NOT(Table1[[#This Row],[Debits]]=0)),"bad","good")</f>
        <v>good</v>
      </c>
      <c r="O828" s="5"/>
    </row>
    <row r="829" spans="6:15" x14ac:dyDescent="0.3">
      <c r="F829">
        <f>MONTH(Table1[[#This Row],[Date  (DMY)]])</f>
        <v>1</v>
      </c>
      <c r="G829" s="2"/>
      <c r="L829" s="5"/>
      <c r="M829" s="4">
        <f>M828-Table1[[#This Row],[Debits]]+Table1[[#This Row],[Income]]</f>
        <v>1900</v>
      </c>
      <c r="N829" t="str">
        <f>IF(AND(Table1[[#This Row],[Category]]="pay",NOT(Table1[[#This Row],[Debits]]=0)),"bad","good")</f>
        <v>good</v>
      </c>
      <c r="O829" s="5"/>
    </row>
    <row r="830" spans="6:15" x14ac:dyDescent="0.3">
      <c r="F830">
        <f>MONTH(Table1[[#This Row],[Date  (DMY)]])</f>
        <v>1</v>
      </c>
      <c r="G830" s="2"/>
      <c r="L830" s="5"/>
      <c r="M830" s="4">
        <f>M829-Table1[[#This Row],[Debits]]+Table1[[#This Row],[Income]]</f>
        <v>1900</v>
      </c>
      <c r="N830" t="str">
        <f>IF(AND(Table1[[#This Row],[Category]]="pay",NOT(Table1[[#This Row],[Debits]]=0)),"bad","good")</f>
        <v>good</v>
      </c>
      <c r="O830" s="5"/>
    </row>
    <row r="831" spans="6:15" x14ac:dyDescent="0.3">
      <c r="F831">
        <f>MONTH(Table1[[#This Row],[Date  (DMY)]])</f>
        <v>1</v>
      </c>
      <c r="G831" s="2"/>
      <c r="L831" s="5"/>
      <c r="M831" s="4">
        <f>M830-Table1[[#This Row],[Debits]]+Table1[[#This Row],[Income]]</f>
        <v>1900</v>
      </c>
      <c r="N831" t="str">
        <f>IF(AND(Table1[[#This Row],[Category]]="pay",NOT(Table1[[#This Row],[Debits]]=0)),"bad","good")</f>
        <v>good</v>
      </c>
      <c r="O831" s="5"/>
    </row>
    <row r="832" spans="6:15" x14ac:dyDescent="0.3">
      <c r="F832">
        <f>MONTH(Table1[[#This Row],[Date  (DMY)]])</f>
        <v>1</v>
      </c>
      <c r="G832" s="2"/>
      <c r="L832" s="5"/>
      <c r="M832" s="4">
        <f>M831-Table1[[#This Row],[Debits]]+Table1[[#This Row],[Income]]</f>
        <v>1900</v>
      </c>
      <c r="N832" t="str">
        <f>IF(AND(Table1[[#This Row],[Category]]="pay",NOT(Table1[[#This Row],[Debits]]=0)),"bad","good")</f>
        <v>good</v>
      </c>
      <c r="O832" s="5"/>
    </row>
    <row r="833" spans="6:15" x14ac:dyDescent="0.3">
      <c r="F833">
        <f>MONTH(Table1[[#This Row],[Date  (DMY)]])</f>
        <v>1</v>
      </c>
      <c r="G833" s="2"/>
      <c r="L833" s="5"/>
      <c r="M833" s="4">
        <f>M832-Table1[[#This Row],[Debits]]+Table1[[#This Row],[Income]]</f>
        <v>1900</v>
      </c>
      <c r="N833" t="str">
        <f>IF(AND(Table1[[#This Row],[Category]]="pay",NOT(Table1[[#This Row],[Debits]]=0)),"bad","good")</f>
        <v>good</v>
      </c>
      <c r="O833" s="5"/>
    </row>
    <row r="834" spans="6:15" x14ac:dyDescent="0.3">
      <c r="F834">
        <f>MONTH(Table1[[#This Row],[Date  (DMY)]])</f>
        <v>1</v>
      </c>
      <c r="G834" s="2"/>
      <c r="L834" s="5"/>
      <c r="M834" s="4">
        <f>M833-Table1[[#This Row],[Debits]]+Table1[[#This Row],[Income]]</f>
        <v>1900</v>
      </c>
      <c r="N834" t="str">
        <f>IF(AND(Table1[[#This Row],[Category]]="pay",NOT(Table1[[#This Row],[Debits]]=0)),"bad","good")</f>
        <v>good</v>
      </c>
      <c r="O834" s="5"/>
    </row>
    <row r="835" spans="6:15" x14ac:dyDescent="0.3">
      <c r="F835">
        <f>MONTH(Table1[[#This Row],[Date  (DMY)]])</f>
        <v>1</v>
      </c>
      <c r="G835" s="2"/>
      <c r="L835" s="5"/>
      <c r="M835" s="4">
        <f>M834-Table1[[#This Row],[Debits]]+Table1[[#This Row],[Income]]</f>
        <v>1900</v>
      </c>
      <c r="N835" t="str">
        <f>IF(AND(Table1[[#This Row],[Category]]="pay",NOT(Table1[[#This Row],[Debits]]=0)),"bad","good")</f>
        <v>good</v>
      </c>
      <c r="O835" s="5"/>
    </row>
    <row r="836" spans="6:15" x14ac:dyDescent="0.3">
      <c r="F836">
        <f>MONTH(Table1[[#This Row],[Date  (DMY)]])</f>
        <v>1</v>
      </c>
      <c r="G836" s="2"/>
      <c r="L836" s="5"/>
      <c r="M836" s="4">
        <f>M835-Table1[[#This Row],[Debits]]+Table1[[#This Row],[Income]]</f>
        <v>1900</v>
      </c>
      <c r="N836" t="str">
        <f>IF(AND(Table1[[#This Row],[Category]]="pay",NOT(Table1[[#This Row],[Debits]]=0)),"bad","good")</f>
        <v>good</v>
      </c>
      <c r="O836" s="5"/>
    </row>
    <row r="837" spans="6:15" x14ac:dyDescent="0.3">
      <c r="F837">
        <f>MONTH(Table1[[#This Row],[Date  (DMY)]])</f>
        <v>1</v>
      </c>
      <c r="G837" s="2"/>
      <c r="L837" s="5"/>
      <c r="M837" s="4">
        <f>M836-Table1[[#This Row],[Debits]]+Table1[[#This Row],[Income]]</f>
        <v>1900</v>
      </c>
      <c r="N837" t="str">
        <f>IF(AND(Table1[[#This Row],[Category]]="pay",NOT(Table1[[#This Row],[Debits]]=0)),"bad","good")</f>
        <v>good</v>
      </c>
      <c r="O837" s="5"/>
    </row>
    <row r="838" spans="6:15" x14ac:dyDescent="0.3">
      <c r="F838">
        <f>MONTH(Table1[[#This Row],[Date  (DMY)]])</f>
        <v>1</v>
      </c>
      <c r="G838" s="2"/>
      <c r="L838" s="5"/>
      <c r="M838" s="4">
        <f>M837-Table1[[#This Row],[Debits]]+Table1[[#This Row],[Income]]</f>
        <v>1900</v>
      </c>
      <c r="N838" t="str">
        <f>IF(AND(Table1[[#This Row],[Category]]="pay",NOT(Table1[[#This Row],[Debits]]=0)),"bad","good")</f>
        <v>good</v>
      </c>
      <c r="O838" s="5"/>
    </row>
    <row r="839" spans="6:15" x14ac:dyDescent="0.3">
      <c r="F839">
        <f>MONTH(Table1[[#This Row],[Date  (DMY)]])</f>
        <v>1</v>
      </c>
      <c r="G839" s="2"/>
      <c r="L839" s="5"/>
      <c r="M839" s="4">
        <f>M838-Table1[[#This Row],[Debits]]+Table1[[#This Row],[Income]]</f>
        <v>1900</v>
      </c>
      <c r="N839" t="str">
        <f>IF(AND(Table1[[#This Row],[Category]]="pay",NOT(Table1[[#This Row],[Debits]]=0)),"bad","good")</f>
        <v>good</v>
      </c>
      <c r="O839" s="5"/>
    </row>
    <row r="840" spans="6:15" x14ac:dyDescent="0.3">
      <c r="F840">
        <f>MONTH(Table1[[#This Row],[Date  (DMY)]])</f>
        <v>1</v>
      </c>
      <c r="G840" s="2"/>
      <c r="L840" s="5"/>
      <c r="M840" s="4">
        <f>M839-Table1[[#This Row],[Debits]]+Table1[[#This Row],[Income]]</f>
        <v>1900</v>
      </c>
      <c r="N840" t="str">
        <f>IF(AND(Table1[[#This Row],[Category]]="pay",NOT(Table1[[#This Row],[Debits]]=0)),"bad","good")</f>
        <v>good</v>
      </c>
      <c r="O840" s="5"/>
    </row>
    <row r="841" spans="6:15" x14ac:dyDescent="0.3">
      <c r="F841">
        <f>MONTH(Table1[[#This Row],[Date  (DMY)]])</f>
        <v>1</v>
      </c>
      <c r="G841" s="2"/>
      <c r="L841" s="5"/>
      <c r="M841" s="4">
        <f>M840-Table1[[#This Row],[Debits]]+Table1[[#This Row],[Income]]</f>
        <v>1900</v>
      </c>
      <c r="N841" t="str">
        <f>IF(AND(Table1[[#This Row],[Category]]="pay",NOT(Table1[[#This Row],[Debits]]=0)),"bad","good")</f>
        <v>good</v>
      </c>
      <c r="O841" s="5"/>
    </row>
    <row r="842" spans="6:15" x14ac:dyDescent="0.3">
      <c r="F842">
        <f>MONTH(Table1[[#This Row],[Date  (DMY)]])</f>
        <v>1</v>
      </c>
      <c r="G842" s="2"/>
      <c r="L842" s="5"/>
      <c r="M842" s="4">
        <f>M841-Table1[[#This Row],[Debits]]+Table1[[#This Row],[Income]]</f>
        <v>1900</v>
      </c>
      <c r="N842" t="str">
        <f>IF(AND(Table1[[#This Row],[Category]]="pay",NOT(Table1[[#This Row],[Debits]]=0)),"bad","good")</f>
        <v>good</v>
      </c>
      <c r="O842" s="5"/>
    </row>
    <row r="843" spans="6:15" x14ac:dyDescent="0.3">
      <c r="F843">
        <f>MONTH(Table1[[#This Row],[Date  (DMY)]])</f>
        <v>1</v>
      </c>
      <c r="G843" s="2"/>
      <c r="L843" s="5"/>
      <c r="M843" s="4">
        <f>M842-Table1[[#This Row],[Debits]]+Table1[[#This Row],[Income]]</f>
        <v>1900</v>
      </c>
      <c r="N843" t="str">
        <f>IF(AND(Table1[[#This Row],[Category]]="pay",NOT(Table1[[#This Row],[Debits]]=0)),"bad","good")</f>
        <v>good</v>
      </c>
      <c r="O843" s="5"/>
    </row>
    <row r="844" spans="6:15" x14ac:dyDescent="0.3">
      <c r="F844">
        <f>MONTH(Table1[[#This Row],[Date  (DMY)]])</f>
        <v>1</v>
      </c>
      <c r="G844" s="2"/>
      <c r="L844" s="5"/>
      <c r="M844" s="4">
        <f>M843-Table1[[#This Row],[Debits]]+Table1[[#This Row],[Income]]</f>
        <v>1900</v>
      </c>
      <c r="N844" t="str">
        <f>IF(AND(Table1[[#This Row],[Category]]="pay",NOT(Table1[[#This Row],[Debits]]=0)),"bad","good")</f>
        <v>good</v>
      </c>
      <c r="O844" s="5"/>
    </row>
    <row r="845" spans="6:15" x14ac:dyDescent="0.3">
      <c r="F845">
        <f>MONTH(Table1[[#This Row],[Date  (DMY)]])</f>
        <v>1</v>
      </c>
      <c r="G845" s="2"/>
      <c r="L845" s="5"/>
      <c r="M845" s="4">
        <f>M844-Table1[[#This Row],[Debits]]+Table1[[#This Row],[Income]]</f>
        <v>1900</v>
      </c>
      <c r="N845" t="str">
        <f>IF(AND(Table1[[#This Row],[Category]]="pay",NOT(Table1[[#This Row],[Debits]]=0)),"bad","good")</f>
        <v>good</v>
      </c>
      <c r="O845" s="5"/>
    </row>
    <row r="846" spans="6:15" x14ac:dyDescent="0.3">
      <c r="F846">
        <f>MONTH(Table1[[#This Row],[Date  (DMY)]])</f>
        <v>1</v>
      </c>
      <c r="G846" s="2"/>
      <c r="L846" s="5"/>
      <c r="M846" s="4">
        <f>M845-Table1[[#This Row],[Debits]]+Table1[[#This Row],[Income]]</f>
        <v>1900</v>
      </c>
      <c r="N846" t="str">
        <f>IF(AND(Table1[[#This Row],[Category]]="pay",NOT(Table1[[#This Row],[Debits]]=0)),"bad","good")</f>
        <v>good</v>
      </c>
      <c r="O846" s="5"/>
    </row>
    <row r="847" spans="6:15" x14ac:dyDescent="0.3">
      <c r="F847">
        <f>MONTH(Table1[[#This Row],[Date  (DMY)]])</f>
        <v>1</v>
      </c>
      <c r="G847" s="2"/>
      <c r="L847" s="5"/>
      <c r="M847" s="4">
        <f>M846-Table1[[#This Row],[Debits]]+Table1[[#This Row],[Income]]</f>
        <v>1900</v>
      </c>
      <c r="N847" t="str">
        <f>IF(AND(Table1[[#This Row],[Category]]="pay",NOT(Table1[[#This Row],[Debits]]=0)),"bad","good")</f>
        <v>good</v>
      </c>
      <c r="O847" s="5"/>
    </row>
    <row r="848" spans="6:15" x14ac:dyDescent="0.3">
      <c r="F848">
        <f>MONTH(Table1[[#This Row],[Date  (DMY)]])</f>
        <v>1</v>
      </c>
      <c r="G848" s="2"/>
      <c r="L848" s="5"/>
      <c r="M848" s="4">
        <f>M847-Table1[[#This Row],[Debits]]+Table1[[#This Row],[Income]]</f>
        <v>1900</v>
      </c>
      <c r="N848" t="str">
        <f>IF(AND(Table1[[#This Row],[Category]]="pay",NOT(Table1[[#This Row],[Debits]]=0)),"bad","good")</f>
        <v>good</v>
      </c>
      <c r="O848" s="5"/>
    </row>
    <row r="849" spans="6:15" x14ac:dyDescent="0.3">
      <c r="F849">
        <f>MONTH(Table1[[#This Row],[Date  (DMY)]])</f>
        <v>1</v>
      </c>
      <c r="G849" s="2"/>
      <c r="L849" s="5"/>
      <c r="M849" s="4">
        <f>M848-Table1[[#This Row],[Debits]]+Table1[[#This Row],[Income]]</f>
        <v>1900</v>
      </c>
      <c r="N849" t="str">
        <f>IF(AND(Table1[[#This Row],[Category]]="pay",NOT(Table1[[#This Row],[Debits]]=0)),"bad","good")</f>
        <v>good</v>
      </c>
      <c r="O849" s="5"/>
    </row>
    <row r="850" spans="6:15" x14ac:dyDescent="0.3">
      <c r="F850">
        <f>MONTH(Table1[[#This Row],[Date  (DMY)]])</f>
        <v>1</v>
      </c>
      <c r="G850" s="2"/>
      <c r="L850" s="5"/>
      <c r="M850" s="4">
        <f>M849-Table1[[#This Row],[Debits]]+Table1[[#This Row],[Income]]</f>
        <v>1900</v>
      </c>
      <c r="N850" t="str">
        <f>IF(AND(Table1[[#This Row],[Category]]="pay",NOT(Table1[[#This Row],[Debits]]=0)),"bad","good")</f>
        <v>good</v>
      </c>
      <c r="O850" s="5"/>
    </row>
    <row r="851" spans="6:15" x14ac:dyDescent="0.3">
      <c r="F851">
        <f>MONTH(Table1[[#This Row],[Date  (DMY)]])</f>
        <v>1</v>
      </c>
      <c r="G851" s="2"/>
      <c r="L851" s="5"/>
      <c r="M851" s="4">
        <f>M850-Table1[[#This Row],[Debits]]+Table1[[#This Row],[Income]]</f>
        <v>1900</v>
      </c>
      <c r="N851" t="str">
        <f>IF(AND(Table1[[#This Row],[Category]]="pay",NOT(Table1[[#This Row],[Debits]]=0)),"bad","good")</f>
        <v>good</v>
      </c>
      <c r="O851" s="5"/>
    </row>
    <row r="852" spans="6:15" x14ac:dyDescent="0.3">
      <c r="F852">
        <f>MONTH(Table1[[#This Row],[Date  (DMY)]])</f>
        <v>1</v>
      </c>
      <c r="G852" s="2"/>
      <c r="L852" s="5"/>
      <c r="M852" s="4">
        <f>M851-Table1[[#This Row],[Debits]]+Table1[[#This Row],[Income]]</f>
        <v>1900</v>
      </c>
      <c r="N852" t="str">
        <f>IF(AND(Table1[[#This Row],[Category]]="pay",NOT(Table1[[#This Row],[Debits]]=0)),"bad","good")</f>
        <v>good</v>
      </c>
      <c r="O852" s="5"/>
    </row>
    <row r="853" spans="6:15" x14ac:dyDescent="0.3">
      <c r="F853">
        <f>MONTH(Table1[[#This Row],[Date  (DMY)]])</f>
        <v>1</v>
      </c>
      <c r="G853" s="2"/>
      <c r="L853" s="5"/>
      <c r="M853" s="4">
        <f>M852-Table1[[#This Row],[Debits]]+Table1[[#This Row],[Income]]</f>
        <v>1900</v>
      </c>
      <c r="N853" t="str">
        <f>IF(AND(Table1[[#This Row],[Category]]="pay",NOT(Table1[[#This Row],[Debits]]=0)),"bad","good")</f>
        <v>good</v>
      </c>
      <c r="O853" s="5"/>
    </row>
    <row r="854" spans="6:15" x14ac:dyDescent="0.3">
      <c r="F854">
        <f>MONTH(Table1[[#This Row],[Date  (DMY)]])</f>
        <v>1</v>
      </c>
      <c r="G854" s="2"/>
      <c r="L854" s="5"/>
      <c r="M854" s="4">
        <f>M853-Table1[[#This Row],[Debits]]+Table1[[#This Row],[Income]]</f>
        <v>1900</v>
      </c>
      <c r="N854" t="str">
        <f>IF(AND(Table1[[#This Row],[Category]]="pay",NOT(Table1[[#This Row],[Debits]]=0)),"bad","good")</f>
        <v>good</v>
      </c>
      <c r="O854" s="5"/>
    </row>
    <row r="855" spans="6:15" x14ac:dyDescent="0.3">
      <c r="F855">
        <f>MONTH(Table1[[#This Row],[Date  (DMY)]])</f>
        <v>1</v>
      </c>
      <c r="G855" s="2"/>
      <c r="L855" s="5"/>
      <c r="M855" s="4">
        <f>M854-Table1[[#This Row],[Debits]]+Table1[[#This Row],[Income]]</f>
        <v>1900</v>
      </c>
      <c r="N855" t="str">
        <f>IF(AND(Table1[[#This Row],[Category]]="pay",NOT(Table1[[#This Row],[Debits]]=0)),"bad","good")</f>
        <v>good</v>
      </c>
      <c r="O855" s="5"/>
    </row>
    <row r="856" spans="6:15" x14ac:dyDescent="0.3">
      <c r="F856">
        <f>MONTH(Table1[[#This Row],[Date  (DMY)]])</f>
        <v>1</v>
      </c>
      <c r="G856" s="2"/>
      <c r="L856" s="5"/>
      <c r="M856" s="4">
        <f>M855-Table1[[#This Row],[Debits]]+Table1[[#This Row],[Income]]</f>
        <v>1900</v>
      </c>
      <c r="N856" t="str">
        <f>IF(AND(Table1[[#This Row],[Category]]="pay",NOT(Table1[[#This Row],[Debits]]=0)),"bad","good")</f>
        <v>good</v>
      </c>
      <c r="O856" s="5"/>
    </row>
    <row r="857" spans="6:15" x14ac:dyDescent="0.3">
      <c r="F857">
        <f>MONTH(Table1[[#This Row],[Date  (DMY)]])</f>
        <v>1</v>
      </c>
      <c r="G857" s="2"/>
      <c r="L857" s="5"/>
      <c r="M857" s="4">
        <f>M856-Table1[[#This Row],[Debits]]+Table1[[#This Row],[Income]]</f>
        <v>1900</v>
      </c>
      <c r="N857" t="str">
        <f>IF(AND(Table1[[#This Row],[Category]]="pay",NOT(Table1[[#This Row],[Debits]]=0)),"bad","good")</f>
        <v>good</v>
      </c>
      <c r="O857" s="5"/>
    </row>
    <row r="858" spans="6:15" x14ac:dyDescent="0.3">
      <c r="F858">
        <f>MONTH(Table1[[#This Row],[Date  (DMY)]])</f>
        <v>1</v>
      </c>
      <c r="G858" s="2"/>
      <c r="L858" s="5"/>
      <c r="M858" s="4">
        <f>M857-Table1[[#This Row],[Debits]]+Table1[[#This Row],[Income]]</f>
        <v>1900</v>
      </c>
      <c r="N858" t="str">
        <f>IF(AND(Table1[[#This Row],[Category]]="pay",NOT(Table1[[#This Row],[Debits]]=0)),"bad","good")</f>
        <v>good</v>
      </c>
      <c r="O858" s="5"/>
    </row>
    <row r="859" spans="6:15" x14ac:dyDescent="0.3">
      <c r="F859">
        <f>MONTH(Table1[[#This Row],[Date  (DMY)]])</f>
        <v>1</v>
      </c>
      <c r="G859" s="2"/>
      <c r="L859" s="5"/>
      <c r="M859" s="4">
        <f>M858-Table1[[#This Row],[Debits]]+Table1[[#This Row],[Income]]</f>
        <v>1900</v>
      </c>
      <c r="N859" t="str">
        <f>IF(AND(Table1[[#This Row],[Category]]="pay",NOT(Table1[[#This Row],[Debits]]=0)),"bad","good")</f>
        <v>good</v>
      </c>
      <c r="O859" s="5"/>
    </row>
    <row r="860" spans="6:15" x14ac:dyDescent="0.3">
      <c r="F860">
        <f>MONTH(Table1[[#This Row],[Date  (DMY)]])</f>
        <v>1</v>
      </c>
      <c r="G860" s="2"/>
      <c r="L860" s="5"/>
      <c r="M860" s="4">
        <f>M859-Table1[[#This Row],[Debits]]+Table1[[#This Row],[Income]]</f>
        <v>1900</v>
      </c>
      <c r="N860" t="str">
        <f>IF(AND(Table1[[#This Row],[Category]]="pay",NOT(Table1[[#This Row],[Debits]]=0)),"bad","good")</f>
        <v>good</v>
      </c>
      <c r="O860" s="5"/>
    </row>
    <row r="861" spans="6:15" x14ac:dyDescent="0.3">
      <c r="F861">
        <f>MONTH(Table1[[#This Row],[Date  (DMY)]])</f>
        <v>1</v>
      </c>
      <c r="G861" s="2"/>
      <c r="L861" s="5"/>
      <c r="M861" s="4">
        <f>M860-Table1[[#This Row],[Debits]]+Table1[[#This Row],[Income]]</f>
        <v>1900</v>
      </c>
      <c r="N861" t="str">
        <f>IF(AND(Table1[[#This Row],[Category]]="pay",NOT(Table1[[#This Row],[Debits]]=0)),"bad","good")</f>
        <v>good</v>
      </c>
      <c r="O861" s="5"/>
    </row>
    <row r="862" spans="6:15" x14ac:dyDescent="0.3">
      <c r="F862">
        <f>MONTH(Table1[[#This Row],[Date  (DMY)]])</f>
        <v>1</v>
      </c>
      <c r="G862" s="2"/>
      <c r="L862" s="5"/>
      <c r="M862" s="4">
        <f>M861-Table1[[#This Row],[Debits]]+Table1[[#This Row],[Income]]</f>
        <v>1900</v>
      </c>
      <c r="N862" t="str">
        <f>IF(AND(Table1[[#This Row],[Category]]="pay",NOT(Table1[[#This Row],[Debits]]=0)),"bad","good")</f>
        <v>good</v>
      </c>
      <c r="O862" s="5"/>
    </row>
    <row r="863" spans="6:15" x14ac:dyDescent="0.3">
      <c r="F863">
        <f>MONTH(Table1[[#This Row],[Date  (DMY)]])</f>
        <v>1</v>
      </c>
      <c r="G863" s="2"/>
      <c r="L863" s="5"/>
      <c r="M863" s="4">
        <f>M862-Table1[[#This Row],[Debits]]+Table1[[#This Row],[Income]]</f>
        <v>1900</v>
      </c>
      <c r="N863" t="str">
        <f>IF(AND(Table1[[#This Row],[Category]]="pay",NOT(Table1[[#This Row],[Debits]]=0)),"bad","good")</f>
        <v>good</v>
      </c>
      <c r="O863" s="5"/>
    </row>
    <row r="864" spans="6:15" x14ac:dyDescent="0.3">
      <c r="F864">
        <f>MONTH(Table1[[#This Row],[Date  (DMY)]])</f>
        <v>1</v>
      </c>
      <c r="G864" s="2"/>
      <c r="L864" s="5"/>
      <c r="M864" s="4">
        <f>M863-Table1[[#This Row],[Debits]]+Table1[[#This Row],[Income]]</f>
        <v>1900</v>
      </c>
      <c r="N864" t="str">
        <f>IF(AND(Table1[[#This Row],[Category]]="pay",NOT(Table1[[#This Row],[Debits]]=0)),"bad","good")</f>
        <v>good</v>
      </c>
      <c r="O864" s="5"/>
    </row>
    <row r="865" spans="6:15" x14ac:dyDescent="0.3">
      <c r="F865">
        <f>MONTH(Table1[[#This Row],[Date  (DMY)]])</f>
        <v>1</v>
      </c>
      <c r="G865" s="2"/>
      <c r="L865" s="5"/>
      <c r="M865" s="4">
        <f>M864-Table1[[#This Row],[Debits]]+Table1[[#This Row],[Income]]</f>
        <v>1900</v>
      </c>
      <c r="N865" t="str">
        <f>IF(AND(Table1[[#This Row],[Category]]="pay",NOT(Table1[[#This Row],[Debits]]=0)),"bad","good")</f>
        <v>good</v>
      </c>
      <c r="O865" s="5"/>
    </row>
    <row r="866" spans="6:15" x14ac:dyDescent="0.3">
      <c r="F866">
        <f>MONTH(Table1[[#This Row],[Date  (DMY)]])</f>
        <v>1</v>
      </c>
      <c r="G866" s="2"/>
      <c r="L866" s="5"/>
      <c r="M866" s="4">
        <f>M865-Table1[[#This Row],[Debits]]+Table1[[#This Row],[Income]]</f>
        <v>1900</v>
      </c>
      <c r="N866" t="str">
        <f>IF(AND(Table1[[#This Row],[Category]]="pay",NOT(Table1[[#This Row],[Debits]]=0)),"bad","good")</f>
        <v>good</v>
      </c>
      <c r="O866" s="5"/>
    </row>
    <row r="867" spans="6:15" x14ac:dyDescent="0.3">
      <c r="F867">
        <f>MONTH(Table1[[#This Row],[Date  (DMY)]])</f>
        <v>1</v>
      </c>
      <c r="G867" s="2"/>
      <c r="L867" s="5"/>
      <c r="M867" s="4">
        <f>M866-Table1[[#This Row],[Debits]]+Table1[[#This Row],[Income]]</f>
        <v>1900</v>
      </c>
      <c r="N867" t="str">
        <f>IF(AND(Table1[[#This Row],[Category]]="pay",NOT(Table1[[#This Row],[Debits]]=0)),"bad","good")</f>
        <v>good</v>
      </c>
      <c r="O867" s="5"/>
    </row>
    <row r="868" spans="6:15" x14ac:dyDescent="0.3">
      <c r="F868">
        <f>MONTH(Table1[[#This Row],[Date  (DMY)]])</f>
        <v>1</v>
      </c>
      <c r="G868" s="2"/>
      <c r="L868" s="5"/>
      <c r="M868" s="4">
        <f>M867-Table1[[#This Row],[Debits]]+Table1[[#This Row],[Income]]</f>
        <v>1900</v>
      </c>
      <c r="N868" t="str">
        <f>IF(AND(Table1[[#This Row],[Category]]="pay",NOT(Table1[[#This Row],[Debits]]=0)),"bad","good")</f>
        <v>good</v>
      </c>
      <c r="O868" s="5"/>
    </row>
    <row r="869" spans="6:15" x14ac:dyDescent="0.3">
      <c r="F869">
        <f>MONTH(Table1[[#This Row],[Date  (DMY)]])</f>
        <v>1</v>
      </c>
      <c r="G869" s="2"/>
      <c r="L869" s="5"/>
      <c r="M869" s="4">
        <f>M868-Table1[[#This Row],[Debits]]+Table1[[#This Row],[Income]]</f>
        <v>1900</v>
      </c>
      <c r="N869" t="str">
        <f>IF(AND(Table1[[#This Row],[Category]]="pay",NOT(Table1[[#This Row],[Debits]]=0)),"bad","good")</f>
        <v>good</v>
      </c>
      <c r="O869" s="5"/>
    </row>
    <row r="870" spans="6:15" x14ac:dyDescent="0.3">
      <c r="F870">
        <f>MONTH(Table1[[#This Row],[Date  (DMY)]])</f>
        <v>1</v>
      </c>
      <c r="G870" s="2"/>
      <c r="L870" s="5"/>
      <c r="M870" s="4">
        <f>M869-Table1[[#This Row],[Debits]]+Table1[[#This Row],[Income]]</f>
        <v>1900</v>
      </c>
      <c r="N870" t="str">
        <f>IF(AND(Table1[[#This Row],[Category]]="pay",NOT(Table1[[#This Row],[Debits]]=0)),"bad","good")</f>
        <v>good</v>
      </c>
      <c r="O870" s="5"/>
    </row>
    <row r="871" spans="6:15" x14ac:dyDescent="0.3">
      <c r="F871">
        <f>MONTH(Table1[[#This Row],[Date  (DMY)]])</f>
        <v>1</v>
      </c>
      <c r="G871" s="2"/>
      <c r="L871" s="5"/>
      <c r="M871" s="4">
        <f>M870-Table1[[#This Row],[Debits]]+Table1[[#This Row],[Income]]</f>
        <v>1900</v>
      </c>
      <c r="N871" t="str">
        <f>IF(AND(Table1[[#This Row],[Category]]="pay",NOT(Table1[[#This Row],[Debits]]=0)),"bad","good")</f>
        <v>good</v>
      </c>
      <c r="O871" s="5"/>
    </row>
    <row r="872" spans="6:15" x14ac:dyDescent="0.3">
      <c r="F872">
        <f>MONTH(Table1[[#This Row],[Date  (DMY)]])</f>
        <v>1</v>
      </c>
      <c r="G872" s="2"/>
      <c r="L872" s="5"/>
      <c r="M872" s="4">
        <f>M871-Table1[[#This Row],[Debits]]+Table1[[#This Row],[Income]]</f>
        <v>1900</v>
      </c>
      <c r="N872" t="str">
        <f>IF(AND(Table1[[#This Row],[Category]]="pay",NOT(Table1[[#This Row],[Debits]]=0)),"bad","good")</f>
        <v>good</v>
      </c>
      <c r="O872" s="5"/>
    </row>
    <row r="873" spans="6:15" x14ac:dyDescent="0.3">
      <c r="F873">
        <f>MONTH(Table1[[#This Row],[Date  (DMY)]])</f>
        <v>1</v>
      </c>
      <c r="G873" s="2"/>
      <c r="L873" s="5"/>
      <c r="M873" s="4">
        <f>M872-Table1[[#This Row],[Debits]]+Table1[[#This Row],[Income]]</f>
        <v>1900</v>
      </c>
      <c r="N873" t="str">
        <f>IF(AND(Table1[[#This Row],[Category]]="pay",NOT(Table1[[#This Row],[Debits]]=0)),"bad","good")</f>
        <v>good</v>
      </c>
      <c r="O873" s="5"/>
    </row>
    <row r="874" spans="6:15" x14ac:dyDescent="0.3">
      <c r="F874">
        <f>MONTH(Table1[[#This Row],[Date  (DMY)]])</f>
        <v>1</v>
      </c>
      <c r="G874" s="2"/>
      <c r="L874" s="5"/>
      <c r="M874" s="4">
        <f>M873-Table1[[#This Row],[Debits]]+Table1[[#This Row],[Income]]</f>
        <v>1900</v>
      </c>
      <c r="N874" t="str">
        <f>IF(AND(Table1[[#This Row],[Category]]="pay",NOT(Table1[[#This Row],[Debits]]=0)),"bad","good")</f>
        <v>good</v>
      </c>
      <c r="O874" s="5"/>
    </row>
    <row r="875" spans="6:15" x14ac:dyDescent="0.3">
      <c r="F875">
        <f>MONTH(Table1[[#This Row],[Date  (DMY)]])</f>
        <v>1</v>
      </c>
      <c r="G875" s="2"/>
      <c r="L875" s="5"/>
      <c r="M875" s="4">
        <f>M874-Table1[[#This Row],[Debits]]+Table1[[#This Row],[Income]]</f>
        <v>1900</v>
      </c>
      <c r="N875" t="str">
        <f>IF(AND(Table1[[#This Row],[Category]]="pay",NOT(Table1[[#This Row],[Debits]]=0)),"bad","good")</f>
        <v>good</v>
      </c>
      <c r="O875" s="5"/>
    </row>
    <row r="876" spans="6:15" x14ac:dyDescent="0.3">
      <c r="F876">
        <f>MONTH(Table1[[#This Row],[Date  (DMY)]])</f>
        <v>1</v>
      </c>
      <c r="G876" s="2"/>
      <c r="L876" s="5"/>
      <c r="M876" s="4">
        <f>M875-Table1[[#This Row],[Debits]]+Table1[[#This Row],[Income]]</f>
        <v>1900</v>
      </c>
      <c r="N876" t="str">
        <f>IF(AND(Table1[[#This Row],[Category]]="pay",NOT(Table1[[#This Row],[Debits]]=0)),"bad","good")</f>
        <v>good</v>
      </c>
      <c r="O876" s="5"/>
    </row>
    <row r="877" spans="6:15" x14ac:dyDescent="0.3">
      <c r="F877">
        <f>MONTH(Table1[[#This Row],[Date  (DMY)]])</f>
        <v>1</v>
      </c>
      <c r="G877" s="2"/>
      <c r="L877" s="5"/>
      <c r="M877" s="4">
        <f>M876-Table1[[#This Row],[Debits]]+Table1[[#This Row],[Income]]</f>
        <v>1900</v>
      </c>
      <c r="N877" t="str">
        <f>IF(AND(Table1[[#This Row],[Category]]="pay",NOT(Table1[[#This Row],[Debits]]=0)),"bad","good")</f>
        <v>good</v>
      </c>
      <c r="O877" s="5"/>
    </row>
    <row r="878" spans="6:15" x14ac:dyDescent="0.3">
      <c r="F878">
        <f>MONTH(Table1[[#This Row],[Date  (DMY)]])</f>
        <v>1</v>
      </c>
      <c r="G878" s="2"/>
      <c r="L878" s="5"/>
      <c r="M878" s="4">
        <f>M877-Table1[[#This Row],[Debits]]+Table1[[#This Row],[Income]]</f>
        <v>1900</v>
      </c>
      <c r="N878" t="str">
        <f>IF(AND(Table1[[#This Row],[Category]]="pay",NOT(Table1[[#This Row],[Debits]]=0)),"bad","good")</f>
        <v>good</v>
      </c>
      <c r="O878" s="5"/>
    </row>
    <row r="879" spans="6:15" x14ac:dyDescent="0.3">
      <c r="F879">
        <f>MONTH(Table1[[#This Row],[Date  (DMY)]])</f>
        <v>1</v>
      </c>
      <c r="G879" s="2"/>
      <c r="L879" s="5"/>
      <c r="M879" s="4">
        <f>M878-Table1[[#This Row],[Debits]]+Table1[[#This Row],[Income]]</f>
        <v>1900</v>
      </c>
      <c r="N879" t="str">
        <f>IF(AND(Table1[[#This Row],[Category]]="pay",NOT(Table1[[#This Row],[Debits]]=0)),"bad","good")</f>
        <v>good</v>
      </c>
      <c r="O879" s="5"/>
    </row>
    <row r="880" spans="6:15" x14ac:dyDescent="0.3">
      <c r="F880">
        <f>MONTH(Table1[[#This Row],[Date  (DMY)]])</f>
        <v>1</v>
      </c>
      <c r="G880" s="2"/>
      <c r="L880" s="5"/>
      <c r="M880" s="4">
        <f>M879-Table1[[#This Row],[Debits]]+Table1[[#This Row],[Income]]</f>
        <v>1900</v>
      </c>
      <c r="N880" t="str">
        <f>IF(AND(Table1[[#This Row],[Category]]="pay",NOT(Table1[[#This Row],[Debits]]=0)),"bad","good")</f>
        <v>good</v>
      </c>
      <c r="O880" s="5"/>
    </row>
    <row r="881" spans="6:15" x14ac:dyDescent="0.3">
      <c r="F881">
        <f>MONTH(Table1[[#This Row],[Date  (DMY)]])</f>
        <v>1</v>
      </c>
      <c r="G881" s="2"/>
      <c r="L881" s="5"/>
      <c r="M881" s="4">
        <f>M880-Table1[[#This Row],[Debits]]+Table1[[#This Row],[Income]]</f>
        <v>1900</v>
      </c>
      <c r="N881" t="str">
        <f>IF(AND(Table1[[#This Row],[Category]]="pay",NOT(Table1[[#This Row],[Debits]]=0)),"bad","good")</f>
        <v>good</v>
      </c>
      <c r="O881" s="5"/>
    </row>
    <row r="882" spans="6:15" x14ac:dyDescent="0.3">
      <c r="F882">
        <f>MONTH(Table1[[#This Row],[Date  (DMY)]])</f>
        <v>1</v>
      </c>
      <c r="G882" s="2"/>
      <c r="L882" s="5"/>
      <c r="M882" s="4">
        <f>M881-Table1[[#This Row],[Debits]]+Table1[[#This Row],[Income]]</f>
        <v>1900</v>
      </c>
      <c r="N882" t="str">
        <f>IF(AND(Table1[[#This Row],[Category]]="pay",NOT(Table1[[#This Row],[Debits]]=0)),"bad","good")</f>
        <v>good</v>
      </c>
      <c r="O882" s="5"/>
    </row>
    <row r="883" spans="6:15" x14ac:dyDescent="0.3">
      <c r="F883">
        <f>MONTH(Table1[[#This Row],[Date  (DMY)]])</f>
        <v>1</v>
      </c>
      <c r="G883" s="2"/>
      <c r="L883" s="5"/>
      <c r="M883" s="4">
        <f>M882-Table1[[#This Row],[Debits]]+Table1[[#This Row],[Income]]</f>
        <v>1900</v>
      </c>
      <c r="N883" t="str">
        <f>IF(AND(Table1[[#This Row],[Category]]="pay",NOT(Table1[[#This Row],[Debits]]=0)),"bad","good")</f>
        <v>good</v>
      </c>
      <c r="O883" s="5"/>
    </row>
    <row r="884" spans="6:15" x14ac:dyDescent="0.3">
      <c r="F884">
        <f>MONTH(Table1[[#This Row],[Date  (DMY)]])</f>
        <v>1</v>
      </c>
      <c r="G884" s="2"/>
      <c r="L884" s="5"/>
      <c r="M884" s="4">
        <f>M883-Table1[[#This Row],[Debits]]+Table1[[#This Row],[Income]]</f>
        <v>1900</v>
      </c>
      <c r="N884" t="str">
        <f>IF(AND(Table1[[#This Row],[Category]]="pay",NOT(Table1[[#This Row],[Debits]]=0)),"bad","good")</f>
        <v>good</v>
      </c>
      <c r="O884" s="5"/>
    </row>
    <row r="885" spans="6:15" x14ac:dyDescent="0.3">
      <c r="F885">
        <f>MONTH(Table1[[#This Row],[Date  (DMY)]])</f>
        <v>1</v>
      </c>
      <c r="G885" s="2"/>
      <c r="L885" s="5"/>
      <c r="M885" s="4">
        <f>M884-Table1[[#This Row],[Debits]]+Table1[[#This Row],[Income]]</f>
        <v>1900</v>
      </c>
      <c r="N885" t="str">
        <f>IF(AND(Table1[[#This Row],[Category]]="pay",NOT(Table1[[#This Row],[Debits]]=0)),"bad","good")</f>
        <v>good</v>
      </c>
      <c r="O885" s="5"/>
    </row>
    <row r="886" spans="6:15" x14ac:dyDescent="0.3">
      <c r="F886">
        <f>MONTH(Table1[[#This Row],[Date  (DMY)]])</f>
        <v>1</v>
      </c>
      <c r="G886" s="2"/>
      <c r="L886" s="5"/>
      <c r="M886" s="4">
        <f>M885-Table1[[#This Row],[Debits]]+Table1[[#This Row],[Income]]</f>
        <v>1900</v>
      </c>
      <c r="N886" t="str">
        <f>IF(AND(Table1[[#This Row],[Category]]="pay",NOT(Table1[[#This Row],[Debits]]=0)),"bad","good")</f>
        <v>good</v>
      </c>
      <c r="O886" s="5"/>
    </row>
    <row r="887" spans="6:15" x14ac:dyDescent="0.3">
      <c r="F887">
        <f>MONTH(Table1[[#This Row],[Date  (DMY)]])</f>
        <v>1</v>
      </c>
      <c r="G887" s="2"/>
      <c r="L887" s="5"/>
      <c r="M887" s="4">
        <f>M886-Table1[[#This Row],[Debits]]+Table1[[#This Row],[Income]]</f>
        <v>1900</v>
      </c>
      <c r="N887" t="str">
        <f>IF(AND(Table1[[#This Row],[Category]]="pay",NOT(Table1[[#This Row],[Debits]]=0)),"bad","good")</f>
        <v>good</v>
      </c>
      <c r="O887" s="5"/>
    </row>
    <row r="888" spans="6:15" x14ac:dyDescent="0.3">
      <c r="F888">
        <f>MONTH(Table1[[#This Row],[Date  (DMY)]])</f>
        <v>1</v>
      </c>
      <c r="G888" s="2"/>
      <c r="L888" s="5"/>
      <c r="M888" s="4">
        <f>M887-Table1[[#This Row],[Debits]]+Table1[[#This Row],[Income]]</f>
        <v>1900</v>
      </c>
      <c r="N888" t="str">
        <f>IF(AND(Table1[[#This Row],[Category]]="pay",NOT(Table1[[#This Row],[Debits]]=0)),"bad","good")</f>
        <v>good</v>
      </c>
      <c r="O888" s="5"/>
    </row>
    <row r="889" spans="6:15" x14ac:dyDescent="0.3">
      <c r="F889">
        <f>MONTH(Table1[[#This Row],[Date  (DMY)]])</f>
        <v>1</v>
      </c>
      <c r="G889" s="2"/>
      <c r="L889" s="5"/>
      <c r="M889" s="4">
        <f>M888-Table1[[#This Row],[Debits]]+Table1[[#This Row],[Income]]</f>
        <v>1900</v>
      </c>
      <c r="N889" t="str">
        <f>IF(AND(Table1[[#This Row],[Category]]="pay",NOT(Table1[[#This Row],[Debits]]=0)),"bad","good")</f>
        <v>good</v>
      </c>
      <c r="O889" s="5"/>
    </row>
    <row r="890" spans="6:15" x14ac:dyDescent="0.3">
      <c r="F890">
        <f>MONTH(Table1[[#This Row],[Date  (DMY)]])</f>
        <v>1</v>
      </c>
      <c r="G890" s="2"/>
      <c r="L890" s="5"/>
      <c r="M890" s="4">
        <f>M889-Table1[[#This Row],[Debits]]+Table1[[#This Row],[Income]]</f>
        <v>1900</v>
      </c>
      <c r="N890" t="str">
        <f>IF(AND(Table1[[#This Row],[Category]]="pay",NOT(Table1[[#This Row],[Debits]]=0)),"bad","good")</f>
        <v>good</v>
      </c>
      <c r="O890" s="5"/>
    </row>
    <row r="891" spans="6:15" x14ac:dyDescent="0.3">
      <c r="F891">
        <f>MONTH(Table1[[#This Row],[Date  (DMY)]])</f>
        <v>1</v>
      </c>
      <c r="G891" s="2"/>
      <c r="L891" s="5"/>
      <c r="M891" s="4">
        <f>M890-Table1[[#This Row],[Debits]]+Table1[[#This Row],[Income]]</f>
        <v>1900</v>
      </c>
      <c r="N891" t="str">
        <f>IF(AND(Table1[[#This Row],[Category]]="pay",NOT(Table1[[#This Row],[Debits]]=0)),"bad","good")</f>
        <v>good</v>
      </c>
      <c r="O891" s="5"/>
    </row>
    <row r="892" spans="6:15" x14ac:dyDescent="0.3">
      <c r="F892">
        <f>MONTH(Table1[[#This Row],[Date  (DMY)]])</f>
        <v>1</v>
      </c>
      <c r="G892" s="2"/>
      <c r="L892" s="5"/>
      <c r="M892" s="4">
        <f>M891-Table1[[#This Row],[Debits]]+Table1[[#This Row],[Income]]</f>
        <v>1900</v>
      </c>
      <c r="N892" t="str">
        <f>IF(AND(Table1[[#This Row],[Category]]="pay",NOT(Table1[[#This Row],[Debits]]=0)),"bad","good")</f>
        <v>good</v>
      </c>
      <c r="O892" s="5"/>
    </row>
    <row r="893" spans="6:15" x14ac:dyDescent="0.3">
      <c r="F893">
        <f>MONTH(Table1[[#This Row],[Date  (DMY)]])</f>
        <v>1</v>
      </c>
      <c r="G893" s="2"/>
      <c r="L893" s="5"/>
      <c r="M893" s="4">
        <f>M892-Table1[[#This Row],[Debits]]+Table1[[#This Row],[Income]]</f>
        <v>1900</v>
      </c>
      <c r="N893" t="str">
        <f>IF(AND(Table1[[#This Row],[Category]]="pay",NOT(Table1[[#This Row],[Debits]]=0)),"bad","good")</f>
        <v>good</v>
      </c>
      <c r="O893" s="5"/>
    </row>
    <row r="894" spans="6:15" x14ac:dyDescent="0.3">
      <c r="F894">
        <f>MONTH(Table1[[#This Row],[Date  (DMY)]])</f>
        <v>1</v>
      </c>
      <c r="G894" s="2"/>
      <c r="L894" s="5"/>
      <c r="M894" s="4">
        <f>M893-Table1[[#This Row],[Debits]]+Table1[[#This Row],[Income]]</f>
        <v>1900</v>
      </c>
      <c r="N894" t="str">
        <f>IF(AND(Table1[[#This Row],[Category]]="pay",NOT(Table1[[#This Row],[Debits]]=0)),"bad","good")</f>
        <v>good</v>
      </c>
      <c r="O894" s="5"/>
    </row>
    <row r="895" spans="6:15" x14ac:dyDescent="0.3">
      <c r="F895">
        <f>MONTH(Table1[[#This Row],[Date  (DMY)]])</f>
        <v>1</v>
      </c>
      <c r="G895" s="2"/>
      <c r="L895" s="5"/>
      <c r="M895" s="4">
        <f>M894-Table1[[#This Row],[Debits]]+Table1[[#This Row],[Income]]</f>
        <v>1900</v>
      </c>
      <c r="N895" t="str">
        <f>IF(AND(Table1[[#This Row],[Category]]="pay",NOT(Table1[[#This Row],[Debits]]=0)),"bad","good")</f>
        <v>good</v>
      </c>
      <c r="O895" s="5"/>
    </row>
    <row r="896" spans="6:15" x14ac:dyDescent="0.3">
      <c r="F896">
        <f>MONTH(Table1[[#This Row],[Date  (DMY)]])</f>
        <v>1</v>
      </c>
      <c r="G896" s="2"/>
      <c r="L896" s="5"/>
      <c r="M896" s="4">
        <f>M895-Table1[[#This Row],[Debits]]+Table1[[#This Row],[Income]]</f>
        <v>1900</v>
      </c>
      <c r="N896" t="str">
        <f>IF(AND(Table1[[#This Row],[Category]]="pay",NOT(Table1[[#This Row],[Debits]]=0)),"bad","good")</f>
        <v>good</v>
      </c>
      <c r="O896" s="5"/>
    </row>
    <row r="897" spans="6:15" x14ac:dyDescent="0.3">
      <c r="F897">
        <f>MONTH(Table1[[#This Row],[Date  (DMY)]])</f>
        <v>1</v>
      </c>
      <c r="G897" s="2"/>
      <c r="L897" s="5"/>
      <c r="M897" s="4">
        <f>M896-Table1[[#This Row],[Debits]]+Table1[[#This Row],[Income]]</f>
        <v>1900</v>
      </c>
      <c r="N897" t="str">
        <f>IF(AND(Table1[[#This Row],[Category]]="pay",NOT(Table1[[#This Row],[Debits]]=0)),"bad","good")</f>
        <v>good</v>
      </c>
      <c r="O897" s="5"/>
    </row>
    <row r="898" spans="6:15" x14ac:dyDescent="0.3">
      <c r="F898">
        <f>MONTH(Table1[[#This Row],[Date  (DMY)]])</f>
        <v>1</v>
      </c>
      <c r="G898" s="2"/>
      <c r="L898" s="5"/>
      <c r="M898" s="4">
        <f>M897-Table1[[#This Row],[Debits]]+Table1[[#This Row],[Income]]</f>
        <v>1900</v>
      </c>
      <c r="N898" t="str">
        <f>IF(AND(Table1[[#This Row],[Category]]="pay",NOT(Table1[[#This Row],[Debits]]=0)),"bad","good")</f>
        <v>good</v>
      </c>
      <c r="O898" s="5"/>
    </row>
    <row r="899" spans="6:15" x14ac:dyDescent="0.3">
      <c r="F899">
        <f>MONTH(Table1[[#This Row],[Date  (DMY)]])</f>
        <v>1</v>
      </c>
      <c r="G899" s="2"/>
      <c r="L899" s="5"/>
      <c r="M899" s="4">
        <f>M898-Table1[[#This Row],[Debits]]+Table1[[#This Row],[Income]]</f>
        <v>1900</v>
      </c>
      <c r="N899" t="str">
        <f>IF(AND(Table1[[#This Row],[Category]]="pay",NOT(Table1[[#This Row],[Debits]]=0)),"bad","good")</f>
        <v>good</v>
      </c>
      <c r="O899" s="5"/>
    </row>
    <row r="900" spans="6:15" x14ac:dyDescent="0.3">
      <c r="F900">
        <f>MONTH(Table1[[#This Row],[Date  (DMY)]])</f>
        <v>1</v>
      </c>
      <c r="G900" s="2"/>
      <c r="L900" s="5"/>
      <c r="M900" s="4">
        <f>M899-Table1[[#This Row],[Debits]]+Table1[[#This Row],[Income]]</f>
        <v>1900</v>
      </c>
      <c r="N900" t="str">
        <f>IF(AND(Table1[[#This Row],[Category]]="pay",NOT(Table1[[#This Row],[Debits]]=0)),"bad","good")</f>
        <v>good</v>
      </c>
      <c r="O900" s="5"/>
    </row>
    <row r="901" spans="6:15" x14ac:dyDescent="0.3">
      <c r="F901">
        <f>MONTH(Table1[[#This Row],[Date  (DMY)]])</f>
        <v>1</v>
      </c>
      <c r="G901" s="2"/>
      <c r="L901" s="5"/>
      <c r="M901" s="4">
        <f>M900-Table1[[#This Row],[Debits]]+Table1[[#This Row],[Income]]</f>
        <v>1900</v>
      </c>
      <c r="N901" t="str">
        <f>IF(AND(Table1[[#This Row],[Category]]="pay",NOT(Table1[[#This Row],[Debits]]=0)),"bad","good")</f>
        <v>good</v>
      </c>
      <c r="O901" s="5"/>
    </row>
    <row r="902" spans="6:15" x14ac:dyDescent="0.3">
      <c r="F902">
        <f>MONTH(Table1[[#This Row],[Date  (DMY)]])</f>
        <v>1</v>
      </c>
      <c r="G902" s="2"/>
      <c r="L902" s="5"/>
      <c r="M902" s="4">
        <f>M901-Table1[[#This Row],[Debits]]+Table1[[#This Row],[Income]]</f>
        <v>1900</v>
      </c>
      <c r="N902" t="str">
        <f>IF(AND(Table1[[#This Row],[Category]]="pay",NOT(Table1[[#This Row],[Debits]]=0)),"bad","good")</f>
        <v>good</v>
      </c>
      <c r="O902" s="5"/>
    </row>
    <row r="903" spans="6:15" x14ac:dyDescent="0.3">
      <c r="F903">
        <f>MONTH(Table1[[#This Row],[Date  (DMY)]])</f>
        <v>1</v>
      </c>
      <c r="G903" s="2"/>
      <c r="L903" s="5"/>
      <c r="M903" s="4">
        <f>M902-Table1[[#This Row],[Debits]]+Table1[[#This Row],[Income]]</f>
        <v>1900</v>
      </c>
      <c r="N903" t="str">
        <f>IF(AND(Table1[[#This Row],[Category]]="pay",NOT(Table1[[#This Row],[Debits]]=0)),"bad","good")</f>
        <v>good</v>
      </c>
      <c r="O903" s="5"/>
    </row>
    <row r="904" spans="6:15" x14ac:dyDescent="0.3">
      <c r="F904">
        <f>MONTH(Table1[[#This Row],[Date  (DMY)]])</f>
        <v>1</v>
      </c>
      <c r="G904" s="2"/>
      <c r="L904" s="5"/>
      <c r="M904" s="4">
        <f>M903-Table1[[#This Row],[Debits]]+Table1[[#This Row],[Income]]</f>
        <v>1900</v>
      </c>
      <c r="N904" t="str">
        <f>IF(AND(Table1[[#This Row],[Category]]="pay",NOT(Table1[[#This Row],[Debits]]=0)),"bad","good")</f>
        <v>good</v>
      </c>
      <c r="O904" s="5"/>
    </row>
    <row r="905" spans="6:15" x14ac:dyDescent="0.3">
      <c r="F905">
        <f>MONTH(Table1[[#This Row],[Date  (DMY)]])</f>
        <v>1</v>
      </c>
      <c r="G905" s="2"/>
      <c r="L905" s="5"/>
      <c r="M905" s="4">
        <f>M904-Table1[[#This Row],[Debits]]+Table1[[#This Row],[Income]]</f>
        <v>1900</v>
      </c>
      <c r="N905" t="str">
        <f>IF(AND(Table1[[#This Row],[Category]]="pay",NOT(Table1[[#This Row],[Debits]]=0)),"bad","good")</f>
        <v>good</v>
      </c>
      <c r="O905" s="5"/>
    </row>
    <row r="906" spans="6:15" x14ac:dyDescent="0.3">
      <c r="F906">
        <f>MONTH(Table1[[#This Row],[Date  (DMY)]])</f>
        <v>1</v>
      </c>
      <c r="G906" s="2"/>
      <c r="L906" s="5"/>
      <c r="M906" s="4">
        <f>M905-Table1[[#This Row],[Debits]]+Table1[[#This Row],[Income]]</f>
        <v>1900</v>
      </c>
      <c r="N906" t="str">
        <f>IF(AND(Table1[[#This Row],[Category]]="pay",NOT(Table1[[#This Row],[Debits]]=0)),"bad","good")</f>
        <v>good</v>
      </c>
      <c r="O906" s="5"/>
    </row>
    <row r="907" spans="6:15" x14ac:dyDescent="0.3">
      <c r="F907">
        <f>MONTH(Table1[[#This Row],[Date  (DMY)]])</f>
        <v>1</v>
      </c>
      <c r="G907" s="2"/>
      <c r="L907" s="5"/>
      <c r="M907" s="4">
        <f>M906-Table1[[#This Row],[Debits]]+Table1[[#This Row],[Income]]</f>
        <v>1900</v>
      </c>
      <c r="N907" t="str">
        <f>IF(AND(Table1[[#This Row],[Category]]="pay",NOT(Table1[[#This Row],[Debits]]=0)),"bad","good")</f>
        <v>good</v>
      </c>
      <c r="O907" s="5"/>
    </row>
    <row r="908" spans="6:15" x14ac:dyDescent="0.3">
      <c r="F908">
        <f>MONTH(Table1[[#This Row],[Date  (DMY)]])</f>
        <v>1</v>
      </c>
      <c r="G908" s="2"/>
      <c r="L908" s="5"/>
      <c r="M908" s="4">
        <f>M907-Table1[[#This Row],[Debits]]+Table1[[#This Row],[Income]]</f>
        <v>1900</v>
      </c>
      <c r="N908" t="str">
        <f>IF(AND(Table1[[#This Row],[Category]]="pay",NOT(Table1[[#This Row],[Debits]]=0)),"bad","good")</f>
        <v>good</v>
      </c>
      <c r="O908" s="5"/>
    </row>
    <row r="909" spans="6:15" x14ac:dyDescent="0.3">
      <c r="F909">
        <f>MONTH(Table1[[#This Row],[Date  (DMY)]])</f>
        <v>1</v>
      </c>
      <c r="G909" s="2"/>
      <c r="L909" s="5"/>
      <c r="M909" s="4">
        <f>M908-Table1[[#This Row],[Debits]]+Table1[[#This Row],[Income]]</f>
        <v>1900</v>
      </c>
      <c r="N909" t="str">
        <f>IF(AND(Table1[[#This Row],[Category]]="pay",NOT(Table1[[#This Row],[Debits]]=0)),"bad","good")</f>
        <v>good</v>
      </c>
      <c r="O909" s="5"/>
    </row>
    <row r="910" spans="6:15" x14ac:dyDescent="0.3">
      <c r="F910">
        <f>MONTH(Table1[[#This Row],[Date  (DMY)]])</f>
        <v>1</v>
      </c>
      <c r="G910" s="2"/>
      <c r="L910" s="5"/>
      <c r="M910" s="4">
        <f>M909-Table1[[#This Row],[Debits]]+Table1[[#This Row],[Income]]</f>
        <v>1900</v>
      </c>
      <c r="N910" t="str">
        <f>IF(AND(Table1[[#This Row],[Category]]="pay",NOT(Table1[[#This Row],[Debits]]=0)),"bad","good")</f>
        <v>good</v>
      </c>
      <c r="O910" s="5"/>
    </row>
    <row r="911" spans="6:15" x14ac:dyDescent="0.3">
      <c r="F911">
        <f>MONTH(Table1[[#This Row],[Date  (DMY)]])</f>
        <v>1</v>
      </c>
      <c r="G911" s="2"/>
      <c r="L911" s="5"/>
      <c r="M911" s="4">
        <f>M910-Table1[[#This Row],[Debits]]+Table1[[#This Row],[Income]]</f>
        <v>1900</v>
      </c>
      <c r="N911" t="str">
        <f>IF(AND(Table1[[#This Row],[Category]]="pay",NOT(Table1[[#This Row],[Debits]]=0)),"bad","good")</f>
        <v>good</v>
      </c>
      <c r="O911" s="5"/>
    </row>
    <row r="912" spans="6:15" x14ac:dyDescent="0.3">
      <c r="F912">
        <f>MONTH(Table1[[#This Row],[Date  (DMY)]])</f>
        <v>1</v>
      </c>
      <c r="G912" s="2"/>
      <c r="L912" s="5"/>
      <c r="M912" s="4">
        <f>M911-Table1[[#This Row],[Debits]]+Table1[[#This Row],[Income]]</f>
        <v>1900</v>
      </c>
      <c r="N912" t="str">
        <f>IF(AND(Table1[[#This Row],[Category]]="pay",NOT(Table1[[#This Row],[Debits]]=0)),"bad","good")</f>
        <v>good</v>
      </c>
      <c r="O912" s="5"/>
    </row>
    <row r="913" spans="6:15" x14ac:dyDescent="0.3">
      <c r="F913">
        <f>MONTH(Table1[[#This Row],[Date  (DMY)]])</f>
        <v>1</v>
      </c>
      <c r="G913" s="2"/>
      <c r="L913" s="5"/>
      <c r="M913" s="4">
        <f>M912-Table1[[#This Row],[Debits]]+Table1[[#This Row],[Income]]</f>
        <v>1900</v>
      </c>
      <c r="N913" t="str">
        <f>IF(AND(Table1[[#This Row],[Category]]="pay",NOT(Table1[[#This Row],[Debits]]=0)),"bad","good")</f>
        <v>good</v>
      </c>
      <c r="O913" s="5"/>
    </row>
    <row r="914" spans="6:15" x14ac:dyDescent="0.3">
      <c r="F914">
        <f>MONTH(Table1[[#This Row],[Date  (DMY)]])</f>
        <v>1</v>
      </c>
      <c r="G914" s="2"/>
      <c r="L914" s="5"/>
      <c r="M914" s="4">
        <f>M913-Table1[[#This Row],[Debits]]+Table1[[#This Row],[Income]]</f>
        <v>1900</v>
      </c>
      <c r="N914" t="str">
        <f>IF(AND(Table1[[#This Row],[Category]]="pay",NOT(Table1[[#This Row],[Debits]]=0)),"bad","good")</f>
        <v>good</v>
      </c>
      <c r="O914" s="5"/>
    </row>
    <row r="915" spans="6:15" x14ac:dyDescent="0.3">
      <c r="F915">
        <f>MONTH(Table1[[#This Row],[Date  (DMY)]])</f>
        <v>1</v>
      </c>
      <c r="G915" s="2"/>
      <c r="L915" s="5"/>
      <c r="M915" s="4">
        <f>M914-Table1[[#This Row],[Debits]]+Table1[[#This Row],[Income]]</f>
        <v>1900</v>
      </c>
      <c r="N915" t="str">
        <f>IF(AND(Table1[[#This Row],[Category]]="pay",NOT(Table1[[#This Row],[Debits]]=0)),"bad","good")</f>
        <v>good</v>
      </c>
      <c r="O915" s="5"/>
    </row>
    <row r="916" spans="6:15" x14ac:dyDescent="0.3">
      <c r="F916">
        <f>MONTH(Table1[[#This Row],[Date  (DMY)]])</f>
        <v>1</v>
      </c>
      <c r="G916" s="2"/>
      <c r="L916" s="5"/>
      <c r="M916" s="4">
        <f>M915-Table1[[#This Row],[Debits]]+Table1[[#This Row],[Income]]</f>
        <v>1900</v>
      </c>
      <c r="N916" t="str">
        <f>IF(AND(Table1[[#This Row],[Category]]="pay",NOT(Table1[[#This Row],[Debits]]=0)),"bad","good")</f>
        <v>good</v>
      </c>
      <c r="O916" s="5"/>
    </row>
    <row r="917" spans="6:15" x14ac:dyDescent="0.3">
      <c r="F917">
        <f>MONTH(Table1[[#This Row],[Date  (DMY)]])</f>
        <v>1</v>
      </c>
      <c r="G917" s="2"/>
      <c r="L917" s="5"/>
      <c r="M917" s="4">
        <f>M916-Table1[[#This Row],[Debits]]+Table1[[#This Row],[Income]]</f>
        <v>1900</v>
      </c>
      <c r="N917" t="str">
        <f>IF(AND(Table1[[#This Row],[Category]]="pay",NOT(Table1[[#This Row],[Debits]]=0)),"bad","good")</f>
        <v>good</v>
      </c>
      <c r="O917" s="5"/>
    </row>
    <row r="918" spans="6:15" x14ac:dyDescent="0.3">
      <c r="F918">
        <f>MONTH(Table1[[#This Row],[Date  (DMY)]])</f>
        <v>1</v>
      </c>
      <c r="G918" s="2"/>
      <c r="L918" s="5"/>
      <c r="M918" s="4">
        <f>M917-Table1[[#This Row],[Debits]]+Table1[[#This Row],[Income]]</f>
        <v>1900</v>
      </c>
      <c r="N918" t="str">
        <f>IF(AND(Table1[[#This Row],[Category]]="pay",NOT(Table1[[#This Row],[Debits]]=0)),"bad","good")</f>
        <v>good</v>
      </c>
      <c r="O918" s="5"/>
    </row>
    <row r="919" spans="6:15" x14ac:dyDescent="0.3">
      <c r="F919">
        <f>MONTH(Table1[[#This Row],[Date  (DMY)]])</f>
        <v>1</v>
      </c>
      <c r="G919" s="2"/>
      <c r="L919" s="5"/>
      <c r="M919" s="4">
        <f>M918-Table1[[#This Row],[Debits]]+Table1[[#This Row],[Income]]</f>
        <v>1900</v>
      </c>
      <c r="N919" t="str">
        <f>IF(AND(Table1[[#This Row],[Category]]="pay",NOT(Table1[[#This Row],[Debits]]=0)),"bad","good")</f>
        <v>good</v>
      </c>
      <c r="O919" s="5"/>
    </row>
    <row r="920" spans="6:15" x14ac:dyDescent="0.3">
      <c r="F920">
        <f>MONTH(Table1[[#This Row],[Date  (DMY)]])</f>
        <v>1</v>
      </c>
      <c r="G920" s="2"/>
      <c r="L920" s="5"/>
      <c r="M920" s="4">
        <f>M919-Table1[[#This Row],[Debits]]+Table1[[#This Row],[Income]]</f>
        <v>1900</v>
      </c>
      <c r="N920" t="str">
        <f>IF(AND(Table1[[#This Row],[Category]]="pay",NOT(Table1[[#This Row],[Debits]]=0)),"bad","good")</f>
        <v>good</v>
      </c>
      <c r="O920" s="5"/>
    </row>
    <row r="921" spans="6:15" x14ac:dyDescent="0.3">
      <c r="F921">
        <f>MONTH(Table1[[#This Row],[Date  (DMY)]])</f>
        <v>1</v>
      </c>
      <c r="G921" s="2"/>
      <c r="L921" s="5"/>
      <c r="M921" s="4">
        <f>M920-Table1[[#This Row],[Debits]]+Table1[[#This Row],[Income]]</f>
        <v>1900</v>
      </c>
      <c r="N921" t="str">
        <f>IF(AND(Table1[[#This Row],[Category]]="pay",NOT(Table1[[#This Row],[Debits]]=0)),"bad","good")</f>
        <v>good</v>
      </c>
      <c r="O921" s="5"/>
    </row>
    <row r="922" spans="6:15" x14ac:dyDescent="0.3">
      <c r="F922">
        <f>MONTH(Table1[[#This Row],[Date  (DMY)]])</f>
        <v>1</v>
      </c>
      <c r="G922" s="2"/>
      <c r="L922" s="5"/>
      <c r="M922" s="4">
        <f>M921-Table1[[#This Row],[Debits]]+Table1[[#This Row],[Income]]</f>
        <v>1900</v>
      </c>
      <c r="N922" t="str">
        <f>IF(AND(Table1[[#This Row],[Category]]="pay",NOT(Table1[[#This Row],[Debits]]=0)),"bad","good")</f>
        <v>good</v>
      </c>
      <c r="O922" s="5"/>
    </row>
    <row r="923" spans="6:15" x14ac:dyDescent="0.3">
      <c r="F923">
        <f>MONTH(Table1[[#This Row],[Date  (DMY)]])</f>
        <v>1</v>
      </c>
      <c r="G923" s="2"/>
      <c r="L923" s="5"/>
      <c r="M923" s="4">
        <f>M922-Table1[[#This Row],[Debits]]+Table1[[#This Row],[Income]]</f>
        <v>1900</v>
      </c>
      <c r="N923" t="str">
        <f>IF(AND(Table1[[#This Row],[Category]]="pay",NOT(Table1[[#This Row],[Debits]]=0)),"bad","good")</f>
        <v>good</v>
      </c>
      <c r="O923" s="5"/>
    </row>
    <row r="924" spans="6:15" x14ac:dyDescent="0.3">
      <c r="F924">
        <f>MONTH(Table1[[#This Row],[Date  (DMY)]])</f>
        <v>1</v>
      </c>
      <c r="G924" s="2"/>
      <c r="L924" s="5"/>
      <c r="M924" s="4">
        <f>M923-Table1[[#This Row],[Debits]]+Table1[[#This Row],[Income]]</f>
        <v>1900</v>
      </c>
      <c r="N924" t="str">
        <f>IF(AND(Table1[[#This Row],[Category]]="pay",NOT(Table1[[#This Row],[Debits]]=0)),"bad","good")</f>
        <v>good</v>
      </c>
      <c r="O924" s="5"/>
    </row>
    <row r="925" spans="6:15" x14ac:dyDescent="0.3">
      <c r="F925">
        <f>MONTH(Table1[[#This Row],[Date  (DMY)]])</f>
        <v>1</v>
      </c>
      <c r="G925" s="2"/>
      <c r="L925" s="5"/>
      <c r="M925" s="4">
        <f>M924-Table1[[#This Row],[Debits]]+Table1[[#This Row],[Income]]</f>
        <v>1900</v>
      </c>
      <c r="N925" t="str">
        <f>IF(AND(Table1[[#This Row],[Category]]="pay",NOT(Table1[[#This Row],[Debits]]=0)),"bad","good")</f>
        <v>good</v>
      </c>
      <c r="O925" s="5"/>
    </row>
    <row r="926" spans="6:15" x14ac:dyDescent="0.3">
      <c r="F926">
        <f>MONTH(Table1[[#This Row],[Date  (DMY)]])</f>
        <v>1</v>
      </c>
      <c r="G926" s="2"/>
      <c r="L926" s="5"/>
      <c r="M926" s="4">
        <f>M925-Table1[[#This Row],[Debits]]+Table1[[#This Row],[Income]]</f>
        <v>1900</v>
      </c>
      <c r="N926" t="str">
        <f>IF(AND(Table1[[#This Row],[Category]]="pay",NOT(Table1[[#This Row],[Debits]]=0)),"bad","good")</f>
        <v>good</v>
      </c>
      <c r="O926" s="5"/>
    </row>
    <row r="927" spans="6:15" x14ac:dyDescent="0.3">
      <c r="F927">
        <f>MONTH(Table1[[#This Row],[Date  (DMY)]])</f>
        <v>1</v>
      </c>
      <c r="G927" s="2"/>
      <c r="L927" s="5"/>
      <c r="M927" s="4">
        <f>M926-Table1[[#This Row],[Debits]]+Table1[[#This Row],[Income]]</f>
        <v>1900</v>
      </c>
      <c r="N927" t="str">
        <f>IF(AND(Table1[[#This Row],[Category]]="pay",NOT(Table1[[#This Row],[Debits]]=0)),"bad","good")</f>
        <v>good</v>
      </c>
      <c r="O927" s="5"/>
    </row>
    <row r="928" spans="6:15" x14ac:dyDescent="0.3">
      <c r="F928">
        <f>MONTH(Table1[[#This Row],[Date  (DMY)]])</f>
        <v>1</v>
      </c>
      <c r="G928" s="2"/>
      <c r="L928" s="5"/>
      <c r="M928" s="4">
        <f>M927-Table1[[#This Row],[Debits]]+Table1[[#This Row],[Income]]</f>
        <v>1900</v>
      </c>
      <c r="N928" t="str">
        <f>IF(AND(Table1[[#This Row],[Category]]="pay",NOT(Table1[[#This Row],[Debits]]=0)),"bad","good")</f>
        <v>good</v>
      </c>
      <c r="O928" s="5"/>
    </row>
    <row r="929" spans="6:15" x14ac:dyDescent="0.3">
      <c r="F929">
        <f>MONTH(Table1[[#This Row],[Date  (DMY)]])</f>
        <v>1</v>
      </c>
      <c r="G929" s="2"/>
      <c r="L929" s="5"/>
      <c r="M929" s="4">
        <f>M928-Table1[[#This Row],[Debits]]+Table1[[#This Row],[Income]]</f>
        <v>1900</v>
      </c>
      <c r="N929" t="str">
        <f>IF(AND(Table1[[#This Row],[Category]]="pay",NOT(Table1[[#This Row],[Debits]]=0)),"bad","good")</f>
        <v>good</v>
      </c>
      <c r="O929" s="5"/>
    </row>
    <row r="930" spans="6:15" x14ac:dyDescent="0.3">
      <c r="F930">
        <f>MONTH(Table1[[#This Row],[Date  (DMY)]])</f>
        <v>1</v>
      </c>
      <c r="G930" s="2"/>
      <c r="L930" s="5"/>
      <c r="M930" s="4">
        <f>M929-Table1[[#This Row],[Debits]]+Table1[[#This Row],[Income]]</f>
        <v>1900</v>
      </c>
      <c r="N930" t="str">
        <f>IF(AND(Table1[[#This Row],[Category]]="pay",NOT(Table1[[#This Row],[Debits]]=0)),"bad","good")</f>
        <v>good</v>
      </c>
      <c r="O930" s="5"/>
    </row>
    <row r="931" spans="6:15" x14ac:dyDescent="0.3">
      <c r="F931">
        <f>MONTH(Table1[[#This Row],[Date  (DMY)]])</f>
        <v>1</v>
      </c>
      <c r="G931" s="2"/>
      <c r="L931" s="5"/>
      <c r="M931" s="4">
        <f>M930-Table1[[#This Row],[Debits]]+Table1[[#This Row],[Income]]</f>
        <v>1900</v>
      </c>
      <c r="N931" t="str">
        <f>IF(AND(Table1[[#This Row],[Category]]="pay",NOT(Table1[[#This Row],[Debits]]=0)),"bad","good")</f>
        <v>good</v>
      </c>
      <c r="O931" s="5"/>
    </row>
    <row r="932" spans="6:15" x14ac:dyDescent="0.3">
      <c r="F932">
        <f>MONTH(Table1[[#This Row],[Date  (DMY)]])</f>
        <v>1</v>
      </c>
      <c r="G932" s="2"/>
      <c r="L932" s="5"/>
      <c r="M932" s="4">
        <f>M931-Table1[[#This Row],[Debits]]+Table1[[#This Row],[Income]]</f>
        <v>1900</v>
      </c>
      <c r="N932" t="str">
        <f>IF(AND(Table1[[#This Row],[Category]]="pay",NOT(Table1[[#This Row],[Debits]]=0)),"bad","good")</f>
        <v>good</v>
      </c>
      <c r="O932" s="5"/>
    </row>
    <row r="933" spans="6:15" x14ac:dyDescent="0.3">
      <c r="F933">
        <f>MONTH(Table1[[#This Row],[Date  (DMY)]])</f>
        <v>1</v>
      </c>
      <c r="G933" s="2"/>
      <c r="L933" s="5"/>
      <c r="M933" s="4">
        <f>M932-Table1[[#This Row],[Debits]]+Table1[[#This Row],[Income]]</f>
        <v>1900</v>
      </c>
      <c r="N933" t="str">
        <f>IF(AND(Table1[[#This Row],[Category]]="pay",NOT(Table1[[#This Row],[Debits]]=0)),"bad","good")</f>
        <v>good</v>
      </c>
      <c r="O933" s="5"/>
    </row>
    <row r="934" spans="6:15" x14ac:dyDescent="0.3">
      <c r="F934">
        <f>MONTH(Table1[[#This Row],[Date  (DMY)]])</f>
        <v>1</v>
      </c>
      <c r="G934" s="2"/>
      <c r="L934" s="5"/>
      <c r="M934" s="4">
        <f>M933-Table1[[#This Row],[Debits]]+Table1[[#This Row],[Income]]</f>
        <v>1900</v>
      </c>
      <c r="N934" t="str">
        <f>IF(AND(Table1[[#This Row],[Category]]="pay",NOT(Table1[[#This Row],[Debits]]=0)),"bad","good")</f>
        <v>good</v>
      </c>
      <c r="O934" s="5"/>
    </row>
    <row r="935" spans="6:15" x14ac:dyDescent="0.3">
      <c r="F935">
        <f>MONTH(Table1[[#This Row],[Date  (DMY)]])</f>
        <v>1</v>
      </c>
      <c r="G935" s="2"/>
      <c r="L935" s="5"/>
      <c r="M935" s="4">
        <f>M934-Table1[[#This Row],[Debits]]+Table1[[#This Row],[Income]]</f>
        <v>1900</v>
      </c>
      <c r="N935" t="str">
        <f>IF(AND(Table1[[#This Row],[Category]]="pay",NOT(Table1[[#This Row],[Debits]]=0)),"bad","good")</f>
        <v>good</v>
      </c>
      <c r="O935" s="5"/>
    </row>
    <row r="936" spans="6:15" x14ac:dyDescent="0.3">
      <c r="F936">
        <f>MONTH(Table1[[#This Row],[Date  (DMY)]])</f>
        <v>1</v>
      </c>
      <c r="G936" s="2"/>
      <c r="L936" s="5"/>
      <c r="M936" s="4">
        <f>M935-Table1[[#This Row],[Debits]]+Table1[[#This Row],[Income]]</f>
        <v>1900</v>
      </c>
      <c r="N936" t="str">
        <f>IF(AND(Table1[[#This Row],[Category]]="pay",NOT(Table1[[#This Row],[Debits]]=0)),"bad","good")</f>
        <v>good</v>
      </c>
      <c r="O936" s="5"/>
    </row>
    <row r="937" spans="6:15" x14ac:dyDescent="0.3">
      <c r="F937">
        <f>MONTH(Table1[[#This Row],[Date  (DMY)]])</f>
        <v>1</v>
      </c>
      <c r="G937" s="2"/>
      <c r="L937" s="5"/>
      <c r="M937" s="4">
        <f>M936-Table1[[#This Row],[Debits]]+Table1[[#This Row],[Income]]</f>
        <v>1900</v>
      </c>
      <c r="N937" t="str">
        <f>IF(AND(Table1[[#This Row],[Category]]="pay",NOT(Table1[[#This Row],[Debits]]=0)),"bad","good")</f>
        <v>good</v>
      </c>
      <c r="O937" s="5"/>
    </row>
    <row r="938" spans="6:15" x14ac:dyDescent="0.3">
      <c r="F938">
        <f>MONTH(Table1[[#This Row],[Date  (DMY)]])</f>
        <v>1</v>
      </c>
      <c r="G938" s="2"/>
      <c r="L938" s="5"/>
      <c r="M938" s="4">
        <f>M937-Table1[[#This Row],[Debits]]+Table1[[#This Row],[Income]]</f>
        <v>1900</v>
      </c>
      <c r="N938" t="str">
        <f>IF(AND(Table1[[#This Row],[Category]]="pay",NOT(Table1[[#This Row],[Debits]]=0)),"bad","good")</f>
        <v>good</v>
      </c>
      <c r="O938" s="5"/>
    </row>
    <row r="939" spans="6:15" x14ac:dyDescent="0.3">
      <c r="F939">
        <f>MONTH(Table1[[#This Row],[Date  (DMY)]])</f>
        <v>1</v>
      </c>
      <c r="G939" s="2"/>
      <c r="L939" s="5"/>
      <c r="M939" s="4">
        <f>M938-Table1[[#This Row],[Debits]]+Table1[[#This Row],[Income]]</f>
        <v>1900</v>
      </c>
      <c r="N939" t="str">
        <f>IF(AND(Table1[[#This Row],[Category]]="pay",NOT(Table1[[#This Row],[Debits]]=0)),"bad","good")</f>
        <v>good</v>
      </c>
      <c r="O939" s="5"/>
    </row>
    <row r="940" spans="6:15" x14ac:dyDescent="0.3">
      <c r="F940">
        <f>MONTH(Table1[[#This Row],[Date  (DMY)]])</f>
        <v>1</v>
      </c>
      <c r="G940" s="2"/>
      <c r="L940" s="5"/>
      <c r="M940" s="4">
        <f>M939-Table1[[#This Row],[Debits]]+Table1[[#This Row],[Income]]</f>
        <v>1900</v>
      </c>
      <c r="N940" t="str">
        <f>IF(AND(Table1[[#This Row],[Category]]="pay",NOT(Table1[[#This Row],[Debits]]=0)),"bad","good")</f>
        <v>good</v>
      </c>
      <c r="O940" s="5"/>
    </row>
    <row r="941" spans="6:15" x14ac:dyDescent="0.3">
      <c r="F941">
        <f>MONTH(Table1[[#This Row],[Date  (DMY)]])</f>
        <v>1</v>
      </c>
      <c r="G941" s="2"/>
      <c r="L941" s="5"/>
      <c r="M941" s="4">
        <f>M940-Table1[[#This Row],[Debits]]+Table1[[#This Row],[Income]]</f>
        <v>1900</v>
      </c>
      <c r="N941" t="str">
        <f>IF(AND(Table1[[#This Row],[Category]]="pay",NOT(Table1[[#This Row],[Debits]]=0)),"bad","good")</f>
        <v>good</v>
      </c>
      <c r="O941" s="5"/>
    </row>
    <row r="942" spans="6:15" x14ac:dyDescent="0.3">
      <c r="F942">
        <f>MONTH(Table1[[#This Row],[Date  (DMY)]])</f>
        <v>1</v>
      </c>
      <c r="G942" s="2"/>
      <c r="L942" s="5"/>
      <c r="M942" s="4">
        <f>M941-Table1[[#This Row],[Debits]]+Table1[[#This Row],[Income]]</f>
        <v>1900</v>
      </c>
      <c r="N942" t="str">
        <f>IF(AND(Table1[[#This Row],[Category]]="pay",NOT(Table1[[#This Row],[Debits]]=0)),"bad","good")</f>
        <v>good</v>
      </c>
      <c r="O942" s="5"/>
    </row>
    <row r="943" spans="6:15" x14ac:dyDescent="0.3">
      <c r="F943">
        <f>MONTH(Table1[[#This Row],[Date  (DMY)]])</f>
        <v>1</v>
      </c>
      <c r="G943" s="2"/>
      <c r="L943" s="5"/>
      <c r="M943" s="4">
        <f>M942-Table1[[#This Row],[Debits]]+Table1[[#This Row],[Income]]</f>
        <v>1900</v>
      </c>
      <c r="N943" t="str">
        <f>IF(AND(Table1[[#This Row],[Category]]="pay",NOT(Table1[[#This Row],[Debits]]=0)),"bad","good")</f>
        <v>good</v>
      </c>
      <c r="O943" s="5"/>
    </row>
    <row r="944" spans="6:15" x14ac:dyDescent="0.3">
      <c r="F944">
        <f>MONTH(Table1[[#This Row],[Date  (DMY)]])</f>
        <v>1</v>
      </c>
      <c r="G944" s="2"/>
      <c r="L944" s="5"/>
      <c r="M944" s="4">
        <f>M943-Table1[[#This Row],[Debits]]+Table1[[#This Row],[Income]]</f>
        <v>1900</v>
      </c>
      <c r="N944" t="str">
        <f>IF(AND(Table1[[#This Row],[Category]]="pay",NOT(Table1[[#This Row],[Debits]]=0)),"bad","good")</f>
        <v>good</v>
      </c>
      <c r="O944" s="5"/>
    </row>
    <row r="945" spans="6:15" x14ac:dyDescent="0.3">
      <c r="F945">
        <f>MONTH(Table1[[#This Row],[Date  (DMY)]])</f>
        <v>1</v>
      </c>
      <c r="G945" s="2"/>
      <c r="L945" s="5"/>
      <c r="M945" s="4">
        <f>M944-Table1[[#This Row],[Debits]]+Table1[[#This Row],[Income]]</f>
        <v>1900</v>
      </c>
      <c r="N945" t="str">
        <f>IF(AND(Table1[[#This Row],[Category]]="pay",NOT(Table1[[#This Row],[Debits]]=0)),"bad","good")</f>
        <v>good</v>
      </c>
      <c r="O945" s="5"/>
    </row>
    <row r="946" spans="6:15" x14ac:dyDescent="0.3">
      <c r="F946">
        <f>MONTH(Table1[[#This Row],[Date  (DMY)]])</f>
        <v>1</v>
      </c>
      <c r="G946" s="2"/>
      <c r="L946" s="5"/>
      <c r="M946" s="4">
        <f>M945-Table1[[#This Row],[Debits]]+Table1[[#This Row],[Income]]</f>
        <v>1900</v>
      </c>
      <c r="N946" t="str">
        <f>IF(AND(Table1[[#This Row],[Category]]="pay",NOT(Table1[[#This Row],[Debits]]=0)),"bad","good")</f>
        <v>good</v>
      </c>
      <c r="O946" s="5"/>
    </row>
    <row r="947" spans="6:15" x14ac:dyDescent="0.3">
      <c r="F947">
        <f>MONTH(Table1[[#This Row],[Date  (DMY)]])</f>
        <v>1</v>
      </c>
      <c r="G947" s="2"/>
      <c r="L947" s="5"/>
      <c r="M947" s="4">
        <f>M946-Table1[[#This Row],[Debits]]+Table1[[#This Row],[Income]]</f>
        <v>1900</v>
      </c>
      <c r="N947" t="str">
        <f>IF(AND(Table1[[#This Row],[Category]]="pay",NOT(Table1[[#This Row],[Debits]]=0)),"bad","good")</f>
        <v>good</v>
      </c>
      <c r="O947" s="5"/>
    </row>
    <row r="948" spans="6:15" x14ac:dyDescent="0.3">
      <c r="F948">
        <f>MONTH(Table1[[#This Row],[Date  (DMY)]])</f>
        <v>1</v>
      </c>
      <c r="G948" s="2"/>
      <c r="L948" s="5"/>
      <c r="M948" s="4">
        <f>M947-Table1[[#This Row],[Debits]]+Table1[[#This Row],[Income]]</f>
        <v>1900</v>
      </c>
      <c r="N948" t="str">
        <f>IF(AND(Table1[[#This Row],[Category]]="pay",NOT(Table1[[#This Row],[Debits]]=0)),"bad","good")</f>
        <v>good</v>
      </c>
      <c r="O948" s="5"/>
    </row>
    <row r="949" spans="6:15" x14ac:dyDescent="0.3">
      <c r="F949">
        <f>MONTH(Table1[[#This Row],[Date  (DMY)]])</f>
        <v>1</v>
      </c>
      <c r="G949" s="2"/>
      <c r="L949" s="5"/>
      <c r="M949" s="4">
        <f>M948-Table1[[#This Row],[Debits]]+Table1[[#This Row],[Income]]</f>
        <v>1900</v>
      </c>
      <c r="N949" t="str">
        <f>IF(AND(Table1[[#This Row],[Category]]="pay",NOT(Table1[[#This Row],[Debits]]=0)),"bad","good")</f>
        <v>good</v>
      </c>
      <c r="O949" s="5"/>
    </row>
    <row r="950" spans="6:15" x14ac:dyDescent="0.3">
      <c r="F950">
        <f>MONTH(Table1[[#This Row],[Date  (DMY)]])</f>
        <v>1</v>
      </c>
      <c r="G950" s="2"/>
      <c r="L950" s="5"/>
      <c r="M950" s="4">
        <f>M949-Table1[[#This Row],[Debits]]+Table1[[#This Row],[Income]]</f>
        <v>1900</v>
      </c>
      <c r="N950" t="str">
        <f>IF(AND(Table1[[#This Row],[Category]]="pay",NOT(Table1[[#This Row],[Debits]]=0)),"bad","good")</f>
        <v>good</v>
      </c>
      <c r="O950" s="5"/>
    </row>
    <row r="951" spans="6:15" x14ac:dyDescent="0.3">
      <c r="F951">
        <f>MONTH(Table1[[#This Row],[Date  (DMY)]])</f>
        <v>1</v>
      </c>
      <c r="G951" s="2"/>
      <c r="L951" s="5"/>
      <c r="M951" s="4">
        <f>M950-Table1[[#This Row],[Debits]]+Table1[[#This Row],[Income]]</f>
        <v>1900</v>
      </c>
      <c r="N951" t="str">
        <f>IF(AND(Table1[[#This Row],[Category]]="pay",NOT(Table1[[#This Row],[Debits]]=0)),"bad","good")</f>
        <v>good</v>
      </c>
      <c r="O951" s="5"/>
    </row>
    <row r="952" spans="6:15" x14ac:dyDescent="0.3">
      <c r="F952">
        <f>MONTH(Table1[[#This Row],[Date  (DMY)]])</f>
        <v>1</v>
      </c>
      <c r="G952" s="2"/>
      <c r="L952" s="5"/>
      <c r="M952" s="4">
        <f>M951-Table1[[#This Row],[Debits]]+Table1[[#This Row],[Income]]</f>
        <v>1900</v>
      </c>
      <c r="N952" t="str">
        <f>IF(AND(Table1[[#This Row],[Category]]="pay",NOT(Table1[[#This Row],[Debits]]=0)),"bad","good")</f>
        <v>good</v>
      </c>
      <c r="O952" s="5"/>
    </row>
    <row r="953" spans="6:15" x14ac:dyDescent="0.3">
      <c r="F953">
        <f>MONTH(Table1[[#This Row],[Date  (DMY)]])</f>
        <v>1</v>
      </c>
      <c r="G953" s="2"/>
      <c r="L953" s="5"/>
      <c r="M953" s="4">
        <f>M952-Table1[[#This Row],[Debits]]+Table1[[#This Row],[Income]]</f>
        <v>1900</v>
      </c>
      <c r="N953" t="str">
        <f>IF(AND(Table1[[#This Row],[Category]]="pay",NOT(Table1[[#This Row],[Debits]]=0)),"bad","good")</f>
        <v>good</v>
      </c>
      <c r="O953" s="5"/>
    </row>
    <row r="954" spans="6:15" x14ac:dyDescent="0.3">
      <c r="F954">
        <f>MONTH(Table1[[#This Row],[Date  (DMY)]])</f>
        <v>1</v>
      </c>
      <c r="G954" s="2"/>
      <c r="L954" s="5"/>
      <c r="M954" s="4">
        <f>M953-Table1[[#This Row],[Debits]]+Table1[[#This Row],[Income]]</f>
        <v>1900</v>
      </c>
      <c r="N954" t="str">
        <f>IF(AND(Table1[[#This Row],[Category]]="pay",NOT(Table1[[#This Row],[Debits]]=0)),"bad","good")</f>
        <v>good</v>
      </c>
      <c r="O954" s="5"/>
    </row>
    <row r="955" spans="6:15" x14ac:dyDescent="0.3">
      <c r="F955">
        <f>MONTH(Table1[[#This Row],[Date  (DMY)]])</f>
        <v>1</v>
      </c>
      <c r="G955" s="2"/>
      <c r="L955" s="5"/>
      <c r="M955" s="4">
        <f>M954-Table1[[#This Row],[Debits]]+Table1[[#This Row],[Income]]</f>
        <v>1900</v>
      </c>
      <c r="N955" t="str">
        <f>IF(AND(Table1[[#This Row],[Category]]="pay",NOT(Table1[[#This Row],[Debits]]=0)),"bad","good")</f>
        <v>good</v>
      </c>
      <c r="O955" s="5"/>
    </row>
    <row r="956" spans="6:15" x14ac:dyDescent="0.3">
      <c r="F956">
        <f>MONTH(Table1[[#This Row],[Date  (DMY)]])</f>
        <v>1</v>
      </c>
      <c r="G956" s="2"/>
      <c r="L956" s="5"/>
      <c r="M956" s="4">
        <f>M955-Table1[[#This Row],[Debits]]+Table1[[#This Row],[Income]]</f>
        <v>1900</v>
      </c>
      <c r="N956" t="str">
        <f>IF(AND(Table1[[#This Row],[Category]]="pay",NOT(Table1[[#This Row],[Debits]]=0)),"bad","good")</f>
        <v>good</v>
      </c>
      <c r="O956" s="5"/>
    </row>
    <row r="957" spans="6:15" x14ac:dyDescent="0.3">
      <c r="F957">
        <f>MONTH(Table1[[#This Row],[Date  (DMY)]])</f>
        <v>1</v>
      </c>
      <c r="G957" s="2"/>
      <c r="L957" s="5"/>
      <c r="M957" s="4">
        <f>M956-Table1[[#This Row],[Debits]]+Table1[[#This Row],[Income]]</f>
        <v>1900</v>
      </c>
      <c r="N957" t="str">
        <f>IF(AND(Table1[[#This Row],[Category]]="pay",NOT(Table1[[#This Row],[Debits]]=0)),"bad","good")</f>
        <v>good</v>
      </c>
      <c r="O957" s="5"/>
    </row>
    <row r="958" spans="6:15" x14ac:dyDescent="0.3">
      <c r="F958">
        <f>MONTH(Table1[[#This Row],[Date  (DMY)]])</f>
        <v>1</v>
      </c>
      <c r="G958" s="2"/>
      <c r="L958" s="5"/>
      <c r="M958" s="4">
        <f>M957-Table1[[#This Row],[Debits]]+Table1[[#This Row],[Income]]</f>
        <v>1900</v>
      </c>
      <c r="N958" t="str">
        <f>IF(AND(Table1[[#This Row],[Category]]="pay",NOT(Table1[[#This Row],[Debits]]=0)),"bad","good")</f>
        <v>good</v>
      </c>
      <c r="O958" s="5"/>
    </row>
    <row r="959" spans="6:15" x14ac:dyDescent="0.3">
      <c r="F959">
        <f>MONTH(Table1[[#This Row],[Date  (DMY)]])</f>
        <v>1</v>
      </c>
      <c r="G959" s="2"/>
      <c r="L959" s="5"/>
      <c r="M959" s="4">
        <f>M958-Table1[[#This Row],[Debits]]+Table1[[#This Row],[Income]]</f>
        <v>1900</v>
      </c>
      <c r="N959" t="str">
        <f>IF(AND(Table1[[#This Row],[Category]]="pay",NOT(Table1[[#This Row],[Debits]]=0)),"bad","good")</f>
        <v>good</v>
      </c>
      <c r="O959" s="5"/>
    </row>
    <row r="960" spans="6:15" x14ac:dyDescent="0.3">
      <c r="F960">
        <f>MONTH(Table1[[#This Row],[Date  (DMY)]])</f>
        <v>1</v>
      </c>
      <c r="G960" s="2"/>
      <c r="L960" s="5"/>
      <c r="M960" s="4">
        <f>M959-Table1[[#This Row],[Debits]]+Table1[[#This Row],[Income]]</f>
        <v>1900</v>
      </c>
      <c r="N960" t="str">
        <f>IF(AND(Table1[[#This Row],[Category]]="pay",NOT(Table1[[#This Row],[Debits]]=0)),"bad","good")</f>
        <v>good</v>
      </c>
      <c r="O960" s="5"/>
    </row>
    <row r="961" spans="6:15" x14ac:dyDescent="0.3">
      <c r="F961">
        <f>MONTH(Table1[[#This Row],[Date  (DMY)]])</f>
        <v>1</v>
      </c>
      <c r="G961" s="2"/>
      <c r="L961" s="5"/>
      <c r="M961" s="4">
        <f>M960-Table1[[#This Row],[Debits]]+Table1[[#This Row],[Income]]</f>
        <v>1900</v>
      </c>
      <c r="N961" t="str">
        <f>IF(AND(Table1[[#This Row],[Category]]="pay",NOT(Table1[[#This Row],[Debits]]=0)),"bad","good")</f>
        <v>good</v>
      </c>
      <c r="O961" s="5"/>
    </row>
    <row r="962" spans="6:15" x14ac:dyDescent="0.3">
      <c r="F962">
        <f>MONTH(Table1[[#This Row],[Date  (DMY)]])</f>
        <v>1</v>
      </c>
      <c r="G962" s="2"/>
      <c r="L962" s="5"/>
      <c r="M962" s="4">
        <f>M961-Table1[[#This Row],[Debits]]+Table1[[#This Row],[Income]]</f>
        <v>1900</v>
      </c>
      <c r="N962" t="str">
        <f>IF(AND(Table1[[#This Row],[Category]]="pay",NOT(Table1[[#This Row],[Debits]]=0)),"bad","good")</f>
        <v>good</v>
      </c>
      <c r="O962" s="5"/>
    </row>
    <row r="963" spans="6:15" x14ac:dyDescent="0.3">
      <c r="F963">
        <f>MONTH(Table1[[#This Row],[Date  (DMY)]])</f>
        <v>1</v>
      </c>
      <c r="G963" s="2"/>
      <c r="L963" s="5"/>
      <c r="M963" s="4">
        <f>M962-Table1[[#This Row],[Debits]]+Table1[[#This Row],[Income]]</f>
        <v>1900</v>
      </c>
      <c r="N963" t="str">
        <f>IF(AND(Table1[[#This Row],[Category]]="pay",NOT(Table1[[#This Row],[Debits]]=0)),"bad","good")</f>
        <v>good</v>
      </c>
      <c r="O963" s="5"/>
    </row>
    <row r="964" spans="6:15" x14ac:dyDescent="0.3">
      <c r="F964">
        <f>MONTH(Table1[[#This Row],[Date  (DMY)]])</f>
        <v>1</v>
      </c>
      <c r="G964" s="2"/>
      <c r="L964" s="5"/>
      <c r="M964" s="4">
        <f>M963-Table1[[#This Row],[Debits]]+Table1[[#This Row],[Income]]</f>
        <v>1900</v>
      </c>
      <c r="N964" t="str">
        <f>IF(AND(Table1[[#This Row],[Category]]="pay",NOT(Table1[[#This Row],[Debits]]=0)),"bad","good")</f>
        <v>good</v>
      </c>
      <c r="O964" s="5"/>
    </row>
    <row r="965" spans="6:15" x14ac:dyDescent="0.3">
      <c r="F965">
        <f>MONTH(Table1[[#This Row],[Date  (DMY)]])</f>
        <v>1</v>
      </c>
      <c r="G965" s="2"/>
      <c r="L965" s="5"/>
      <c r="M965" s="4">
        <f>M964-Table1[[#This Row],[Debits]]+Table1[[#This Row],[Income]]</f>
        <v>1900</v>
      </c>
      <c r="N965" t="str">
        <f>IF(AND(Table1[[#This Row],[Category]]="pay",NOT(Table1[[#This Row],[Debits]]=0)),"bad","good")</f>
        <v>good</v>
      </c>
      <c r="O965" s="5"/>
    </row>
    <row r="966" spans="6:15" x14ac:dyDescent="0.3">
      <c r="F966">
        <f>MONTH(Table1[[#This Row],[Date  (DMY)]])</f>
        <v>1</v>
      </c>
      <c r="G966" s="2"/>
      <c r="L966" s="5"/>
      <c r="M966" s="4">
        <f>M965-Table1[[#This Row],[Debits]]+Table1[[#This Row],[Income]]</f>
        <v>1900</v>
      </c>
      <c r="N966" t="str">
        <f>IF(AND(Table1[[#This Row],[Category]]="pay",NOT(Table1[[#This Row],[Debits]]=0)),"bad","good")</f>
        <v>good</v>
      </c>
      <c r="O966" s="5"/>
    </row>
    <row r="967" spans="6:15" x14ac:dyDescent="0.3">
      <c r="F967">
        <f>MONTH(Table1[[#This Row],[Date  (DMY)]])</f>
        <v>1</v>
      </c>
      <c r="G967" s="2"/>
      <c r="L967" s="5"/>
      <c r="M967" s="4">
        <f>M966-Table1[[#This Row],[Debits]]+Table1[[#This Row],[Income]]</f>
        <v>1900</v>
      </c>
      <c r="N967" t="str">
        <f>IF(AND(Table1[[#This Row],[Category]]="pay",NOT(Table1[[#This Row],[Debits]]=0)),"bad","good")</f>
        <v>good</v>
      </c>
      <c r="O967" s="5"/>
    </row>
    <row r="968" spans="6:15" x14ac:dyDescent="0.3">
      <c r="F968">
        <f>MONTH(Table1[[#This Row],[Date  (DMY)]])</f>
        <v>1</v>
      </c>
      <c r="G968" s="2"/>
      <c r="L968" s="5"/>
      <c r="M968" s="4">
        <f>M967-Table1[[#This Row],[Debits]]+Table1[[#This Row],[Income]]</f>
        <v>1900</v>
      </c>
      <c r="N968" t="str">
        <f>IF(AND(Table1[[#This Row],[Category]]="pay",NOT(Table1[[#This Row],[Debits]]=0)),"bad","good")</f>
        <v>good</v>
      </c>
      <c r="O968" s="5"/>
    </row>
    <row r="969" spans="6:15" x14ac:dyDescent="0.3">
      <c r="F969">
        <f>MONTH(Table1[[#This Row],[Date  (DMY)]])</f>
        <v>1</v>
      </c>
      <c r="G969" s="2"/>
      <c r="L969" s="5"/>
      <c r="M969" s="4">
        <f>M968-Table1[[#This Row],[Debits]]+Table1[[#This Row],[Income]]</f>
        <v>1900</v>
      </c>
      <c r="N969" t="str">
        <f>IF(AND(Table1[[#This Row],[Category]]="pay",NOT(Table1[[#This Row],[Debits]]=0)),"bad","good")</f>
        <v>good</v>
      </c>
      <c r="O969" s="5"/>
    </row>
    <row r="970" spans="6:15" x14ac:dyDescent="0.3">
      <c r="F970">
        <f>MONTH(Table1[[#This Row],[Date  (DMY)]])</f>
        <v>1</v>
      </c>
      <c r="G970" s="2"/>
      <c r="L970" s="5"/>
      <c r="M970" s="4">
        <f>M969-Table1[[#This Row],[Debits]]+Table1[[#This Row],[Income]]</f>
        <v>1900</v>
      </c>
      <c r="N970" t="str">
        <f>IF(AND(Table1[[#This Row],[Category]]="pay",NOT(Table1[[#This Row],[Debits]]=0)),"bad","good")</f>
        <v>good</v>
      </c>
      <c r="O970" s="5"/>
    </row>
    <row r="971" spans="6:15" x14ac:dyDescent="0.3">
      <c r="F971">
        <f>MONTH(Table1[[#This Row],[Date  (DMY)]])</f>
        <v>1</v>
      </c>
      <c r="G971" s="2"/>
      <c r="L971" s="5"/>
      <c r="M971" s="4">
        <f>M970-Table1[[#This Row],[Debits]]+Table1[[#This Row],[Income]]</f>
        <v>1900</v>
      </c>
      <c r="N971" t="str">
        <f>IF(AND(Table1[[#This Row],[Category]]="pay",NOT(Table1[[#This Row],[Debits]]=0)),"bad","good")</f>
        <v>good</v>
      </c>
      <c r="O971" s="5"/>
    </row>
    <row r="972" spans="6:15" x14ac:dyDescent="0.3">
      <c r="F972">
        <f>MONTH(Table1[[#This Row],[Date  (DMY)]])</f>
        <v>1</v>
      </c>
      <c r="G972" s="2"/>
      <c r="L972" s="5"/>
      <c r="M972" s="4">
        <f>M971-Table1[[#This Row],[Debits]]+Table1[[#This Row],[Income]]</f>
        <v>1900</v>
      </c>
      <c r="N972" t="str">
        <f>IF(AND(Table1[[#This Row],[Category]]="pay",NOT(Table1[[#This Row],[Debits]]=0)),"bad","good")</f>
        <v>good</v>
      </c>
      <c r="O972" s="5"/>
    </row>
    <row r="973" spans="6:15" x14ac:dyDescent="0.3">
      <c r="F973">
        <f>MONTH(Table1[[#This Row],[Date  (DMY)]])</f>
        <v>1</v>
      </c>
      <c r="G973" s="2"/>
      <c r="L973" s="5"/>
      <c r="M973" s="4">
        <f>M972-Table1[[#This Row],[Debits]]+Table1[[#This Row],[Income]]</f>
        <v>1900</v>
      </c>
      <c r="N973" t="str">
        <f>IF(AND(Table1[[#This Row],[Category]]="pay",NOT(Table1[[#This Row],[Debits]]=0)),"bad","good")</f>
        <v>good</v>
      </c>
      <c r="O973" s="5"/>
    </row>
    <row r="974" spans="6:15" x14ac:dyDescent="0.3">
      <c r="F974">
        <f>MONTH(Table1[[#This Row],[Date  (DMY)]])</f>
        <v>1</v>
      </c>
      <c r="G974" s="2"/>
      <c r="L974" s="5"/>
      <c r="M974" s="4">
        <f>M973-Table1[[#This Row],[Debits]]+Table1[[#This Row],[Income]]</f>
        <v>1900</v>
      </c>
      <c r="N974" t="str">
        <f>IF(AND(Table1[[#This Row],[Category]]="pay",NOT(Table1[[#This Row],[Debits]]=0)),"bad","good")</f>
        <v>good</v>
      </c>
      <c r="O974" s="5"/>
    </row>
    <row r="975" spans="6:15" x14ac:dyDescent="0.3">
      <c r="F975">
        <f>MONTH(Table1[[#This Row],[Date  (DMY)]])</f>
        <v>1</v>
      </c>
      <c r="G975" s="2"/>
      <c r="L975" s="5"/>
      <c r="M975" s="4">
        <f>M974-Table1[[#This Row],[Debits]]+Table1[[#This Row],[Income]]</f>
        <v>1900</v>
      </c>
      <c r="N975" t="str">
        <f>IF(AND(Table1[[#This Row],[Category]]="pay",NOT(Table1[[#This Row],[Debits]]=0)),"bad","good")</f>
        <v>good</v>
      </c>
      <c r="O975" s="5"/>
    </row>
    <row r="976" spans="6:15" x14ac:dyDescent="0.3">
      <c r="F976">
        <f>MONTH(Table1[[#This Row],[Date  (DMY)]])</f>
        <v>1</v>
      </c>
      <c r="G976" s="2"/>
      <c r="L976" s="5"/>
      <c r="M976" s="4">
        <f>M975-Table1[[#This Row],[Debits]]+Table1[[#This Row],[Income]]</f>
        <v>1900</v>
      </c>
      <c r="N976" t="str">
        <f>IF(AND(Table1[[#This Row],[Category]]="pay",NOT(Table1[[#This Row],[Debits]]=0)),"bad","good")</f>
        <v>good</v>
      </c>
      <c r="O976" s="5"/>
    </row>
    <row r="977" spans="6:15" x14ac:dyDescent="0.3">
      <c r="F977">
        <f>MONTH(Table1[[#This Row],[Date  (DMY)]])</f>
        <v>1</v>
      </c>
      <c r="G977" s="2"/>
      <c r="L977" s="5"/>
      <c r="M977" s="4">
        <f>M976-Table1[[#This Row],[Debits]]+Table1[[#This Row],[Income]]</f>
        <v>1900</v>
      </c>
      <c r="N977" t="str">
        <f>IF(AND(Table1[[#This Row],[Category]]="pay",NOT(Table1[[#This Row],[Debits]]=0)),"bad","good")</f>
        <v>good</v>
      </c>
      <c r="O977" s="5"/>
    </row>
    <row r="978" spans="6:15" x14ac:dyDescent="0.3">
      <c r="F978">
        <f>MONTH(Table1[[#This Row],[Date  (DMY)]])</f>
        <v>1</v>
      </c>
      <c r="G978" s="2"/>
      <c r="L978" s="5"/>
      <c r="M978" s="4">
        <f>M977-Table1[[#This Row],[Debits]]+Table1[[#This Row],[Income]]</f>
        <v>1900</v>
      </c>
      <c r="N978" t="str">
        <f>IF(AND(Table1[[#This Row],[Category]]="pay",NOT(Table1[[#This Row],[Debits]]=0)),"bad","good")</f>
        <v>good</v>
      </c>
      <c r="O978" s="5"/>
    </row>
    <row r="979" spans="6:15" x14ac:dyDescent="0.3">
      <c r="F979">
        <f>MONTH(Table1[[#This Row],[Date  (DMY)]])</f>
        <v>1</v>
      </c>
      <c r="G979" s="2"/>
      <c r="L979" s="5"/>
      <c r="M979" s="4">
        <f>M978-Table1[[#This Row],[Debits]]+Table1[[#This Row],[Income]]</f>
        <v>1900</v>
      </c>
      <c r="N979" t="str">
        <f>IF(AND(Table1[[#This Row],[Category]]="pay",NOT(Table1[[#This Row],[Debits]]=0)),"bad","good")</f>
        <v>good</v>
      </c>
      <c r="O979" s="5"/>
    </row>
    <row r="980" spans="6:15" x14ac:dyDescent="0.3">
      <c r="F980">
        <f>MONTH(Table1[[#This Row],[Date  (DMY)]])</f>
        <v>1</v>
      </c>
      <c r="G980" s="2"/>
      <c r="L980" s="5"/>
      <c r="M980" s="4">
        <f>M979-Table1[[#This Row],[Debits]]+Table1[[#This Row],[Income]]</f>
        <v>1900</v>
      </c>
      <c r="N980" t="str">
        <f>IF(AND(Table1[[#This Row],[Category]]="pay",NOT(Table1[[#This Row],[Debits]]=0)),"bad","good")</f>
        <v>good</v>
      </c>
      <c r="O980" s="5"/>
    </row>
    <row r="981" spans="6:15" x14ac:dyDescent="0.3">
      <c r="F981">
        <f>MONTH(Table1[[#This Row],[Date  (DMY)]])</f>
        <v>1</v>
      </c>
      <c r="G981" s="2"/>
      <c r="L981" s="5"/>
      <c r="M981" s="4">
        <f>M980-Table1[[#This Row],[Debits]]+Table1[[#This Row],[Income]]</f>
        <v>1900</v>
      </c>
      <c r="N981" t="str">
        <f>IF(AND(Table1[[#This Row],[Category]]="pay",NOT(Table1[[#This Row],[Debits]]=0)),"bad","good")</f>
        <v>good</v>
      </c>
      <c r="O981" s="5"/>
    </row>
    <row r="982" spans="6:15" x14ac:dyDescent="0.3">
      <c r="F982">
        <f>MONTH(Table1[[#This Row],[Date  (DMY)]])</f>
        <v>1</v>
      </c>
      <c r="G982" s="2"/>
      <c r="L982" s="5"/>
      <c r="M982" s="4">
        <f>M981-Table1[[#This Row],[Debits]]+Table1[[#This Row],[Income]]</f>
        <v>1900</v>
      </c>
      <c r="N982" t="str">
        <f>IF(AND(Table1[[#This Row],[Category]]="pay",NOT(Table1[[#This Row],[Debits]]=0)),"bad","good")</f>
        <v>good</v>
      </c>
      <c r="O982" s="5"/>
    </row>
    <row r="983" spans="6:15" x14ac:dyDescent="0.3">
      <c r="F983">
        <f>MONTH(Table1[[#This Row],[Date  (DMY)]])</f>
        <v>1</v>
      </c>
      <c r="G983" s="2"/>
      <c r="L983" s="5"/>
      <c r="M983" s="4">
        <f>M982-Table1[[#This Row],[Debits]]+Table1[[#This Row],[Income]]</f>
        <v>1900</v>
      </c>
      <c r="N983" t="str">
        <f>IF(AND(Table1[[#This Row],[Category]]="pay",NOT(Table1[[#This Row],[Debits]]=0)),"bad","good")</f>
        <v>good</v>
      </c>
      <c r="O983" s="5"/>
    </row>
    <row r="984" spans="6:15" x14ac:dyDescent="0.3">
      <c r="F984">
        <f>MONTH(Table1[[#This Row],[Date  (DMY)]])</f>
        <v>1</v>
      </c>
      <c r="G984" s="2"/>
      <c r="L984" s="5"/>
      <c r="M984" s="4">
        <f>M983-Table1[[#This Row],[Debits]]+Table1[[#This Row],[Income]]</f>
        <v>1900</v>
      </c>
      <c r="N984" t="str">
        <f>IF(AND(Table1[[#This Row],[Category]]="pay",NOT(Table1[[#This Row],[Debits]]=0)),"bad","good")</f>
        <v>good</v>
      </c>
      <c r="O984" s="5"/>
    </row>
    <row r="985" spans="6:15" x14ac:dyDescent="0.3">
      <c r="F985">
        <f>MONTH(Table1[[#This Row],[Date  (DMY)]])</f>
        <v>1</v>
      </c>
      <c r="G985" s="2"/>
      <c r="L985" s="5"/>
      <c r="M985" s="4">
        <f>M984-Table1[[#This Row],[Debits]]+Table1[[#This Row],[Income]]</f>
        <v>1900</v>
      </c>
      <c r="N985" t="str">
        <f>IF(AND(Table1[[#This Row],[Category]]="pay",NOT(Table1[[#This Row],[Debits]]=0)),"bad","good")</f>
        <v>good</v>
      </c>
      <c r="O985" s="5"/>
    </row>
    <row r="986" spans="6:15" x14ac:dyDescent="0.3">
      <c r="F986">
        <f>MONTH(Table1[[#This Row],[Date  (DMY)]])</f>
        <v>1</v>
      </c>
      <c r="G986" s="2"/>
      <c r="L986" s="5"/>
      <c r="M986" s="4">
        <f>M985-Table1[[#This Row],[Debits]]+Table1[[#This Row],[Income]]</f>
        <v>1900</v>
      </c>
      <c r="N986" t="str">
        <f>IF(AND(Table1[[#This Row],[Category]]="pay",NOT(Table1[[#This Row],[Debits]]=0)),"bad","good")</f>
        <v>good</v>
      </c>
      <c r="O986" s="5"/>
    </row>
    <row r="987" spans="6:15" x14ac:dyDescent="0.3">
      <c r="F987">
        <f>MONTH(Table1[[#This Row],[Date  (DMY)]])</f>
        <v>1</v>
      </c>
      <c r="G987" s="2"/>
      <c r="L987" s="5"/>
      <c r="M987" s="4">
        <f>M986-Table1[[#This Row],[Debits]]+Table1[[#This Row],[Income]]</f>
        <v>1900</v>
      </c>
      <c r="N987" t="str">
        <f>IF(AND(Table1[[#This Row],[Category]]="pay",NOT(Table1[[#This Row],[Debits]]=0)),"bad","good")</f>
        <v>good</v>
      </c>
      <c r="O987" s="5"/>
    </row>
    <row r="988" spans="6:15" x14ac:dyDescent="0.3">
      <c r="F988">
        <f>MONTH(Table1[[#This Row],[Date  (DMY)]])</f>
        <v>1</v>
      </c>
      <c r="G988" s="2"/>
      <c r="L988" s="5"/>
      <c r="M988" s="4">
        <f>M987-Table1[[#This Row],[Debits]]+Table1[[#This Row],[Income]]</f>
        <v>1900</v>
      </c>
      <c r="N988" t="str">
        <f>IF(AND(Table1[[#This Row],[Category]]="pay",NOT(Table1[[#This Row],[Debits]]=0)),"bad","good")</f>
        <v>good</v>
      </c>
      <c r="O988" s="5"/>
    </row>
    <row r="989" spans="6:15" x14ac:dyDescent="0.3">
      <c r="F989">
        <f>MONTH(Table1[[#This Row],[Date  (DMY)]])</f>
        <v>1</v>
      </c>
      <c r="G989" s="2"/>
      <c r="L989" s="5"/>
      <c r="M989" s="4">
        <f>M988-Table1[[#This Row],[Debits]]+Table1[[#This Row],[Income]]</f>
        <v>1900</v>
      </c>
      <c r="N989" t="str">
        <f>IF(AND(Table1[[#This Row],[Category]]="pay",NOT(Table1[[#This Row],[Debits]]=0)),"bad","good")</f>
        <v>good</v>
      </c>
      <c r="O989" s="5"/>
    </row>
    <row r="990" spans="6:15" x14ac:dyDescent="0.3">
      <c r="F990">
        <f>MONTH(Table1[[#This Row],[Date  (DMY)]])</f>
        <v>1</v>
      </c>
      <c r="G990" s="2"/>
      <c r="L990" s="5"/>
      <c r="M990" s="4">
        <f>M989-Table1[[#This Row],[Debits]]+Table1[[#This Row],[Income]]</f>
        <v>1900</v>
      </c>
      <c r="N990" t="str">
        <f>IF(AND(Table1[[#This Row],[Category]]="pay",NOT(Table1[[#This Row],[Debits]]=0)),"bad","good")</f>
        <v>good</v>
      </c>
      <c r="O990" s="5"/>
    </row>
    <row r="991" spans="6:15" x14ac:dyDescent="0.3">
      <c r="F991">
        <f>MONTH(Table1[[#This Row],[Date  (DMY)]])</f>
        <v>1</v>
      </c>
      <c r="G991" s="2"/>
      <c r="L991" s="5"/>
      <c r="M991" s="4">
        <f>M990-Table1[[#This Row],[Debits]]+Table1[[#This Row],[Income]]</f>
        <v>1900</v>
      </c>
      <c r="N991" t="str">
        <f>IF(AND(Table1[[#This Row],[Category]]="pay",NOT(Table1[[#This Row],[Debits]]=0)),"bad","good")</f>
        <v>good</v>
      </c>
      <c r="O991" s="5"/>
    </row>
    <row r="992" spans="6:15" x14ac:dyDescent="0.3">
      <c r="F992">
        <f>MONTH(Table1[[#This Row],[Date  (DMY)]])</f>
        <v>1</v>
      </c>
      <c r="G992" s="2"/>
      <c r="L992" s="5"/>
      <c r="M992" s="4">
        <f>M991-Table1[[#This Row],[Debits]]+Table1[[#This Row],[Income]]</f>
        <v>1900</v>
      </c>
      <c r="N992" t="str">
        <f>IF(AND(Table1[[#This Row],[Category]]="pay",NOT(Table1[[#This Row],[Debits]]=0)),"bad","good")</f>
        <v>good</v>
      </c>
      <c r="O992" s="5"/>
    </row>
    <row r="993" spans="6:15" x14ac:dyDescent="0.3">
      <c r="F993">
        <f>MONTH(Table1[[#This Row],[Date  (DMY)]])</f>
        <v>1</v>
      </c>
      <c r="G993" s="2"/>
      <c r="L993" s="5"/>
      <c r="M993" s="4">
        <f>M992-Table1[[#This Row],[Debits]]+Table1[[#This Row],[Income]]</f>
        <v>1900</v>
      </c>
      <c r="N993" t="str">
        <f>IF(AND(Table1[[#This Row],[Category]]="pay",NOT(Table1[[#This Row],[Debits]]=0)),"bad","good")</f>
        <v>good</v>
      </c>
      <c r="O993" s="5"/>
    </row>
    <row r="994" spans="6:15" x14ac:dyDescent="0.3">
      <c r="F994">
        <f>MONTH(Table1[[#This Row],[Date  (DMY)]])</f>
        <v>1</v>
      </c>
      <c r="G994" s="2"/>
      <c r="L994" s="5"/>
      <c r="M994" s="4">
        <f>M993-Table1[[#This Row],[Debits]]+Table1[[#This Row],[Income]]</f>
        <v>1900</v>
      </c>
      <c r="N994" t="str">
        <f>IF(AND(Table1[[#This Row],[Category]]="pay",NOT(Table1[[#This Row],[Debits]]=0)),"bad","good")</f>
        <v>good</v>
      </c>
      <c r="O994" s="5"/>
    </row>
    <row r="995" spans="6:15" x14ac:dyDescent="0.3">
      <c r="F995">
        <f>MONTH(Table1[[#This Row],[Date  (DMY)]])</f>
        <v>1</v>
      </c>
      <c r="G995" s="2"/>
      <c r="L995" s="5"/>
      <c r="M995" s="4">
        <f>M994-Table1[[#This Row],[Debits]]+Table1[[#This Row],[Income]]</f>
        <v>1900</v>
      </c>
      <c r="N995" t="str">
        <f>IF(AND(Table1[[#This Row],[Category]]="pay",NOT(Table1[[#This Row],[Debits]]=0)),"bad","good")</f>
        <v>good</v>
      </c>
      <c r="O995" s="5"/>
    </row>
    <row r="996" spans="6:15" x14ac:dyDescent="0.3">
      <c r="F996">
        <f>MONTH(Table1[[#This Row],[Date  (DMY)]])</f>
        <v>1</v>
      </c>
      <c r="G996" s="2"/>
      <c r="L996" s="5"/>
      <c r="M996" s="4">
        <f>M995-Table1[[#This Row],[Debits]]+Table1[[#This Row],[Income]]</f>
        <v>1900</v>
      </c>
      <c r="N996" t="str">
        <f>IF(AND(Table1[[#This Row],[Category]]="pay",NOT(Table1[[#This Row],[Debits]]=0)),"bad","good")</f>
        <v>good</v>
      </c>
      <c r="O996" s="5"/>
    </row>
    <row r="997" spans="6:15" x14ac:dyDescent="0.3">
      <c r="F997">
        <f>MONTH(Table1[[#This Row],[Date  (DMY)]])</f>
        <v>1</v>
      </c>
      <c r="G997" s="2"/>
      <c r="L997" s="5"/>
      <c r="M997" s="4">
        <f>M996-Table1[[#This Row],[Debits]]+Table1[[#This Row],[Income]]</f>
        <v>1900</v>
      </c>
      <c r="N997" t="str">
        <f>IF(AND(Table1[[#This Row],[Category]]="pay",NOT(Table1[[#This Row],[Debits]]=0)),"bad","good")</f>
        <v>good</v>
      </c>
      <c r="O997" s="5"/>
    </row>
    <row r="998" spans="6:15" x14ac:dyDescent="0.3">
      <c r="F998">
        <f>MONTH(Table1[[#This Row],[Date  (DMY)]])</f>
        <v>1</v>
      </c>
      <c r="G998" s="2"/>
      <c r="L998" s="5"/>
      <c r="M998" s="4">
        <f>M997-Table1[[#This Row],[Debits]]+Table1[[#This Row],[Income]]</f>
        <v>1900</v>
      </c>
      <c r="N998" t="str">
        <f>IF(AND(Table1[[#This Row],[Category]]="pay",NOT(Table1[[#This Row],[Debits]]=0)),"bad","good")</f>
        <v>good</v>
      </c>
      <c r="O998" s="5"/>
    </row>
    <row r="999" spans="6:15" x14ac:dyDescent="0.3">
      <c r="F999">
        <f>MONTH(Table1[[#This Row],[Date  (DMY)]])</f>
        <v>1</v>
      </c>
      <c r="G999" s="2"/>
      <c r="L999" s="5"/>
      <c r="M999" s="4">
        <f>M998-Table1[[#This Row],[Debits]]+Table1[[#This Row],[Income]]</f>
        <v>1900</v>
      </c>
      <c r="N999" t="str">
        <f>IF(AND(Table1[[#This Row],[Category]]="pay",NOT(Table1[[#This Row],[Debits]]=0)),"bad","good")</f>
        <v>good</v>
      </c>
      <c r="O999" s="5"/>
    </row>
    <row r="1000" spans="6:15" x14ac:dyDescent="0.3">
      <c r="F1000">
        <f>MONTH(Table1[[#This Row],[Date  (DMY)]])</f>
        <v>1</v>
      </c>
      <c r="G1000" s="2"/>
      <c r="L1000" s="5"/>
      <c r="M1000" s="4">
        <f>M999-Table1[[#This Row],[Debits]]+Table1[[#This Row],[Income]]</f>
        <v>1900</v>
      </c>
      <c r="N1000" t="str">
        <f>IF(AND(Table1[[#This Row],[Category]]="pay",NOT(Table1[[#This Row],[Debits]]=0)),"bad","good")</f>
        <v>good</v>
      </c>
      <c r="O1000" s="5"/>
    </row>
    <row r="1001" spans="6:15" x14ac:dyDescent="0.3">
      <c r="F1001">
        <f>MONTH(Table1[[#This Row],[Date  (DMY)]])</f>
        <v>1</v>
      </c>
      <c r="G1001" s="2"/>
      <c r="L1001" s="5"/>
      <c r="M1001" s="4">
        <f>M1000-Table1[[#This Row],[Debits]]+Table1[[#This Row],[Income]]</f>
        <v>1900</v>
      </c>
      <c r="N1001" t="str">
        <f>IF(AND(Table1[[#This Row],[Category]]="pay",NOT(Table1[[#This Row],[Debits]]=0)),"bad","good")</f>
        <v>good</v>
      </c>
      <c r="O1001" s="5"/>
    </row>
    <row r="1002" spans="6:15" x14ac:dyDescent="0.3">
      <c r="F1002">
        <f>MONTH(Table1[[#This Row],[Date  (DMY)]])</f>
        <v>1</v>
      </c>
      <c r="G1002" s="2"/>
      <c r="L1002" s="5"/>
      <c r="M1002" s="4">
        <f>M1001-Table1[[#This Row],[Debits]]+Table1[[#This Row],[Income]]</f>
        <v>1900</v>
      </c>
      <c r="N1002" t="str">
        <f>IF(AND(Table1[[#This Row],[Category]]="pay",NOT(Table1[[#This Row],[Debits]]=0)),"bad","good")</f>
        <v>good</v>
      </c>
      <c r="O1002" s="5"/>
    </row>
    <row r="1003" spans="6:15" x14ac:dyDescent="0.3">
      <c r="F1003">
        <f>MONTH(Table1[[#This Row],[Date  (DMY)]])</f>
        <v>1</v>
      </c>
      <c r="G1003" s="2"/>
      <c r="L1003" s="5"/>
      <c r="M1003" s="4">
        <f>M1002-Table1[[#This Row],[Debits]]+Table1[[#This Row],[Income]]</f>
        <v>1900</v>
      </c>
      <c r="N1003" t="str">
        <f>IF(AND(Table1[[#This Row],[Category]]="pay",NOT(Table1[[#This Row],[Debits]]=0)),"bad","good")</f>
        <v>good</v>
      </c>
      <c r="O1003" s="5"/>
    </row>
    <row r="1004" spans="6:15" x14ac:dyDescent="0.3">
      <c r="F1004">
        <f>MONTH(Table1[[#This Row],[Date  (DMY)]])</f>
        <v>1</v>
      </c>
      <c r="G1004" s="2"/>
      <c r="L1004" s="5"/>
      <c r="M1004" s="4">
        <f>M1003-Table1[[#This Row],[Debits]]+Table1[[#This Row],[Income]]</f>
        <v>1900</v>
      </c>
      <c r="N1004" t="str">
        <f>IF(AND(Table1[[#This Row],[Category]]="pay",NOT(Table1[[#This Row],[Debits]]=0)),"bad","good")</f>
        <v>good</v>
      </c>
      <c r="O1004" s="5"/>
    </row>
    <row r="1005" spans="6:15" x14ac:dyDescent="0.3">
      <c r="F1005">
        <f>MONTH(Table1[[#This Row],[Date  (DMY)]])</f>
        <v>1</v>
      </c>
      <c r="G1005" s="2"/>
      <c r="L1005" s="5"/>
      <c r="M1005" s="4">
        <f>M1004-Table1[[#This Row],[Debits]]+Table1[[#This Row],[Income]]</f>
        <v>1900</v>
      </c>
      <c r="N1005" t="str">
        <f>IF(AND(Table1[[#This Row],[Category]]="pay",NOT(Table1[[#This Row],[Debits]]=0)),"bad","good")</f>
        <v>good</v>
      </c>
      <c r="O1005" s="5"/>
    </row>
    <row r="1006" spans="6:15" x14ac:dyDescent="0.3">
      <c r="F1006">
        <f>MONTH(Table1[[#This Row],[Date  (DMY)]])</f>
        <v>1</v>
      </c>
      <c r="G1006" s="2"/>
      <c r="L1006" s="5"/>
      <c r="M1006" s="4">
        <f>M1005-Table1[[#This Row],[Debits]]+Table1[[#This Row],[Income]]</f>
        <v>1900</v>
      </c>
      <c r="N1006" t="str">
        <f>IF(AND(Table1[[#This Row],[Category]]="pay",NOT(Table1[[#This Row],[Debits]]=0)),"bad","good")</f>
        <v>good</v>
      </c>
      <c r="O1006" s="5"/>
    </row>
    <row r="1007" spans="6:15" x14ac:dyDescent="0.3">
      <c r="F1007">
        <f>MONTH(Table1[[#This Row],[Date  (DMY)]])</f>
        <v>1</v>
      </c>
      <c r="G1007" s="2"/>
      <c r="L1007" s="5"/>
      <c r="M1007" s="4">
        <f>M1006-Table1[[#This Row],[Debits]]+Table1[[#This Row],[Income]]</f>
        <v>1900</v>
      </c>
      <c r="N1007" t="str">
        <f>IF(AND(Table1[[#This Row],[Category]]="pay",NOT(Table1[[#This Row],[Debits]]=0)),"bad","good")</f>
        <v>good</v>
      </c>
      <c r="O1007" s="5"/>
    </row>
    <row r="1008" spans="6:15" x14ac:dyDescent="0.3">
      <c r="F1008">
        <f>MONTH(Table1[[#This Row],[Date  (DMY)]])</f>
        <v>1</v>
      </c>
      <c r="G1008" s="2"/>
      <c r="L1008" s="5"/>
      <c r="M1008" s="4">
        <f>M1007-Table1[[#This Row],[Debits]]+Table1[[#This Row],[Income]]</f>
        <v>1900</v>
      </c>
      <c r="N1008" t="str">
        <f>IF(AND(Table1[[#This Row],[Category]]="pay",NOT(Table1[[#This Row],[Debits]]=0)),"bad","good")</f>
        <v>good</v>
      </c>
      <c r="O1008" s="5"/>
    </row>
    <row r="1009" spans="6:15" x14ac:dyDescent="0.3">
      <c r="F1009">
        <f>MONTH(Table1[[#This Row],[Date  (DMY)]])</f>
        <v>1</v>
      </c>
      <c r="G1009" s="2"/>
      <c r="L1009" s="5"/>
      <c r="M1009" s="4">
        <f>M1008-Table1[[#This Row],[Debits]]+Table1[[#This Row],[Income]]</f>
        <v>1900</v>
      </c>
      <c r="N1009" t="str">
        <f>IF(AND(Table1[[#This Row],[Category]]="pay",NOT(Table1[[#This Row],[Debits]]=0)),"bad","good")</f>
        <v>good</v>
      </c>
      <c r="O1009" s="5"/>
    </row>
    <row r="1010" spans="6:15" x14ac:dyDescent="0.3">
      <c r="F1010">
        <f>MONTH(Table1[[#This Row],[Date  (DMY)]])</f>
        <v>1</v>
      </c>
      <c r="G1010" s="2"/>
      <c r="L1010" s="5"/>
      <c r="M1010" s="4">
        <f>M1009-Table1[[#This Row],[Debits]]+Table1[[#This Row],[Income]]</f>
        <v>1900</v>
      </c>
      <c r="N1010" t="str">
        <f>IF(AND(Table1[[#This Row],[Category]]="pay",NOT(Table1[[#This Row],[Debits]]=0)),"bad","good")</f>
        <v>good</v>
      </c>
      <c r="O1010" s="5"/>
    </row>
    <row r="1011" spans="6:15" x14ac:dyDescent="0.3">
      <c r="F1011">
        <f>MONTH(Table1[[#This Row],[Date  (DMY)]])</f>
        <v>1</v>
      </c>
      <c r="G1011" s="2"/>
      <c r="L1011" s="5"/>
      <c r="M1011" s="4">
        <f>M1010-Table1[[#This Row],[Debits]]+Table1[[#This Row],[Income]]</f>
        <v>1900</v>
      </c>
      <c r="N1011" t="str">
        <f>IF(AND(Table1[[#This Row],[Category]]="pay",NOT(Table1[[#This Row],[Debits]]=0)),"bad","good")</f>
        <v>good</v>
      </c>
      <c r="O1011" s="5"/>
    </row>
    <row r="1012" spans="6:15" x14ac:dyDescent="0.3">
      <c r="F1012">
        <f>MONTH(Table1[[#This Row],[Date  (DMY)]])</f>
        <v>1</v>
      </c>
      <c r="G1012" s="2"/>
      <c r="L1012" s="5"/>
      <c r="M1012" s="4">
        <f>M1011-Table1[[#This Row],[Debits]]+Table1[[#This Row],[Income]]</f>
        <v>1900</v>
      </c>
      <c r="N1012" t="str">
        <f>IF(AND(Table1[[#This Row],[Category]]="pay",NOT(Table1[[#This Row],[Debits]]=0)),"bad","good")</f>
        <v>good</v>
      </c>
      <c r="O1012" s="5"/>
    </row>
    <row r="1013" spans="6:15" x14ac:dyDescent="0.3">
      <c r="F1013">
        <f>MONTH(Table1[[#This Row],[Date  (DMY)]])</f>
        <v>1</v>
      </c>
      <c r="G1013" s="2"/>
      <c r="L1013" s="5"/>
      <c r="M1013" s="4">
        <f>M1012-Table1[[#This Row],[Debits]]+Table1[[#This Row],[Income]]</f>
        <v>1900</v>
      </c>
      <c r="N1013" t="str">
        <f>IF(AND(Table1[[#This Row],[Category]]="pay",NOT(Table1[[#This Row],[Debits]]=0)),"bad","good")</f>
        <v>good</v>
      </c>
      <c r="O1013" s="5"/>
    </row>
    <row r="1014" spans="6:15" x14ac:dyDescent="0.3">
      <c r="F1014">
        <f>MONTH(Table1[[#This Row],[Date  (DMY)]])</f>
        <v>1</v>
      </c>
      <c r="G1014" s="2"/>
      <c r="L1014" s="5"/>
      <c r="M1014" s="4">
        <f>M1013-Table1[[#This Row],[Debits]]+Table1[[#This Row],[Income]]</f>
        <v>1900</v>
      </c>
      <c r="N1014" t="str">
        <f>IF(AND(Table1[[#This Row],[Category]]="pay",NOT(Table1[[#This Row],[Debits]]=0)),"bad","good")</f>
        <v>good</v>
      </c>
      <c r="O1014" s="5"/>
    </row>
    <row r="1015" spans="6:15" x14ac:dyDescent="0.3">
      <c r="F1015">
        <f>MONTH(Table1[[#This Row],[Date  (DMY)]])</f>
        <v>1</v>
      </c>
      <c r="G1015" s="2"/>
      <c r="L1015" s="5"/>
      <c r="M1015" s="4">
        <f>M1014-Table1[[#This Row],[Debits]]+Table1[[#This Row],[Income]]</f>
        <v>1900</v>
      </c>
      <c r="N1015" t="str">
        <f>IF(AND(Table1[[#This Row],[Category]]="pay",NOT(Table1[[#This Row],[Debits]]=0)),"bad","good")</f>
        <v>good</v>
      </c>
      <c r="O1015" s="5"/>
    </row>
    <row r="1016" spans="6:15" x14ac:dyDescent="0.3">
      <c r="F1016">
        <f>MONTH(Table1[[#This Row],[Date  (DMY)]])</f>
        <v>1</v>
      </c>
      <c r="G1016" s="2"/>
      <c r="L1016" s="5"/>
      <c r="M1016" s="4">
        <f>M1015-Table1[[#This Row],[Debits]]+Table1[[#This Row],[Income]]</f>
        <v>1900</v>
      </c>
      <c r="N1016" t="str">
        <f>IF(AND(Table1[[#This Row],[Category]]="pay",NOT(Table1[[#This Row],[Debits]]=0)),"bad","good")</f>
        <v>good</v>
      </c>
      <c r="O1016" s="5"/>
    </row>
    <row r="1017" spans="6:15" x14ac:dyDescent="0.3">
      <c r="F1017">
        <f>MONTH(Table1[[#This Row],[Date  (DMY)]])</f>
        <v>1</v>
      </c>
      <c r="G1017" s="2"/>
      <c r="L1017" s="5"/>
      <c r="M1017" s="4">
        <f>M1016-Table1[[#This Row],[Debits]]+Table1[[#This Row],[Income]]</f>
        <v>1900</v>
      </c>
      <c r="N1017" t="str">
        <f>IF(AND(Table1[[#This Row],[Category]]="pay",NOT(Table1[[#This Row],[Debits]]=0)),"bad","good")</f>
        <v>good</v>
      </c>
      <c r="O1017" s="5"/>
    </row>
    <row r="1018" spans="6:15" x14ac:dyDescent="0.3">
      <c r="F1018">
        <f>MONTH(Table1[[#This Row],[Date  (DMY)]])</f>
        <v>1</v>
      </c>
      <c r="G1018" s="2"/>
      <c r="L1018" s="5"/>
      <c r="M1018" s="4">
        <f>M1017-Table1[[#This Row],[Debits]]+Table1[[#This Row],[Income]]</f>
        <v>1900</v>
      </c>
      <c r="N1018" t="str">
        <f>IF(AND(Table1[[#This Row],[Category]]="pay",NOT(Table1[[#This Row],[Debits]]=0)),"bad","good")</f>
        <v>good</v>
      </c>
      <c r="O1018" s="5"/>
    </row>
    <row r="1019" spans="6:15" x14ac:dyDescent="0.3">
      <c r="F1019">
        <f>MONTH(Table1[[#This Row],[Date  (DMY)]])</f>
        <v>1</v>
      </c>
      <c r="G1019" s="2"/>
      <c r="L1019" s="5"/>
      <c r="M1019" s="4">
        <f>M1018-Table1[[#This Row],[Debits]]+Table1[[#This Row],[Income]]</f>
        <v>1900</v>
      </c>
      <c r="N1019" t="str">
        <f>IF(AND(Table1[[#This Row],[Category]]="pay",NOT(Table1[[#This Row],[Debits]]=0)),"bad","good")</f>
        <v>good</v>
      </c>
      <c r="O1019" s="5"/>
    </row>
    <row r="1020" spans="6:15" x14ac:dyDescent="0.3">
      <c r="F1020">
        <f>MONTH(Table1[[#This Row],[Date  (DMY)]])</f>
        <v>1</v>
      </c>
      <c r="G1020" s="2"/>
      <c r="L1020" s="5"/>
      <c r="M1020" s="4">
        <f>M1019-Table1[[#This Row],[Debits]]+Table1[[#This Row],[Income]]</f>
        <v>1900</v>
      </c>
      <c r="N1020" t="str">
        <f>IF(AND(Table1[[#This Row],[Category]]="pay",NOT(Table1[[#This Row],[Debits]]=0)),"bad","good")</f>
        <v>good</v>
      </c>
      <c r="O1020" s="5"/>
    </row>
    <row r="1021" spans="6:15" x14ac:dyDescent="0.3">
      <c r="F1021">
        <f>MONTH(Table1[[#This Row],[Date  (DMY)]])</f>
        <v>1</v>
      </c>
      <c r="G1021" s="2"/>
      <c r="L1021" s="5"/>
      <c r="M1021" s="4">
        <f>M1020-Table1[[#This Row],[Debits]]+Table1[[#This Row],[Income]]</f>
        <v>1900</v>
      </c>
      <c r="N1021" t="str">
        <f>IF(AND(Table1[[#This Row],[Category]]="pay",NOT(Table1[[#This Row],[Debits]]=0)),"bad","good")</f>
        <v>good</v>
      </c>
      <c r="O1021" s="5"/>
    </row>
    <row r="1022" spans="6:15" x14ac:dyDescent="0.3">
      <c r="F1022">
        <f>MONTH(Table1[[#This Row],[Date  (DMY)]])</f>
        <v>1</v>
      </c>
      <c r="G1022" s="2"/>
      <c r="L1022" s="5"/>
      <c r="M1022" s="4">
        <f>M1021-Table1[[#This Row],[Debits]]+Table1[[#This Row],[Income]]</f>
        <v>1900</v>
      </c>
      <c r="N1022" t="str">
        <f>IF(AND(Table1[[#This Row],[Category]]="pay",NOT(Table1[[#This Row],[Debits]]=0)),"bad","good")</f>
        <v>good</v>
      </c>
      <c r="O1022" s="5"/>
    </row>
    <row r="1023" spans="6:15" x14ac:dyDescent="0.3">
      <c r="F1023">
        <f>MONTH(Table1[[#This Row],[Date  (DMY)]])</f>
        <v>1</v>
      </c>
      <c r="G1023" s="2"/>
      <c r="L1023" s="5"/>
      <c r="M1023" s="4">
        <f>M1022-Table1[[#This Row],[Debits]]+Table1[[#This Row],[Income]]</f>
        <v>1900</v>
      </c>
      <c r="N1023" t="str">
        <f>IF(AND(Table1[[#This Row],[Category]]="pay",NOT(Table1[[#This Row],[Debits]]=0)),"bad","good")</f>
        <v>good</v>
      </c>
      <c r="O1023" s="5"/>
    </row>
    <row r="1024" spans="6:15" x14ac:dyDescent="0.3">
      <c r="F1024">
        <f>MONTH(Table1[[#This Row],[Date  (DMY)]])</f>
        <v>1</v>
      </c>
      <c r="G1024" s="2"/>
      <c r="L1024" s="5"/>
      <c r="M1024" s="4">
        <f>M1023-Table1[[#This Row],[Debits]]+Table1[[#This Row],[Income]]</f>
        <v>1900</v>
      </c>
      <c r="N1024" t="str">
        <f>IF(AND(Table1[[#This Row],[Category]]="pay",NOT(Table1[[#This Row],[Debits]]=0)),"bad","good")</f>
        <v>good</v>
      </c>
      <c r="O1024" s="5"/>
    </row>
    <row r="1025" spans="6:15" x14ac:dyDescent="0.3">
      <c r="F1025">
        <f>MONTH(Table1[[#This Row],[Date  (DMY)]])</f>
        <v>1</v>
      </c>
      <c r="G1025" s="2"/>
      <c r="L1025" s="5"/>
      <c r="M1025" s="4">
        <f>M1024-Table1[[#This Row],[Debits]]+Table1[[#This Row],[Income]]</f>
        <v>1900</v>
      </c>
      <c r="N1025" t="str">
        <f>IF(AND(Table1[[#This Row],[Category]]="pay",NOT(Table1[[#This Row],[Debits]]=0)),"bad","good")</f>
        <v>good</v>
      </c>
      <c r="O1025" s="5"/>
    </row>
    <row r="1026" spans="6:15" x14ac:dyDescent="0.3">
      <c r="F1026">
        <f>MONTH(Table1[[#This Row],[Date  (DMY)]])</f>
        <v>1</v>
      </c>
      <c r="G1026" s="2"/>
      <c r="L1026" s="5"/>
      <c r="M1026" s="4">
        <f>M1025-Table1[[#This Row],[Debits]]+Table1[[#This Row],[Income]]</f>
        <v>1900</v>
      </c>
      <c r="N1026" t="str">
        <f>IF(AND(Table1[[#This Row],[Category]]="pay",NOT(Table1[[#This Row],[Debits]]=0)),"bad","good")</f>
        <v>good</v>
      </c>
      <c r="O1026" s="5"/>
    </row>
    <row r="1027" spans="6:15" x14ac:dyDescent="0.3">
      <c r="F1027">
        <f>MONTH(Table1[[#This Row],[Date  (DMY)]])</f>
        <v>1</v>
      </c>
      <c r="G1027" s="2"/>
      <c r="L1027" s="5"/>
      <c r="M1027" s="4">
        <f>M1026-Table1[[#This Row],[Debits]]+Table1[[#This Row],[Income]]</f>
        <v>1900</v>
      </c>
      <c r="N1027" t="str">
        <f>IF(AND(Table1[[#This Row],[Category]]="pay",NOT(Table1[[#This Row],[Debits]]=0)),"bad","good")</f>
        <v>good</v>
      </c>
      <c r="O1027" s="5"/>
    </row>
    <row r="1028" spans="6:15" x14ac:dyDescent="0.3">
      <c r="F1028">
        <f>MONTH(Table1[[#This Row],[Date  (DMY)]])</f>
        <v>1</v>
      </c>
      <c r="G1028" s="2"/>
      <c r="L1028" s="5"/>
      <c r="M1028" s="4">
        <f>M1027-Table1[[#This Row],[Debits]]+Table1[[#This Row],[Income]]</f>
        <v>1900</v>
      </c>
      <c r="N1028" t="str">
        <f>IF(AND(Table1[[#This Row],[Category]]="pay",NOT(Table1[[#This Row],[Debits]]=0)),"bad","good")</f>
        <v>good</v>
      </c>
      <c r="O1028" s="5"/>
    </row>
    <row r="1029" spans="6:15" x14ac:dyDescent="0.3">
      <c r="F1029">
        <f>MONTH(Table1[[#This Row],[Date  (DMY)]])</f>
        <v>1</v>
      </c>
      <c r="G1029" s="2"/>
      <c r="L1029" s="5"/>
      <c r="M1029" s="4">
        <f>M1028-Table1[[#This Row],[Debits]]+Table1[[#This Row],[Income]]</f>
        <v>1900</v>
      </c>
      <c r="N1029" t="str">
        <f>IF(AND(Table1[[#This Row],[Category]]="pay",NOT(Table1[[#This Row],[Debits]]=0)),"bad","good")</f>
        <v>good</v>
      </c>
      <c r="O1029" s="5"/>
    </row>
    <row r="1030" spans="6:15" x14ac:dyDescent="0.3">
      <c r="F1030">
        <f>MONTH(Table1[[#This Row],[Date  (DMY)]])</f>
        <v>1</v>
      </c>
      <c r="G1030" s="2"/>
      <c r="L1030" s="5"/>
      <c r="M1030" s="4">
        <f>M1029-Table1[[#This Row],[Debits]]+Table1[[#This Row],[Income]]</f>
        <v>1900</v>
      </c>
      <c r="N1030" t="str">
        <f>IF(AND(Table1[[#This Row],[Category]]="pay",NOT(Table1[[#This Row],[Debits]]=0)),"bad","good")</f>
        <v>good</v>
      </c>
      <c r="O1030" s="5"/>
    </row>
    <row r="1031" spans="6:15" x14ac:dyDescent="0.3">
      <c r="F1031">
        <f>MONTH(Table1[[#This Row],[Date  (DMY)]])</f>
        <v>1</v>
      </c>
      <c r="G1031" s="2"/>
      <c r="L1031" s="5"/>
      <c r="M1031" s="4">
        <f>M1030-Table1[[#This Row],[Debits]]+Table1[[#This Row],[Income]]</f>
        <v>1900</v>
      </c>
      <c r="N1031" t="str">
        <f>IF(AND(Table1[[#This Row],[Category]]="pay",NOT(Table1[[#This Row],[Debits]]=0)),"bad","good")</f>
        <v>good</v>
      </c>
      <c r="O1031" s="5"/>
    </row>
    <row r="1032" spans="6:15" x14ac:dyDescent="0.3">
      <c r="F1032">
        <f>MONTH(Table1[[#This Row],[Date  (DMY)]])</f>
        <v>1</v>
      </c>
      <c r="G1032" s="2"/>
      <c r="L1032" s="5"/>
      <c r="M1032" s="4">
        <f>M1031-Table1[[#This Row],[Debits]]+Table1[[#This Row],[Income]]</f>
        <v>1900</v>
      </c>
      <c r="N1032" t="str">
        <f>IF(AND(Table1[[#This Row],[Category]]="pay",NOT(Table1[[#This Row],[Debits]]=0)),"bad","good")</f>
        <v>good</v>
      </c>
      <c r="O1032" s="5"/>
    </row>
    <row r="1033" spans="6:15" x14ac:dyDescent="0.3">
      <c r="F1033">
        <f>MONTH(Table1[[#This Row],[Date  (DMY)]])</f>
        <v>1</v>
      </c>
      <c r="G1033" s="2"/>
      <c r="L1033" s="5"/>
      <c r="M1033" s="4">
        <f>M1032-Table1[[#This Row],[Debits]]+Table1[[#This Row],[Income]]</f>
        <v>1900</v>
      </c>
      <c r="N1033" t="str">
        <f>IF(AND(Table1[[#This Row],[Category]]="pay",NOT(Table1[[#This Row],[Debits]]=0)),"bad","good")</f>
        <v>good</v>
      </c>
      <c r="O1033" s="5"/>
    </row>
    <row r="1034" spans="6:15" x14ac:dyDescent="0.3">
      <c r="F1034">
        <f>MONTH(Table1[[#This Row],[Date  (DMY)]])</f>
        <v>1</v>
      </c>
      <c r="G1034" s="2"/>
      <c r="L1034" s="5"/>
      <c r="M1034" s="4">
        <f>M1033-Table1[[#This Row],[Debits]]+Table1[[#This Row],[Income]]</f>
        <v>1900</v>
      </c>
      <c r="N1034" t="str">
        <f>IF(AND(Table1[[#This Row],[Category]]="pay",NOT(Table1[[#This Row],[Debits]]=0)),"bad","good")</f>
        <v>good</v>
      </c>
      <c r="O1034" s="5"/>
    </row>
    <row r="1035" spans="6:15" x14ac:dyDescent="0.3">
      <c r="F1035">
        <f>MONTH(Table1[[#This Row],[Date  (DMY)]])</f>
        <v>1</v>
      </c>
      <c r="G1035" s="2"/>
      <c r="L1035" s="5"/>
      <c r="M1035" s="4">
        <f>M1034-Table1[[#This Row],[Debits]]+Table1[[#This Row],[Income]]</f>
        <v>1900</v>
      </c>
      <c r="N1035" t="str">
        <f>IF(AND(Table1[[#This Row],[Category]]="pay",NOT(Table1[[#This Row],[Debits]]=0)),"bad","good")</f>
        <v>good</v>
      </c>
      <c r="O1035" s="5"/>
    </row>
    <row r="1036" spans="6:15" x14ac:dyDescent="0.3">
      <c r="F1036">
        <f>MONTH(Table1[[#This Row],[Date  (DMY)]])</f>
        <v>1</v>
      </c>
      <c r="G1036" s="2"/>
      <c r="L1036" s="5"/>
      <c r="M1036" s="4">
        <f>M1035-Table1[[#This Row],[Debits]]+Table1[[#This Row],[Income]]</f>
        <v>1900</v>
      </c>
      <c r="N1036" t="str">
        <f>IF(AND(Table1[[#This Row],[Category]]="pay",NOT(Table1[[#This Row],[Debits]]=0)),"bad","good")</f>
        <v>good</v>
      </c>
      <c r="O1036" s="5"/>
    </row>
    <row r="1037" spans="6:15" x14ac:dyDescent="0.3">
      <c r="F1037">
        <f>MONTH(Table1[[#This Row],[Date  (DMY)]])</f>
        <v>1</v>
      </c>
      <c r="G1037" s="2"/>
      <c r="L1037" s="5"/>
      <c r="M1037" s="4">
        <f>M1036-Table1[[#This Row],[Debits]]+Table1[[#This Row],[Income]]</f>
        <v>1900</v>
      </c>
      <c r="N1037" t="str">
        <f>IF(AND(Table1[[#This Row],[Category]]="pay",NOT(Table1[[#This Row],[Debits]]=0)),"bad","good")</f>
        <v>good</v>
      </c>
      <c r="O1037" s="5"/>
    </row>
    <row r="1038" spans="6:15" x14ac:dyDescent="0.3">
      <c r="F1038">
        <f>MONTH(Table1[[#This Row],[Date  (DMY)]])</f>
        <v>1</v>
      </c>
      <c r="G1038" s="2"/>
      <c r="L1038" s="5"/>
      <c r="M1038" s="4">
        <f>M1037-Table1[[#This Row],[Debits]]+Table1[[#This Row],[Income]]</f>
        <v>1900</v>
      </c>
      <c r="N1038" t="str">
        <f>IF(AND(Table1[[#This Row],[Category]]="pay",NOT(Table1[[#This Row],[Debits]]=0)),"bad","good")</f>
        <v>good</v>
      </c>
      <c r="O1038" s="5"/>
    </row>
    <row r="1039" spans="6:15" x14ac:dyDescent="0.3">
      <c r="F1039">
        <f>MONTH(Table1[[#This Row],[Date  (DMY)]])</f>
        <v>1</v>
      </c>
      <c r="G1039" s="2"/>
      <c r="L1039" s="5"/>
      <c r="M1039" s="4">
        <f>M1038-Table1[[#This Row],[Debits]]+Table1[[#This Row],[Income]]</f>
        <v>1900</v>
      </c>
      <c r="N1039" t="str">
        <f>IF(AND(Table1[[#This Row],[Category]]="pay",NOT(Table1[[#This Row],[Debits]]=0)),"bad","good")</f>
        <v>good</v>
      </c>
      <c r="O1039" s="5"/>
    </row>
    <row r="1040" spans="6:15" x14ac:dyDescent="0.3">
      <c r="F1040">
        <f>MONTH(Table1[[#This Row],[Date  (DMY)]])</f>
        <v>1</v>
      </c>
      <c r="G1040" s="2"/>
      <c r="L1040" s="5"/>
      <c r="M1040" s="4">
        <f>M1039-Table1[[#This Row],[Debits]]+Table1[[#This Row],[Income]]</f>
        <v>1900</v>
      </c>
      <c r="N1040" t="str">
        <f>IF(AND(Table1[[#This Row],[Category]]="pay",NOT(Table1[[#This Row],[Debits]]=0)),"bad","good")</f>
        <v>good</v>
      </c>
      <c r="O1040" s="5"/>
    </row>
    <row r="1041" spans="6:15" x14ac:dyDescent="0.3">
      <c r="F1041">
        <f>MONTH(Table1[[#This Row],[Date  (DMY)]])</f>
        <v>1</v>
      </c>
      <c r="G1041" s="2"/>
      <c r="L1041" s="5"/>
      <c r="M1041" s="4">
        <f>M1040-Table1[[#This Row],[Debits]]+Table1[[#This Row],[Income]]</f>
        <v>1900</v>
      </c>
      <c r="N1041" t="str">
        <f>IF(AND(Table1[[#This Row],[Category]]="pay",NOT(Table1[[#This Row],[Debits]]=0)),"bad","good")</f>
        <v>good</v>
      </c>
      <c r="O1041" s="5"/>
    </row>
    <row r="1042" spans="6:15" x14ac:dyDescent="0.3">
      <c r="F1042">
        <f>MONTH(Table1[[#This Row],[Date  (DMY)]])</f>
        <v>1</v>
      </c>
      <c r="G1042" s="2"/>
      <c r="L1042" s="5"/>
      <c r="M1042" s="4">
        <f>M1041-Table1[[#This Row],[Debits]]+Table1[[#This Row],[Income]]</f>
        <v>1900</v>
      </c>
      <c r="N1042" t="str">
        <f>IF(AND(Table1[[#This Row],[Category]]="pay",NOT(Table1[[#This Row],[Debits]]=0)),"bad","good")</f>
        <v>good</v>
      </c>
      <c r="O1042" s="5"/>
    </row>
    <row r="1043" spans="6:15" x14ac:dyDescent="0.3">
      <c r="F1043">
        <f>MONTH(Table1[[#This Row],[Date  (DMY)]])</f>
        <v>1</v>
      </c>
      <c r="G1043" s="2"/>
      <c r="L1043" s="5"/>
      <c r="M1043" s="4">
        <f>M1042-Table1[[#This Row],[Debits]]+Table1[[#This Row],[Income]]</f>
        <v>1900</v>
      </c>
      <c r="N1043" t="str">
        <f>IF(AND(Table1[[#This Row],[Category]]="pay",NOT(Table1[[#This Row],[Debits]]=0)),"bad","good")</f>
        <v>good</v>
      </c>
      <c r="O1043" s="5"/>
    </row>
    <row r="1044" spans="6:15" x14ac:dyDescent="0.3">
      <c r="F1044">
        <f>MONTH(Table1[[#This Row],[Date  (DMY)]])</f>
        <v>1</v>
      </c>
      <c r="G1044" s="2"/>
      <c r="L1044" s="5"/>
      <c r="M1044" s="4">
        <f>M1043-Table1[[#This Row],[Debits]]+Table1[[#This Row],[Income]]</f>
        <v>1900</v>
      </c>
      <c r="N1044" t="str">
        <f>IF(AND(Table1[[#This Row],[Category]]="pay",NOT(Table1[[#This Row],[Debits]]=0)),"bad","good")</f>
        <v>good</v>
      </c>
      <c r="O1044" s="5"/>
    </row>
    <row r="1045" spans="6:15" x14ac:dyDescent="0.3">
      <c r="F1045">
        <f>MONTH(Table1[[#This Row],[Date  (DMY)]])</f>
        <v>1</v>
      </c>
      <c r="G1045" s="2"/>
      <c r="L1045" s="5"/>
      <c r="M1045" s="4">
        <f>M1044-Table1[[#This Row],[Debits]]+Table1[[#This Row],[Income]]</f>
        <v>1900</v>
      </c>
      <c r="N1045" t="str">
        <f>IF(AND(Table1[[#This Row],[Category]]="pay",NOT(Table1[[#This Row],[Debits]]=0)),"bad","good")</f>
        <v>good</v>
      </c>
      <c r="O1045" s="5"/>
    </row>
    <row r="1046" spans="6:15" x14ac:dyDescent="0.3">
      <c r="F1046">
        <f>MONTH(Table1[[#This Row],[Date  (DMY)]])</f>
        <v>1</v>
      </c>
      <c r="G1046" s="2"/>
      <c r="L1046" s="5"/>
      <c r="M1046" s="4">
        <f>M1045-Table1[[#This Row],[Debits]]+Table1[[#This Row],[Income]]</f>
        <v>1900</v>
      </c>
      <c r="N1046" t="str">
        <f>IF(AND(Table1[[#This Row],[Category]]="pay",NOT(Table1[[#This Row],[Debits]]=0)),"bad","good")</f>
        <v>good</v>
      </c>
      <c r="O1046" s="5"/>
    </row>
    <row r="1047" spans="6:15" x14ac:dyDescent="0.3">
      <c r="F1047">
        <f>MONTH(Table1[[#This Row],[Date  (DMY)]])</f>
        <v>1</v>
      </c>
      <c r="G1047" s="2"/>
      <c r="L1047" s="5"/>
      <c r="M1047" s="4">
        <f>M1046-Table1[[#This Row],[Debits]]+Table1[[#This Row],[Income]]</f>
        <v>1900</v>
      </c>
      <c r="N1047" t="str">
        <f>IF(AND(Table1[[#This Row],[Category]]="pay",NOT(Table1[[#This Row],[Debits]]=0)),"bad","good")</f>
        <v>good</v>
      </c>
      <c r="O1047" s="5"/>
    </row>
    <row r="1048" spans="6:15" x14ac:dyDescent="0.3">
      <c r="F1048">
        <f>MONTH(Table1[[#This Row],[Date  (DMY)]])</f>
        <v>1</v>
      </c>
      <c r="G1048" s="2"/>
      <c r="L1048" s="5"/>
      <c r="M1048" s="4">
        <f>M1047-Table1[[#This Row],[Debits]]+Table1[[#This Row],[Income]]</f>
        <v>1900</v>
      </c>
      <c r="N1048" t="str">
        <f>IF(AND(Table1[[#This Row],[Category]]="pay",NOT(Table1[[#This Row],[Debits]]=0)),"bad","good")</f>
        <v>good</v>
      </c>
      <c r="O1048" s="5"/>
    </row>
    <row r="1049" spans="6:15" x14ac:dyDescent="0.3">
      <c r="F1049">
        <f>MONTH(Table1[[#This Row],[Date  (DMY)]])</f>
        <v>1</v>
      </c>
      <c r="G1049" s="2"/>
      <c r="L1049" s="5"/>
      <c r="M1049" s="4">
        <f>M1048-Table1[[#This Row],[Debits]]+Table1[[#This Row],[Income]]</f>
        <v>1900</v>
      </c>
      <c r="N1049" t="str">
        <f>IF(AND(Table1[[#This Row],[Category]]="pay",NOT(Table1[[#This Row],[Debits]]=0)),"bad","good")</f>
        <v>good</v>
      </c>
      <c r="O1049" s="5"/>
    </row>
    <row r="1050" spans="6:15" x14ac:dyDescent="0.3">
      <c r="F1050">
        <f>MONTH(Table1[[#This Row],[Date  (DMY)]])</f>
        <v>1</v>
      </c>
      <c r="G1050" s="2"/>
      <c r="L1050" s="5"/>
      <c r="M1050" s="4">
        <f>M1049-Table1[[#This Row],[Debits]]+Table1[[#This Row],[Income]]</f>
        <v>1900</v>
      </c>
      <c r="N1050" t="str">
        <f>IF(AND(Table1[[#This Row],[Category]]="pay",NOT(Table1[[#This Row],[Debits]]=0)),"bad","good")</f>
        <v>good</v>
      </c>
      <c r="O1050" s="5"/>
    </row>
    <row r="1051" spans="6:15" x14ac:dyDescent="0.3">
      <c r="F1051">
        <f>MONTH(Table1[[#This Row],[Date  (DMY)]])</f>
        <v>1</v>
      </c>
      <c r="G1051" s="2"/>
      <c r="L1051" s="5"/>
      <c r="M1051" s="4">
        <f>M1050-Table1[[#This Row],[Debits]]+Table1[[#This Row],[Income]]</f>
        <v>1900</v>
      </c>
      <c r="N1051" t="str">
        <f>IF(AND(Table1[[#This Row],[Category]]="pay",NOT(Table1[[#This Row],[Debits]]=0)),"bad","good")</f>
        <v>good</v>
      </c>
      <c r="O1051" s="5"/>
    </row>
    <row r="1052" spans="6:15" x14ac:dyDescent="0.3">
      <c r="F1052">
        <f>MONTH(Table1[[#This Row],[Date  (DMY)]])</f>
        <v>1</v>
      </c>
      <c r="G1052" s="2"/>
      <c r="L1052" s="5"/>
      <c r="M1052" s="4">
        <f>M1051-Table1[[#This Row],[Debits]]+Table1[[#This Row],[Income]]</f>
        <v>1900</v>
      </c>
      <c r="N1052" t="str">
        <f>IF(AND(Table1[[#This Row],[Category]]="pay",NOT(Table1[[#This Row],[Debits]]=0)),"bad","good")</f>
        <v>good</v>
      </c>
      <c r="O1052" s="5"/>
    </row>
    <row r="1053" spans="6:15" x14ac:dyDescent="0.3">
      <c r="F1053">
        <f>MONTH(Table1[[#This Row],[Date  (DMY)]])</f>
        <v>1</v>
      </c>
      <c r="G1053" s="2"/>
      <c r="L1053" s="5"/>
      <c r="M1053" s="4">
        <f>M1052-Table1[[#This Row],[Debits]]+Table1[[#This Row],[Income]]</f>
        <v>1900</v>
      </c>
      <c r="N1053" t="str">
        <f>IF(AND(Table1[[#This Row],[Category]]="pay",NOT(Table1[[#This Row],[Debits]]=0)),"bad","good")</f>
        <v>good</v>
      </c>
      <c r="O1053" s="5"/>
    </row>
    <row r="1054" spans="6:15" x14ac:dyDescent="0.3">
      <c r="F1054">
        <f>MONTH(Table1[[#This Row],[Date  (DMY)]])</f>
        <v>1</v>
      </c>
      <c r="G1054" s="2"/>
      <c r="L1054" s="5"/>
      <c r="M1054" s="4">
        <f>M1053-Table1[[#This Row],[Debits]]+Table1[[#This Row],[Income]]</f>
        <v>1900</v>
      </c>
      <c r="N1054" t="str">
        <f>IF(AND(Table1[[#This Row],[Category]]="pay",NOT(Table1[[#This Row],[Debits]]=0)),"bad","good")</f>
        <v>good</v>
      </c>
      <c r="O1054" s="5"/>
    </row>
    <row r="1055" spans="6:15" x14ac:dyDescent="0.3">
      <c r="F1055">
        <f>MONTH(Table1[[#This Row],[Date  (DMY)]])</f>
        <v>1</v>
      </c>
      <c r="G1055" s="2"/>
      <c r="L1055" s="5"/>
      <c r="M1055" s="4">
        <f>M1054-Table1[[#This Row],[Debits]]+Table1[[#This Row],[Income]]</f>
        <v>1900</v>
      </c>
      <c r="N1055" t="str">
        <f>IF(AND(Table1[[#This Row],[Category]]="pay",NOT(Table1[[#This Row],[Debits]]=0)),"bad","good")</f>
        <v>good</v>
      </c>
      <c r="O1055" s="5"/>
    </row>
    <row r="1056" spans="6:15" x14ac:dyDescent="0.3">
      <c r="F1056">
        <f>MONTH(Table1[[#This Row],[Date  (DMY)]])</f>
        <v>1</v>
      </c>
      <c r="G1056" s="2"/>
      <c r="L1056" s="5"/>
      <c r="M1056" s="4">
        <f>M1055-Table1[[#This Row],[Debits]]+Table1[[#This Row],[Income]]</f>
        <v>1900</v>
      </c>
      <c r="N1056" t="str">
        <f>IF(AND(Table1[[#This Row],[Category]]="pay",NOT(Table1[[#This Row],[Debits]]=0)),"bad","good")</f>
        <v>good</v>
      </c>
      <c r="O1056" s="5"/>
    </row>
    <row r="1057" spans="6:15" x14ac:dyDescent="0.3">
      <c r="F1057">
        <f>MONTH(Table1[[#This Row],[Date  (DMY)]])</f>
        <v>1</v>
      </c>
      <c r="G1057" s="2"/>
      <c r="L1057" s="5"/>
      <c r="M1057" s="4">
        <f>M1056-Table1[[#This Row],[Debits]]+Table1[[#This Row],[Income]]</f>
        <v>1900</v>
      </c>
      <c r="N1057" t="str">
        <f>IF(AND(Table1[[#This Row],[Category]]="pay",NOT(Table1[[#This Row],[Debits]]=0)),"bad","good")</f>
        <v>good</v>
      </c>
      <c r="O1057" s="5"/>
    </row>
    <row r="1058" spans="6:15" x14ac:dyDescent="0.3">
      <c r="F1058">
        <f>MONTH(Table1[[#This Row],[Date  (DMY)]])</f>
        <v>1</v>
      </c>
      <c r="G1058" s="2"/>
      <c r="L1058" s="5"/>
      <c r="M1058" s="4">
        <f>M1057-Table1[[#This Row],[Debits]]+Table1[[#This Row],[Income]]</f>
        <v>1900</v>
      </c>
      <c r="N1058" t="str">
        <f>IF(AND(Table1[[#This Row],[Category]]="pay",NOT(Table1[[#This Row],[Debits]]=0)),"bad","good")</f>
        <v>good</v>
      </c>
      <c r="O1058" s="5"/>
    </row>
    <row r="1059" spans="6:15" x14ac:dyDescent="0.3">
      <c r="F1059">
        <f>MONTH(Table1[[#This Row],[Date  (DMY)]])</f>
        <v>1</v>
      </c>
      <c r="G1059" s="2"/>
      <c r="L1059" s="5"/>
      <c r="M1059" s="4">
        <f>M1058-Table1[[#This Row],[Debits]]+Table1[[#This Row],[Income]]</f>
        <v>1900</v>
      </c>
      <c r="N1059" t="str">
        <f>IF(AND(Table1[[#This Row],[Category]]="pay",NOT(Table1[[#This Row],[Debits]]=0)),"bad","good")</f>
        <v>good</v>
      </c>
      <c r="O1059" s="5"/>
    </row>
    <row r="1060" spans="6:15" x14ac:dyDescent="0.3">
      <c r="F1060">
        <f>MONTH(Table1[[#This Row],[Date  (DMY)]])</f>
        <v>1</v>
      </c>
      <c r="G1060" s="2"/>
      <c r="L1060" s="5"/>
      <c r="M1060" s="4">
        <f>M1059-Table1[[#This Row],[Debits]]+Table1[[#This Row],[Income]]</f>
        <v>1900</v>
      </c>
      <c r="N1060" t="str">
        <f>IF(AND(Table1[[#This Row],[Category]]="pay",NOT(Table1[[#This Row],[Debits]]=0)),"bad","good")</f>
        <v>good</v>
      </c>
      <c r="O1060" s="5"/>
    </row>
    <row r="1061" spans="6:15" x14ac:dyDescent="0.3">
      <c r="F1061">
        <f>MONTH(Table1[[#This Row],[Date  (DMY)]])</f>
        <v>1</v>
      </c>
      <c r="G1061" s="2"/>
      <c r="L1061" s="5"/>
      <c r="M1061" s="4">
        <f>M1060-Table1[[#This Row],[Debits]]+Table1[[#This Row],[Income]]</f>
        <v>1900</v>
      </c>
      <c r="N1061" t="str">
        <f>IF(AND(Table1[[#This Row],[Category]]="pay",NOT(Table1[[#This Row],[Debits]]=0)),"bad","good")</f>
        <v>good</v>
      </c>
      <c r="O1061" s="5"/>
    </row>
    <row r="1062" spans="6:15" x14ac:dyDescent="0.3">
      <c r="F1062">
        <f>MONTH(Table1[[#This Row],[Date  (DMY)]])</f>
        <v>1</v>
      </c>
      <c r="G1062" s="2"/>
      <c r="L1062" s="5"/>
      <c r="M1062" s="4">
        <f>M1061-Table1[[#This Row],[Debits]]+Table1[[#This Row],[Income]]</f>
        <v>1900</v>
      </c>
      <c r="N1062" t="str">
        <f>IF(AND(Table1[[#This Row],[Category]]="pay",NOT(Table1[[#This Row],[Debits]]=0)),"bad","good")</f>
        <v>good</v>
      </c>
      <c r="O1062" s="5"/>
    </row>
    <row r="1063" spans="6:15" x14ac:dyDescent="0.3">
      <c r="F1063">
        <f>MONTH(Table1[[#This Row],[Date  (DMY)]])</f>
        <v>1</v>
      </c>
      <c r="G1063" s="2"/>
      <c r="L1063" s="5"/>
      <c r="M1063" s="4">
        <f>M1062-Table1[[#This Row],[Debits]]+Table1[[#This Row],[Income]]</f>
        <v>1900</v>
      </c>
      <c r="N1063" t="str">
        <f>IF(AND(Table1[[#This Row],[Category]]="pay",NOT(Table1[[#This Row],[Debits]]=0)),"bad","good")</f>
        <v>good</v>
      </c>
      <c r="O1063" s="5"/>
    </row>
    <row r="1064" spans="6:15" x14ac:dyDescent="0.3">
      <c r="F1064">
        <f>MONTH(Table1[[#This Row],[Date  (DMY)]])</f>
        <v>1</v>
      </c>
      <c r="G1064" s="2"/>
      <c r="L1064" s="5"/>
      <c r="M1064" s="4">
        <f>M1063-Table1[[#This Row],[Debits]]+Table1[[#This Row],[Income]]</f>
        <v>1900</v>
      </c>
      <c r="N1064" t="str">
        <f>IF(AND(Table1[[#This Row],[Category]]="pay",NOT(Table1[[#This Row],[Debits]]=0)),"bad","good")</f>
        <v>good</v>
      </c>
      <c r="O1064" s="5"/>
    </row>
    <row r="1065" spans="6:15" x14ac:dyDescent="0.3">
      <c r="F1065">
        <f>MONTH(Table1[[#This Row],[Date  (DMY)]])</f>
        <v>1</v>
      </c>
      <c r="G1065" s="2"/>
      <c r="L1065" s="5"/>
      <c r="M1065" s="4">
        <f>M1064-Table1[[#This Row],[Debits]]+Table1[[#This Row],[Income]]</f>
        <v>1900</v>
      </c>
      <c r="N1065" t="str">
        <f>IF(AND(Table1[[#This Row],[Category]]="pay",NOT(Table1[[#This Row],[Debits]]=0)),"bad","good")</f>
        <v>good</v>
      </c>
      <c r="O1065" s="5"/>
    </row>
    <row r="1066" spans="6:15" x14ac:dyDescent="0.3">
      <c r="F1066">
        <f>MONTH(Table1[[#This Row],[Date  (DMY)]])</f>
        <v>1</v>
      </c>
      <c r="G1066" s="2"/>
      <c r="L1066" s="5"/>
      <c r="M1066" s="4">
        <f>M1065-Table1[[#This Row],[Debits]]+Table1[[#This Row],[Income]]</f>
        <v>1900</v>
      </c>
      <c r="N1066" t="str">
        <f>IF(AND(Table1[[#This Row],[Category]]="pay",NOT(Table1[[#This Row],[Debits]]=0)),"bad","good")</f>
        <v>good</v>
      </c>
      <c r="O1066" s="5"/>
    </row>
    <row r="1067" spans="6:15" x14ac:dyDescent="0.3">
      <c r="F1067">
        <f>MONTH(Table1[[#This Row],[Date  (DMY)]])</f>
        <v>1</v>
      </c>
      <c r="G1067" s="2"/>
      <c r="L1067" s="5"/>
      <c r="M1067" s="4">
        <f>M1066-Table1[[#This Row],[Debits]]+Table1[[#This Row],[Income]]</f>
        <v>1900</v>
      </c>
      <c r="N1067" t="str">
        <f>IF(AND(Table1[[#This Row],[Category]]="pay",NOT(Table1[[#This Row],[Debits]]=0)),"bad","good")</f>
        <v>good</v>
      </c>
      <c r="O1067" s="5"/>
    </row>
    <row r="1068" spans="6:15" x14ac:dyDescent="0.3">
      <c r="F1068">
        <f>MONTH(Table1[[#This Row],[Date  (DMY)]])</f>
        <v>1</v>
      </c>
      <c r="G1068" s="2"/>
      <c r="L1068" s="5"/>
      <c r="M1068" s="4">
        <f>M1067-Table1[[#This Row],[Debits]]+Table1[[#This Row],[Income]]</f>
        <v>1900</v>
      </c>
      <c r="N1068" t="str">
        <f>IF(AND(Table1[[#This Row],[Category]]="pay",NOT(Table1[[#This Row],[Debits]]=0)),"bad","good")</f>
        <v>good</v>
      </c>
      <c r="O1068" s="5"/>
    </row>
    <row r="1069" spans="6:15" x14ac:dyDescent="0.3">
      <c r="F1069">
        <f>MONTH(Table1[[#This Row],[Date  (DMY)]])</f>
        <v>1</v>
      </c>
      <c r="G1069" s="2"/>
      <c r="L1069" s="5"/>
      <c r="M1069" s="4">
        <f>M1068-Table1[[#This Row],[Debits]]+Table1[[#This Row],[Income]]</f>
        <v>1900</v>
      </c>
      <c r="N1069" t="str">
        <f>IF(AND(Table1[[#This Row],[Category]]="pay",NOT(Table1[[#This Row],[Debits]]=0)),"bad","good")</f>
        <v>good</v>
      </c>
      <c r="O1069" s="5"/>
    </row>
    <row r="1070" spans="6:15" x14ac:dyDescent="0.3">
      <c r="F1070">
        <f>MONTH(Table1[[#This Row],[Date  (DMY)]])</f>
        <v>1</v>
      </c>
      <c r="G1070" s="2"/>
      <c r="L1070" s="5"/>
      <c r="M1070" s="4">
        <f>M1069-Table1[[#This Row],[Debits]]+Table1[[#This Row],[Income]]</f>
        <v>1900</v>
      </c>
      <c r="N1070" t="str">
        <f>IF(AND(Table1[[#This Row],[Category]]="pay",NOT(Table1[[#This Row],[Debits]]=0)),"bad","good")</f>
        <v>good</v>
      </c>
      <c r="O1070" s="5"/>
    </row>
    <row r="1071" spans="6:15" x14ac:dyDescent="0.3">
      <c r="F1071">
        <f>MONTH(Table1[[#This Row],[Date  (DMY)]])</f>
        <v>1</v>
      </c>
      <c r="G1071" s="2"/>
      <c r="L1071" s="5"/>
      <c r="M1071" s="4">
        <f>M1070-Table1[[#This Row],[Debits]]+Table1[[#This Row],[Income]]</f>
        <v>1900</v>
      </c>
      <c r="N1071" t="str">
        <f>IF(AND(Table1[[#This Row],[Category]]="pay",NOT(Table1[[#This Row],[Debits]]=0)),"bad","good")</f>
        <v>good</v>
      </c>
      <c r="O1071" s="5"/>
    </row>
    <row r="1072" spans="6:15" x14ac:dyDescent="0.3">
      <c r="F1072">
        <f>MONTH(Table1[[#This Row],[Date  (DMY)]])</f>
        <v>1</v>
      </c>
      <c r="G1072" s="2"/>
      <c r="L1072" s="5"/>
      <c r="M1072" s="4">
        <f>M1071-Table1[[#This Row],[Debits]]+Table1[[#This Row],[Income]]</f>
        <v>1900</v>
      </c>
      <c r="N1072" t="str">
        <f>IF(AND(Table1[[#This Row],[Category]]="pay",NOT(Table1[[#This Row],[Debits]]=0)),"bad","good")</f>
        <v>good</v>
      </c>
      <c r="O1072" s="5"/>
    </row>
    <row r="1073" spans="6:15" x14ac:dyDescent="0.3">
      <c r="F1073">
        <f>MONTH(Table1[[#This Row],[Date  (DMY)]])</f>
        <v>1</v>
      </c>
      <c r="G1073" s="2"/>
      <c r="L1073" s="5"/>
      <c r="M1073" s="4">
        <f>M1072-Table1[[#This Row],[Debits]]+Table1[[#This Row],[Income]]</f>
        <v>1900</v>
      </c>
      <c r="N1073" t="str">
        <f>IF(AND(Table1[[#This Row],[Category]]="pay",NOT(Table1[[#This Row],[Debits]]=0)),"bad","good")</f>
        <v>good</v>
      </c>
      <c r="O1073" s="5"/>
    </row>
    <row r="1074" spans="6:15" x14ac:dyDescent="0.3">
      <c r="F1074">
        <f>MONTH(Table1[[#This Row],[Date  (DMY)]])</f>
        <v>1</v>
      </c>
      <c r="G1074" s="2"/>
      <c r="L1074" s="5"/>
      <c r="M1074" s="4">
        <f>M1073-Table1[[#This Row],[Debits]]+Table1[[#This Row],[Income]]</f>
        <v>1900</v>
      </c>
      <c r="N1074" t="str">
        <f>IF(AND(Table1[[#This Row],[Category]]="pay",NOT(Table1[[#This Row],[Debits]]=0)),"bad","good")</f>
        <v>good</v>
      </c>
      <c r="O1074" s="5"/>
    </row>
    <row r="1075" spans="6:15" x14ac:dyDescent="0.3">
      <c r="F1075">
        <f>MONTH(Table1[[#This Row],[Date  (DMY)]])</f>
        <v>1</v>
      </c>
      <c r="G1075" s="2"/>
      <c r="L1075" s="5"/>
      <c r="M1075" s="4">
        <f>M1074-Table1[[#This Row],[Debits]]+Table1[[#This Row],[Income]]</f>
        <v>1900</v>
      </c>
      <c r="N1075" t="str">
        <f>IF(AND(Table1[[#This Row],[Category]]="pay",NOT(Table1[[#This Row],[Debits]]=0)),"bad","good")</f>
        <v>good</v>
      </c>
      <c r="O1075" s="5"/>
    </row>
    <row r="1076" spans="6:15" x14ac:dyDescent="0.3">
      <c r="F1076">
        <f>MONTH(Table1[[#This Row],[Date  (DMY)]])</f>
        <v>1</v>
      </c>
      <c r="G1076" s="2"/>
      <c r="L1076" s="5"/>
      <c r="M1076" s="4">
        <f>M1075-Table1[[#This Row],[Debits]]+Table1[[#This Row],[Income]]</f>
        <v>1900</v>
      </c>
      <c r="N1076" t="str">
        <f>IF(AND(Table1[[#This Row],[Category]]="pay",NOT(Table1[[#This Row],[Debits]]=0)),"bad","good")</f>
        <v>good</v>
      </c>
      <c r="O1076" s="5"/>
    </row>
    <row r="1077" spans="6:15" x14ac:dyDescent="0.3">
      <c r="F1077">
        <f>MONTH(Table1[[#This Row],[Date  (DMY)]])</f>
        <v>1</v>
      </c>
      <c r="G1077" s="2"/>
      <c r="L1077" s="5"/>
      <c r="M1077" s="4">
        <f>M1076-Table1[[#This Row],[Debits]]+Table1[[#This Row],[Income]]</f>
        <v>1900</v>
      </c>
      <c r="N1077" t="str">
        <f>IF(AND(Table1[[#This Row],[Category]]="pay",NOT(Table1[[#This Row],[Debits]]=0)),"bad","good")</f>
        <v>good</v>
      </c>
      <c r="O1077" s="5"/>
    </row>
    <row r="1078" spans="6:15" x14ac:dyDescent="0.3">
      <c r="F1078">
        <f>MONTH(Table1[[#This Row],[Date  (DMY)]])</f>
        <v>1</v>
      </c>
      <c r="G1078" s="2"/>
      <c r="L1078" s="5"/>
      <c r="M1078" s="4">
        <f>M1077-Table1[[#This Row],[Debits]]+Table1[[#This Row],[Income]]</f>
        <v>1900</v>
      </c>
      <c r="N1078" t="str">
        <f>IF(AND(Table1[[#This Row],[Category]]="pay",NOT(Table1[[#This Row],[Debits]]=0)),"bad","good")</f>
        <v>good</v>
      </c>
      <c r="O1078" s="5"/>
    </row>
    <row r="1079" spans="6:15" x14ac:dyDescent="0.3">
      <c r="F1079">
        <f>MONTH(Table1[[#This Row],[Date  (DMY)]])</f>
        <v>1</v>
      </c>
      <c r="G1079" s="2"/>
      <c r="L1079" s="5"/>
      <c r="M1079" s="4">
        <f>M1078-Table1[[#This Row],[Debits]]+Table1[[#This Row],[Income]]</f>
        <v>1900</v>
      </c>
      <c r="N1079" t="str">
        <f>IF(AND(Table1[[#This Row],[Category]]="pay",NOT(Table1[[#This Row],[Debits]]=0)),"bad","good")</f>
        <v>good</v>
      </c>
      <c r="O1079" s="5"/>
    </row>
    <row r="1080" spans="6:15" x14ac:dyDescent="0.3">
      <c r="F1080">
        <f>MONTH(Table1[[#This Row],[Date  (DMY)]])</f>
        <v>1</v>
      </c>
      <c r="G1080" s="2"/>
      <c r="L1080" s="5"/>
      <c r="M1080" s="4">
        <f>M1079-Table1[[#This Row],[Debits]]+Table1[[#This Row],[Income]]</f>
        <v>1900</v>
      </c>
      <c r="N1080" t="str">
        <f>IF(AND(Table1[[#This Row],[Category]]="pay",NOT(Table1[[#This Row],[Debits]]=0)),"bad","good")</f>
        <v>good</v>
      </c>
      <c r="O1080" s="5"/>
    </row>
    <row r="1081" spans="6:15" x14ac:dyDescent="0.3">
      <c r="F1081">
        <f>MONTH(Table1[[#This Row],[Date  (DMY)]])</f>
        <v>1</v>
      </c>
      <c r="G1081" s="2"/>
      <c r="L1081" s="5"/>
      <c r="M1081" s="4">
        <f>M1080-Table1[[#This Row],[Debits]]+Table1[[#This Row],[Income]]</f>
        <v>1900</v>
      </c>
      <c r="N1081" t="str">
        <f>IF(AND(Table1[[#This Row],[Category]]="pay",NOT(Table1[[#This Row],[Debits]]=0)),"bad","good")</f>
        <v>good</v>
      </c>
      <c r="O1081" s="5"/>
    </row>
    <row r="1082" spans="6:15" x14ac:dyDescent="0.3">
      <c r="F1082">
        <f>MONTH(Table1[[#This Row],[Date  (DMY)]])</f>
        <v>1</v>
      </c>
      <c r="G1082" s="2"/>
      <c r="L1082" s="5"/>
      <c r="M1082" s="4">
        <f>M1081-Table1[[#This Row],[Debits]]+Table1[[#This Row],[Income]]</f>
        <v>1900</v>
      </c>
      <c r="N1082" t="str">
        <f>IF(AND(Table1[[#This Row],[Category]]="pay",NOT(Table1[[#This Row],[Debits]]=0)),"bad","good")</f>
        <v>good</v>
      </c>
      <c r="O1082" s="5"/>
    </row>
    <row r="1083" spans="6:15" x14ac:dyDescent="0.3">
      <c r="F1083">
        <f>MONTH(Table1[[#This Row],[Date  (DMY)]])</f>
        <v>1</v>
      </c>
      <c r="G1083" s="2"/>
      <c r="L1083" s="5"/>
      <c r="M1083" s="4">
        <f>M1082-Table1[[#This Row],[Debits]]+Table1[[#This Row],[Income]]</f>
        <v>1900</v>
      </c>
      <c r="N1083" t="str">
        <f>IF(AND(Table1[[#This Row],[Category]]="pay",NOT(Table1[[#This Row],[Debits]]=0)),"bad","good")</f>
        <v>good</v>
      </c>
      <c r="O1083" s="5"/>
    </row>
    <row r="1084" spans="6:15" x14ac:dyDescent="0.3">
      <c r="F1084">
        <f>MONTH(Table1[[#This Row],[Date  (DMY)]])</f>
        <v>1</v>
      </c>
      <c r="G1084" s="2"/>
      <c r="L1084" s="5"/>
      <c r="M1084" s="4">
        <f>M1083-Table1[[#This Row],[Debits]]+Table1[[#This Row],[Income]]</f>
        <v>1900</v>
      </c>
      <c r="N1084" t="str">
        <f>IF(AND(Table1[[#This Row],[Category]]="pay",NOT(Table1[[#This Row],[Debits]]=0)),"bad","good")</f>
        <v>good</v>
      </c>
      <c r="O1084" s="5"/>
    </row>
    <row r="1085" spans="6:15" x14ac:dyDescent="0.3">
      <c r="F1085">
        <f>MONTH(Table1[[#This Row],[Date  (DMY)]])</f>
        <v>1</v>
      </c>
      <c r="G1085" s="2"/>
      <c r="L1085" s="5"/>
      <c r="M1085" s="4">
        <f>M1084-Table1[[#This Row],[Debits]]+Table1[[#This Row],[Income]]</f>
        <v>1900</v>
      </c>
      <c r="N1085" t="str">
        <f>IF(AND(Table1[[#This Row],[Category]]="pay",NOT(Table1[[#This Row],[Debits]]=0)),"bad","good")</f>
        <v>good</v>
      </c>
      <c r="O1085" s="5"/>
    </row>
    <row r="1086" spans="6:15" x14ac:dyDescent="0.3">
      <c r="F1086">
        <f>MONTH(Table1[[#This Row],[Date  (DMY)]])</f>
        <v>1</v>
      </c>
      <c r="G1086" s="2"/>
      <c r="L1086" s="5"/>
      <c r="M1086" s="4">
        <f>M1085-Table1[[#This Row],[Debits]]+Table1[[#This Row],[Income]]</f>
        <v>1900</v>
      </c>
      <c r="N1086" t="str">
        <f>IF(AND(Table1[[#This Row],[Category]]="pay",NOT(Table1[[#This Row],[Debits]]=0)),"bad","good")</f>
        <v>good</v>
      </c>
      <c r="O1086" s="5"/>
    </row>
    <row r="1087" spans="6:15" x14ac:dyDescent="0.3">
      <c r="F1087">
        <f>MONTH(Table1[[#This Row],[Date  (DMY)]])</f>
        <v>1</v>
      </c>
      <c r="G1087" s="2"/>
      <c r="L1087" s="5"/>
      <c r="M1087" s="4">
        <f>M1086-Table1[[#This Row],[Debits]]+Table1[[#This Row],[Income]]</f>
        <v>1900</v>
      </c>
      <c r="N1087" t="str">
        <f>IF(AND(Table1[[#This Row],[Category]]="pay",NOT(Table1[[#This Row],[Debits]]=0)),"bad","good")</f>
        <v>good</v>
      </c>
      <c r="O1087" s="5"/>
    </row>
    <row r="1088" spans="6:15" x14ac:dyDescent="0.3">
      <c r="F1088">
        <f>MONTH(Table1[[#This Row],[Date  (DMY)]])</f>
        <v>1</v>
      </c>
      <c r="G1088" s="2"/>
      <c r="L1088" s="5"/>
      <c r="M1088" s="4">
        <f>M1087-Table1[[#This Row],[Debits]]+Table1[[#This Row],[Income]]</f>
        <v>1900</v>
      </c>
      <c r="N1088" t="str">
        <f>IF(AND(Table1[[#This Row],[Category]]="pay",NOT(Table1[[#This Row],[Debits]]=0)),"bad","good")</f>
        <v>good</v>
      </c>
      <c r="O1088" s="5"/>
    </row>
    <row r="1089" spans="6:15" x14ac:dyDescent="0.3">
      <c r="F1089">
        <f>MONTH(Table1[[#This Row],[Date  (DMY)]])</f>
        <v>1</v>
      </c>
      <c r="G1089" s="2"/>
      <c r="L1089" s="5"/>
      <c r="M1089" s="4">
        <f>M1088-Table1[[#This Row],[Debits]]+Table1[[#This Row],[Income]]</f>
        <v>1900</v>
      </c>
      <c r="N1089" t="str">
        <f>IF(AND(Table1[[#This Row],[Category]]="pay",NOT(Table1[[#This Row],[Debits]]=0)),"bad","good")</f>
        <v>good</v>
      </c>
      <c r="O1089" s="5"/>
    </row>
    <row r="1090" spans="6:15" x14ac:dyDescent="0.3">
      <c r="F1090">
        <f>MONTH(Table1[[#This Row],[Date  (DMY)]])</f>
        <v>1</v>
      </c>
      <c r="G1090" s="2"/>
      <c r="L1090" s="5"/>
      <c r="M1090" s="4">
        <f>M1089-Table1[[#This Row],[Debits]]+Table1[[#This Row],[Income]]</f>
        <v>1900</v>
      </c>
      <c r="N1090" t="str">
        <f>IF(AND(Table1[[#This Row],[Category]]="pay",NOT(Table1[[#This Row],[Debits]]=0)),"bad","good")</f>
        <v>good</v>
      </c>
      <c r="O1090" s="5"/>
    </row>
    <row r="1091" spans="6:15" x14ac:dyDescent="0.3">
      <c r="F1091">
        <f>MONTH(Table1[[#This Row],[Date  (DMY)]])</f>
        <v>1</v>
      </c>
      <c r="G1091" s="2"/>
      <c r="L1091" s="5"/>
      <c r="M1091" s="4">
        <f>M1090-Table1[[#This Row],[Debits]]+Table1[[#This Row],[Income]]</f>
        <v>1900</v>
      </c>
      <c r="N1091" t="str">
        <f>IF(AND(Table1[[#This Row],[Category]]="pay",NOT(Table1[[#This Row],[Debits]]=0)),"bad","good")</f>
        <v>good</v>
      </c>
      <c r="O1091" s="5"/>
    </row>
    <row r="1092" spans="6:15" x14ac:dyDescent="0.3">
      <c r="F1092">
        <f>MONTH(Table1[[#This Row],[Date  (DMY)]])</f>
        <v>1</v>
      </c>
      <c r="G1092" s="2"/>
      <c r="L1092" s="5"/>
      <c r="M1092" s="4">
        <f>M1091-Table1[[#This Row],[Debits]]+Table1[[#This Row],[Income]]</f>
        <v>1900</v>
      </c>
      <c r="N1092" t="str">
        <f>IF(AND(Table1[[#This Row],[Category]]="pay",NOT(Table1[[#This Row],[Debits]]=0)),"bad","good")</f>
        <v>good</v>
      </c>
      <c r="O1092" s="5"/>
    </row>
    <row r="1093" spans="6:15" x14ac:dyDescent="0.3">
      <c r="F1093">
        <f>MONTH(Table1[[#This Row],[Date  (DMY)]])</f>
        <v>1</v>
      </c>
      <c r="G1093" s="2"/>
      <c r="L1093" s="5"/>
      <c r="M1093" s="4">
        <f>M1092-Table1[[#This Row],[Debits]]+Table1[[#This Row],[Income]]</f>
        <v>1900</v>
      </c>
      <c r="N1093" t="str">
        <f>IF(AND(Table1[[#This Row],[Category]]="pay",NOT(Table1[[#This Row],[Debits]]=0)),"bad","good")</f>
        <v>good</v>
      </c>
      <c r="O1093" s="5"/>
    </row>
    <row r="1094" spans="6:15" x14ac:dyDescent="0.3">
      <c r="F1094">
        <f>MONTH(Table1[[#This Row],[Date  (DMY)]])</f>
        <v>1</v>
      </c>
      <c r="G1094" s="2"/>
      <c r="L1094" s="5"/>
      <c r="M1094" s="4">
        <f>M1093-Table1[[#This Row],[Debits]]+Table1[[#This Row],[Income]]</f>
        <v>1900</v>
      </c>
      <c r="N1094" t="str">
        <f>IF(AND(Table1[[#This Row],[Category]]="pay",NOT(Table1[[#This Row],[Debits]]=0)),"bad","good")</f>
        <v>good</v>
      </c>
      <c r="O1094" s="5"/>
    </row>
    <row r="1095" spans="6:15" x14ac:dyDescent="0.3">
      <c r="F1095">
        <f>MONTH(Table1[[#This Row],[Date  (DMY)]])</f>
        <v>1</v>
      </c>
      <c r="G1095" s="2"/>
      <c r="L1095" s="5"/>
      <c r="M1095" s="4">
        <f>M1094-Table1[[#This Row],[Debits]]+Table1[[#This Row],[Income]]</f>
        <v>1900</v>
      </c>
      <c r="N1095" t="str">
        <f>IF(AND(Table1[[#This Row],[Category]]="pay",NOT(Table1[[#This Row],[Debits]]=0)),"bad","good")</f>
        <v>good</v>
      </c>
      <c r="O1095" s="5"/>
    </row>
    <row r="1096" spans="6:15" x14ac:dyDescent="0.3">
      <c r="F1096">
        <f>MONTH(Table1[[#This Row],[Date  (DMY)]])</f>
        <v>1</v>
      </c>
      <c r="G1096" s="2"/>
      <c r="L1096" s="5"/>
      <c r="M1096" s="4">
        <f>M1095-Table1[[#This Row],[Debits]]+Table1[[#This Row],[Income]]</f>
        <v>1900</v>
      </c>
      <c r="N1096" t="str">
        <f>IF(AND(Table1[[#This Row],[Category]]="pay",NOT(Table1[[#This Row],[Debits]]=0)),"bad","good")</f>
        <v>good</v>
      </c>
      <c r="O1096" s="5"/>
    </row>
    <row r="1097" spans="6:15" x14ac:dyDescent="0.3">
      <c r="F1097">
        <f>MONTH(Table1[[#This Row],[Date  (DMY)]])</f>
        <v>1</v>
      </c>
      <c r="G1097" s="2"/>
      <c r="L1097" s="5"/>
      <c r="M1097" s="4">
        <f>M1096-Table1[[#This Row],[Debits]]+Table1[[#This Row],[Income]]</f>
        <v>1900</v>
      </c>
      <c r="N1097" t="str">
        <f>IF(AND(Table1[[#This Row],[Category]]="pay",NOT(Table1[[#This Row],[Debits]]=0)),"bad","good")</f>
        <v>good</v>
      </c>
      <c r="O1097" s="5"/>
    </row>
    <row r="1098" spans="6:15" x14ac:dyDescent="0.3">
      <c r="F1098">
        <f>MONTH(Table1[[#This Row],[Date  (DMY)]])</f>
        <v>1</v>
      </c>
      <c r="G1098" s="2"/>
      <c r="L1098" s="5"/>
      <c r="M1098" s="4">
        <f>M1097-Table1[[#This Row],[Debits]]+Table1[[#This Row],[Income]]</f>
        <v>1900</v>
      </c>
      <c r="N1098" t="str">
        <f>IF(AND(Table1[[#This Row],[Category]]="pay",NOT(Table1[[#This Row],[Debits]]=0)),"bad","good")</f>
        <v>good</v>
      </c>
      <c r="O1098" s="5"/>
    </row>
    <row r="1099" spans="6:15" x14ac:dyDescent="0.3">
      <c r="F1099">
        <f>MONTH(Table1[[#This Row],[Date  (DMY)]])</f>
        <v>1</v>
      </c>
      <c r="G1099" s="2"/>
      <c r="L1099" s="5"/>
      <c r="M1099" s="4">
        <f>M1098-Table1[[#This Row],[Debits]]+Table1[[#This Row],[Income]]</f>
        <v>1900</v>
      </c>
      <c r="N1099" t="str">
        <f>IF(AND(Table1[[#This Row],[Category]]="pay",NOT(Table1[[#This Row],[Debits]]=0)),"bad","good")</f>
        <v>good</v>
      </c>
      <c r="O1099" s="5"/>
    </row>
    <row r="1100" spans="6:15" x14ac:dyDescent="0.3">
      <c r="F1100">
        <f>MONTH(Table1[[#This Row],[Date  (DMY)]])</f>
        <v>1</v>
      </c>
      <c r="G1100" s="2"/>
      <c r="L1100" s="5"/>
      <c r="M1100" s="4">
        <f>M1099-Table1[[#This Row],[Debits]]+Table1[[#This Row],[Income]]</f>
        <v>1900</v>
      </c>
      <c r="N1100" t="str">
        <f>IF(AND(Table1[[#This Row],[Category]]="pay",NOT(Table1[[#This Row],[Debits]]=0)),"bad","good")</f>
        <v>good</v>
      </c>
      <c r="O1100" s="5"/>
    </row>
    <row r="1101" spans="6:15" x14ac:dyDescent="0.3">
      <c r="F1101">
        <f>MONTH(Table1[[#This Row],[Date  (DMY)]])</f>
        <v>1</v>
      </c>
      <c r="G1101" s="2"/>
      <c r="L1101" s="5"/>
      <c r="M1101" s="4">
        <f>M1100-Table1[[#This Row],[Debits]]+Table1[[#This Row],[Income]]</f>
        <v>1900</v>
      </c>
      <c r="N1101" t="str">
        <f>IF(AND(Table1[[#This Row],[Category]]="pay",NOT(Table1[[#This Row],[Debits]]=0)),"bad","good")</f>
        <v>good</v>
      </c>
      <c r="O1101" s="5"/>
    </row>
    <row r="1102" spans="6:15" x14ac:dyDescent="0.3">
      <c r="F1102">
        <f>MONTH(Table1[[#This Row],[Date  (DMY)]])</f>
        <v>1</v>
      </c>
      <c r="G1102" s="2"/>
      <c r="L1102" s="5"/>
      <c r="M1102" s="4">
        <f>M1101-Table1[[#This Row],[Debits]]+Table1[[#This Row],[Income]]</f>
        <v>1900</v>
      </c>
      <c r="N1102" t="str">
        <f>IF(AND(Table1[[#This Row],[Category]]="pay",NOT(Table1[[#This Row],[Debits]]=0)),"bad","good")</f>
        <v>good</v>
      </c>
      <c r="O1102" s="5"/>
    </row>
    <row r="1103" spans="6:15" x14ac:dyDescent="0.3">
      <c r="F1103">
        <f>MONTH(Table1[[#This Row],[Date  (DMY)]])</f>
        <v>1</v>
      </c>
      <c r="G1103" s="2"/>
      <c r="L1103" s="5"/>
      <c r="M1103" s="4">
        <f>M1102-Table1[[#This Row],[Debits]]+Table1[[#This Row],[Income]]</f>
        <v>1900</v>
      </c>
      <c r="N1103" t="str">
        <f>IF(AND(Table1[[#This Row],[Category]]="pay",NOT(Table1[[#This Row],[Debits]]=0)),"bad","good")</f>
        <v>good</v>
      </c>
      <c r="O1103" s="5"/>
    </row>
    <row r="1104" spans="6:15" x14ac:dyDescent="0.3">
      <c r="F1104">
        <f>MONTH(Table1[[#This Row],[Date  (DMY)]])</f>
        <v>1</v>
      </c>
      <c r="G1104" s="2"/>
      <c r="L1104" s="5"/>
      <c r="M1104" s="4">
        <f>M1103-Table1[[#This Row],[Debits]]+Table1[[#This Row],[Income]]</f>
        <v>1900</v>
      </c>
      <c r="N1104" t="str">
        <f>IF(AND(Table1[[#This Row],[Category]]="pay",NOT(Table1[[#This Row],[Debits]]=0)),"bad","good")</f>
        <v>good</v>
      </c>
      <c r="O1104" s="5"/>
    </row>
    <row r="1105" spans="6:15" x14ac:dyDescent="0.3">
      <c r="F1105">
        <f>MONTH(Table1[[#This Row],[Date  (DMY)]])</f>
        <v>1</v>
      </c>
      <c r="G1105" s="2"/>
      <c r="L1105" s="5"/>
      <c r="M1105" s="4">
        <f>M1104-Table1[[#This Row],[Debits]]+Table1[[#This Row],[Income]]</f>
        <v>1900</v>
      </c>
      <c r="N1105" t="str">
        <f>IF(AND(Table1[[#This Row],[Category]]="pay",NOT(Table1[[#This Row],[Debits]]=0)),"bad","good")</f>
        <v>good</v>
      </c>
      <c r="O1105" s="5"/>
    </row>
    <row r="1106" spans="6:15" x14ac:dyDescent="0.3">
      <c r="F1106">
        <f>MONTH(Table1[[#This Row],[Date  (DMY)]])</f>
        <v>1</v>
      </c>
      <c r="G1106" s="2"/>
      <c r="L1106" s="5"/>
      <c r="M1106" s="4">
        <f>M1105-Table1[[#This Row],[Debits]]+Table1[[#This Row],[Income]]</f>
        <v>1900</v>
      </c>
      <c r="N1106" t="str">
        <f>IF(AND(Table1[[#This Row],[Category]]="pay",NOT(Table1[[#This Row],[Debits]]=0)),"bad","good")</f>
        <v>good</v>
      </c>
      <c r="O1106" s="5"/>
    </row>
    <row r="1107" spans="6:15" x14ac:dyDescent="0.3">
      <c r="F1107">
        <f>MONTH(Table1[[#This Row],[Date  (DMY)]])</f>
        <v>1</v>
      </c>
      <c r="G1107" s="2"/>
      <c r="L1107" s="5"/>
      <c r="M1107" s="4">
        <f>M1106-Table1[[#This Row],[Debits]]+Table1[[#This Row],[Income]]</f>
        <v>1900</v>
      </c>
      <c r="N1107" t="str">
        <f>IF(AND(Table1[[#This Row],[Category]]="pay",NOT(Table1[[#This Row],[Debits]]=0)),"bad","good")</f>
        <v>good</v>
      </c>
      <c r="O1107" s="5"/>
    </row>
    <row r="1108" spans="6:15" x14ac:dyDescent="0.3">
      <c r="F1108">
        <f>MONTH(Table1[[#This Row],[Date  (DMY)]])</f>
        <v>1</v>
      </c>
      <c r="G1108" s="2"/>
      <c r="L1108" s="5"/>
      <c r="M1108" s="4">
        <f>M1107-Table1[[#This Row],[Debits]]+Table1[[#This Row],[Income]]</f>
        <v>1900</v>
      </c>
      <c r="N1108" t="str">
        <f>IF(AND(Table1[[#This Row],[Category]]="pay",NOT(Table1[[#This Row],[Debits]]=0)),"bad","good")</f>
        <v>good</v>
      </c>
      <c r="O1108" s="5"/>
    </row>
    <row r="1109" spans="6:15" x14ac:dyDescent="0.3">
      <c r="F1109">
        <f>MONTH(Table1[[#This Row],[Date  (DMY)]])</f>
        <v>1</v>
      </c>
      <c r="G1109" s="2"/>
      <c r="L1109" s="5"/>
      <c r="M1109" s="4">
        <f>M1108-Table1[[#This Row],[Debits]]+Table1[[#This Row],[Income]]</f>
        <v>1900</v>
      </c>
      <c r="N1109" t="str">
        <f>IF(AND(Table1[[#This Row],[Category]]="pay",NOT(Table1[[#This Row],[Debits]]=0)),"bad","good")</f>
        <v>good</v>
      </c>
      <c r="O1109" s="5"/>
    </row>
    <row r="1110" spans="6:15" x14ac:dyDescent="0.3">
      <c r="F1110">
        <f>MONTH(Table1[[#This Row],[Date  (DMY)]])</f>
        <v>1</v>
      </c>
      <c r="G1110" s="2"/>
      <c r="L1110" s="5"/>
      <c r="M1110" s="4">
        <f>M1109-Table1[[#This Row],[Debits]]+Table1[[#This Row],[Income]]</f>
        <v>1900</v>
      </c>
      <c r="N1110" t="str">
        <f>IF(AND(Table1[[#This Row],[Category]]="pay",NOT(Table1[[#This Row],[Debits]]=0)),"bad","good")</f>
        <v>good</v>
      </c>
      <c r="O1110" s="5"/>
    </row>
    <row r="1111" spans="6:15" x14ac:dyDescent="0.3">
      <c r="F1111">
        <f>MONTH(Table1[[#This Row],[Date  (DMY)]])</f>
        <v>1</v>
      </c>
      <c r="G1111" s="2"/>
      <c r="L1111" s="5"/>
      <c r="M1111" s="4">
        <f>M1110-Table1[[#This Row],[Debits]]+Table1[[#This Row],[Income]]</f>
        <v>1900</v>
      </c>
      <c r="N1111" t="str">
        <f>IF(AND(Table1[[#This Row],[Category]]="pay",NOT(Table1[[#This Row],[Debits]]=0)),"bad","good")</f>
        <v>good</v>
      </c>
      <c r="O1111" s="5"/>
    </row>
    <row r="1112" spans="6:15" x14ac:dyDescent="0.3">
      <c r="F1112">
        <f>MONTH(Table1[[#This Row],[Date  (DMY)]])</f>
        <v>1</v>
      </c>
      <c r="G1112" s="2"/>
      <c r="L1112" s="5"/>
      <c r="M1112" s="4">
        <f>M1111-Table1[[#This Row],[Debits]]+Table1[[#This Row],[Income]]</f>
        <v>1900</v>
      </c>
      <c r="N1112" t="str">
        <f>IF(AND(Table1[[#This Row],[Category]]="pay",NOT(Table1[[#This Row],[Debits]]=0)),"bad","good")</f>
        <v>good</v>
      </c>
      <c r="O1112" s="5"/>
    </row>
    <row r="1113" spans="6:15" x14ac:dyDescent="0.3">
      <c r="F1113">
        <f>MONTH(Table1[[#This Row],[Date  (DMY)]])</f>
        <v>1</v>
      </c>
      <c r="G1113" s="2"/>
      <c r="L1113" s="5"/>
      <c r="M1113" s="4">
        <f>M1112-Table1[[#This Row],[Debits]]+Table1[[#This Row],[Income]]</f>
        <v>1900</v>
      </c>
      <c r="N1113" t="str">
        <f>IF(AND(Table1[[#This Row],[Category]]="pay",NOT(Table1[[#This Row],[Debits]]=0)),"bad","good")</f>
        <v>good</v>
      </c>
      <c r="O1113" s="5"/>
    </row>
    <row r="1114" spans="6:15" x14ac:dyDescent="0.3">
      <c r="F1114">
        <f>MONTH(Table1[[#This Row],[Date  (DMY)]])</f>
        <v>1</v>
      </c>
      <c r="G1114" s="2"/>
      <c r="L1114" s="5"/>
      <c r="M1114" s="4">
        <f>M1113-Table1[[#This Row],[Debits]]+Table1[[#This Row],[Income]]</f>
        <v>1900</v>
      </c>
      <c r="N1114" t="str">
        <f>IF(AND(Table1[[#This Row],[Category]]="pay",NOT(Table1[[#This Row],[Debits]]=0)),"bad","good")</f>
        <v>good</v>
      </c>
      <c r="O1114" s="5"/>
    </row>
    <row r="1115" spans="6:15" x14ac:dyDescent="0.3">
      <c r="F1115">
        <f>MONTH(Table1[[#This Row],[Date  (DMY)]])</f>
        <v>1</v>
      </c>
      <c r="G1115" s="2"/>
      <c r="L1115" s="5"/>
      <c r="M1115" s="4">
        <f>M1114-Table1[[#This Row],[Debits]]+Table1[[#This Row],[Income]]</f>
        <v>1900</v>
      </c>
      <c r="N1115" t="str">
        <f>IF(AND(Table1[[#This Row],[Category]]="pay",NOT(Table1[[#This Row],[Debits]]=0)),"bad","good")</f>
        <v>good</v>
      </c>
      <c r="O1115" s="5"/>
    </row>
    <row r="1116" spans="6:15" x14ac:dyDescent="0.3">
      <c r="F1116">
        <f>MONTH(Table1[[#This Row],[Date  (DMY)]])</f>
        <v>1</v>
      </c>
      <c r="G1116" s="2"/>
      <c r="L1116" s="5"/>
      <c r="M1116" s="4">
        <f>M1115-Table1[[#This Row],[Debits]]+Table1[[#This Row],[Income]]</f>
        <v>1900</v>
      </c>
      <c r="N1116" t="str">
        <f>IF(AND(Table1[[#This Row],[Category]]="pay",NOT(Table1[[#This Row],[Debits]]=0)),"bad","good")</f>
        <v>good</v>
      </c>
      <c r="O1116" s="5"/>
    </row>
    <row r="1117" spans="6:15" x14ac:dyDescent="0.3">
      <c r="F1117">
        <f>MONTH(Table1[[#This Row],[Date  (DMY)]])</f>
        <v>1</v>
      </c>
      <c r="G1117" s="2"/>
      <c r="L1117" s="5"/>
      <c r="M1117" s="4">
        <f>M1116-Table1[[#This Row],[Debits]]+Table1[[#This Row],[Income]]</f>
        <v>1900</v>
      </c>
      <c r="N1117" t="str">
        <f>IF(AND(Table1[[#This Row],[Category]]="pay",NOT(Table1[[#This Row],[Debits]]=0)),"bad","good")</f>
        <v>good</v>
      </c>
      <c r="O1117" s="5"/>
    </row>
    <row r="1118" spans="6:15" x14ac:dyDescent="0.3">
      <c r="F1118">
        <f>MONTH(Table1[[#This Row],[Date  (DMY)]])</f>
        <v>1</v>
      </c>
      <c r="G1118" s="2"/>
      <c r="L1118" s="5"/>
      <c r="M1118" s="4">
        <f>M1117-Table1[[#This Row],[Debits]]+Table1[[#This Row],[Income]]</f>
        <v>1900</v>
      </c>
      <c r="N1118" t="str">
        <f>IF(AND(Table1[[#This Row],[Category]]="pay",NOT(Table1[[#This Row],[Debits]]=0)),"bad","good")</f>
        <v>good</v>
      </c>
      <c r="O1118" s="5"/>
    </row>
    <row r="1119" spans="6:15" x14ac:dyDescent="0.3">
      <c r="F1119">
        <f>MONTH(Table1[[#This Row],[Date  (DMY)]])</f>
        <v>1</v>
      </c>
      <c r="G1119" s="2"/>
      <c r="L1119" s="5"/>
      <c r="M1119" s="4">
        <f>M1118-Table1[[#This Row],[Debits]]+Table1[[#This Row],[Income]]</f>
        <v>1900</v>
      </c>
      <c r="N1119" t="str">
        <f>IF(AND(Table1[[#This Row],[Category]]="pay",NOT(Table1[[#This Row],[Debits]]=0)),"bad","good")</f>
        <v>good</v>
      </c>
      <c r="O1119" s="5"/>
    </row>
    <row r="1120" spans="6:15" x14ac:dyDescent="0.3">
      <c r="F1120">
        <f>MONTH(Table1[[#This Row],[Date  (DMY)]])</f>
        <v>1</v>
      </c>
      <c r="G1120" s="2"/>
      <c r="L1120" s="5"/>
      <c r="M1120" s="4">
        <f>M1119-Table1[[#This Row],[Debits]]+Table1[[#This Row],[Income]]</f>
        <v>1900</v>
      </c>
      <c r="N1120" t="str">
        <f>IF(AND(Table1[[#This Row],[Category]]="pay",NOT(Table1[[#This Row],[Debits]]=0)),"bad","good")</f>
        <v>good</v>
      </c>
      <c r="O1120" s="5"/>
    </row>
    <row r="1121" spans="6:15" x14ac:dyDescent="0.3">
      <c r="F1121">
        <f>MONTH(Table1[[#This Row],[Date  (DMY)]])</f>
        <v>1</v>
      </c>
      <c r="G1121" s="2"/>
      <c r="L1121" s="5"/>
      <c r="M1121" s="4">
        <f>M1120-Table1[[#This Row],[Debits]]+Table1[[#This Row],[Income]]</f>
        <v>1900</v>
      </c>
      <c r="N1121" t="str">
        <f>IF(AND(Table1[[#This Row],[Category]]="pay",NOT(Table1[[#This Row],[Debits]]=0)),"bad","good")</f>
        <v>good</v>
      </c>
      <c r="O1121" s="5"/>
    </row>
    <row r="1122" spans="6:15" x14ac:dyDescent="0.3">
      <c r="F1122">
        <f>MONTH(Table1[[#This Row],[Date  (DMY)]])</f>
        <v>1</v>
      </c>
      <c r="G1122" s="2"/>
      <c r="L1122" s="5"/>
      <c r="M1122" s="4">
        <f>M1121-Table1[[#This Row],[Debits]]+Table1[[#This Row],[Income]]</f>
        <v>1900</v>
      </c>
      <c r="N1122" t="str">
        <f>IF(AND(Table1[[#This Row],[Category]]="pay",NOT(Table1[[#This Row],[Debits]]=0)),"bad","good")</f>
        <v>good</v>
      </c>
      <c r="O1122" s="5"/>
    </row>
    <row r="1123" spans="6:15" x14ac:dyDescent="0.3">
      <c r="F1123">
        <f>MONTH(Table1[[#This Row],[Date  (DMY)]])</f>
        <v>1</v>
      </c>
      <c r="G1123" s="2"/>
      <c r="L1123" s="5"/>
      <c r="M1123" s="4">
        <f>M1122-Table1[[#This Row],[Debits]]+Table1[[#This Row],[Income]]</f>
        <v>1900</v>
      </c>
      <c r="N1123" t="str">
        <f>IF(AND(Table1[[#This Row],[Category]]="pay",NOT(Table1[[#This Row],[Debits]]=0)),"bad","good")</f>
        <v>good</v>
      </c>
      <c r="O1123" s="5"/>
    </row>
    <row r="1124" spans="6:15" x14ac:dyDescent="0.3">
      <c r="F1124">
        <f>MONTH(Table1[[#This Row],[Date  (DMY)]])</f>
        <v>1</v>
      </c>
      <c r="G1124" s="2"/>
      <c r="L1124" s="5"/>
      <c r="M1124" s="4">
        <f>M1123-Table1[[#This Row],[Debits]]+Table1[[#This Row],[Income]]</f>
        <v>1900</v>
      </c>
      <c r="N1124" t="str">
        <f>IF(AND(Table1[[#This Row],[Category]]="pay",NOT(Table1[[#This Row],[Debits]]=0)),"bad","good")</f>
        <v>good</v>
      </c>
      <c r="O1124" s="5"/>
    </row>
    <row r="1125" spans="6:15" x14ac:dyDescent="0.3">
      <c r="F1125">
        <f>MONTH(Table1[[#This Row],[Date  (DMY)]])</f>
        <v>1</v>
      </c>
      <c r="G1125" s="2"/>
      <c r="L1125" s="5"/>
      <c r="M1125" s="4">
        <f>M1124-Table1[[#This Row],[Debits]]+Table1[[#This Row],[Income]]</f>
        <v>1900</v>
      </c>
      <c r="N1125" t="str">
        <f>IF(AND(Table1[[#This Row],[Category]]="pay",NOT(Table1[[#This Row],[Debits]]=0)),"bad","good")</f>
        <v>good</v>
      </c>
      <c r="O1125" s="5"/>
    </row>
    <row r="1126" spans="6:15" x14ac:dyDescent="0.3">
      <c r="F1126">
        <f>MONTH(Table1[[#This Row],[Date  (DMY)]])</f>
        <v>1</v>
      </c>
      <c r="G1126" s="2"/>
      <c r="L1126" s="5"/>
      <c r="M1126" s="4">
        <f>M1125-Table1[[#This Row],[Debits]]+Table1[[#This Row],[Income]]</f>
        <v>1900</v>
      </c>
      <c r="N1126" t="str">
        <f>IF(AND(Table1[[#This Row],[Category]]="pay",NOT(Table1[[#This Row],[Debits]]=0)),"bad","good")</f>
        <v>good</v>
      </c>
      <c r="O1126" s="5"/>
    </row>
    <row r="1127" spans="6:15" x14ac:dyDescent="0.3">
      <c r="F1127">
        <f>MONTH(Table1[[#This Row],[Date  (DMY)]])</f>
        <v>1</v>
      </c>
      <c r="G1127" s="2"/>
      <c r="L1127" s="5"/>
      <c r="M1127" s="4">
        <f>M1126-Table1[[#This Row],[Debits]]+Table1[[#This Row],[Income]]</f>
        <v>1900</v>
      </c>
      <c r="N1127" t="str">
        <f>IF(AND(Table1[[#This Row],[Category]]="pay",NOT(Table1[[#This Row],[Debits]]=0)),"bad","good")</f>
        <v>good</v>
      </c>
      <c r="O1127" s="5"/>
    </row>
    <row r="1128" spans="6:15" x14ac:dyDescent="0.3">
      <c r="F1128">
        <f>MONTH(Table1[[#This Row],[Date  (DMY)]])</f>
        <v>1</v>
      </c>
      <c r="G1128" s="2"/>
      <c r="L1128" s="5"/>
      <c r="M1128" s="4">
        <f>M1127-Table1[[#This Row],[Debits]]+Table1[[#This Row],[Income]]</f>
        <v>1900</v>
      </c>
      <c r="N1128" t="str">
        <f>IF(AND(Table1[[#This Row],[Category]]="pay",NOT(Table1[[#This Row],[Debits]]=0)),"bad","good")</f>
        <v>good</v>
      </c>
      <c r="O1128" s="5"/>
    </row>
    <row r="1129" spans="6:15" x14ac:dyDescent="0.3">
      <c r="F1129">
        <f>MONTH(Table1[[#This Row],[Date  (DMY)]])</f>
        <v>1</v>
      </c>
      <c r="G1129" s="2"/>
      <c r="L1129" s="5"/>
      <c r="M1129" s="4">
        <f>M1128-Table1[[#This Row],[Debits]]+Table1[[#This Row],[Income]]</f>
        <v>1900</v>
      </c>
      <c r="N1129" t="str">
        <f>IF(AND(Table1[[#This Row],[Category]]="pay",NOT(Table1[[#This Row],[Debits]]=0)),"bad","good")</f>
        <v>good</v>
      </c>
      <c r="O1129" s="5"/>
    </row>
    <row r="1130" spans="6:15" x14ac:dyDescent="0.3">
      <c r="F1130">
        <f>MONTH(Table1[[#This Row],[Date  (DMY)]])</f>
        <v>1</v>
      </c>
      <c r="G1130" s="2"/>
      <c r="L1130" s="5"/>
      <c r="M1130" s="4">
        <f>M1129-Table1[[#This Row],[Debits]]+Table1[[#This Row],[Income]]</f>
        <v>1900</v>
      </c>
      <c r="N1130" t="str">
        <f>IF(AND(Table1[[#This Row],[Category]]="pay",NOT(Table1[[#This Row],[Debits]]=0)),"bad","good")</f>
        <v>good</v>
      </c>
      <c r="O1130" s="5"/>
    </row>
    <row r="1131" spans="6:15" x14ac:dyDescent="0.3">
      <c r="F1131">
        <f>MONTH(Table1[[#This Row],[Date  (DMY)]])</f>
        <v>1</v>
      </c>
      <c r="G1131" s="2"/>
      <c r="L1131" s="5"/>
      <c r="M1131" s="4">
        <f>M1130-Table1[[#This Row],[Debits]]+Table1[[#This Row],[Income]]</f>
        <v>1900</v>
      </c>
      <c r="N1131" t="str">
        <f>IF(AND(Table1[[#This Row],[Category]]="pay",NOT(Table1[[#This Row],[Debits]]=0)),"bad","good")</f>
        <v>good</v>
      </c>
      <c r="O1131" s="5"/>
    </row>
    <row r="1132" spans="6:15" x14ac:dyDescent="0.3">
      <c r="F1132">
        <f>MONTH(Table1[[#This Row],[Date  (DMY)]])</f>
        <v>1</v>
      </c>
      <c r="G1132" s="2"/>
      <c r="L1132" s="5"/>
      <c r="M1132" s="4">
        <f>M1131-Table1[[#This Row],[Debits]]+Table1[[#This Row],[Income]]</f>
        <v>1900</v>
      </c>
      <c r="N1132" t="str">
        <f>IF(AND(Table1[[#This Row],[Category]]="pay",NOT(Table1[[#This Row],[Debits]]=0)),"bad","good")</f>
        <v>good</v>
      </c>
      <c r="O1132" s="5"/>
    </row>
    <row r="1133" spans="6:15" x14ac:dyDescent="0.3">
      <c r="F1133">
        <f>MONTH(Table1[[#This Row],[Date  (DMY)]])</f>
        <v>1</v>
      </c>
      <c r="G1133" s="2"/>
      <c r="L1133" s="5"/>
      <c r="M1133" s="4">
        <f>M1132-Table1[[#This Row],[Debits]]+Table1[[#This Row],[Income]]</f>
        <v>1900</v>
      </c>
      <c r="N1133" t="str">
        <f>IF(AND(Table1[[#This Row],[Category]]="pay",NOT(Table1[[#This Row],[Debits]]=0)),"bad","good")</f>
        <v>good</v>
      </c>
      <c r="O1133" s="5"/>
    </row>
    <row r="1134" spans="6:15" x14ac:dyDescent="0.3">
      <c r="F1134">
        <f>MONTH(Table1[[#This Row],[Date  (DMY)]])</f>
        <v>1</v>
      </c>
      <c r="G1134" s="2"/>
      <c r="L1134" s="5"/>
      <c r="M1134" s="4">
        <f>M1133-Table1[[#This Row],[Debits]]+Table1[[#This Row],[Income]]</f>
        <v>1900</v>
      </c>
      <c r="N1134" t="str">
        <f>IF(AND(Table1[[#This Row],[Category]]="pay",NOT(Table1[[#This Row],[Debits]]=0)),"bad","good")</f>
        <v>good</v>
      </c>
      <c r="O1134" s="5"/>
    </row>
    <row r="1135" spans="6:15" x14ac:dyDescent="0.3">
      <c r="F1135">
        <f>MONTH(Table1[[#This Row],[Date  (DMY)]])</f>
        <v>1</v>
      </c>
      <c r="G1135" s="2"/>
      <c r="L1135" s="5"/>
      <c r="M1135" s="4">
        <f>M1134-Table1[[#This Row],[Debits]]+Table1[[#This Row],[Income]]</f>
        <v>1900</v>
      </c>
      <c r="N1135" t="str">
        <f>IF(AND(Table1[[#This Row],[Category]]="pay",NOT(Table1[[#This Row],[Debits]]=0)),"bad","good")</f>
        <v>good</v>
      </c>
      <c r="O1135" s="5"/>
    </row>
    <row r="1136" spans="6:15" x14ac:dyDescent="0.3">
      <c r="F1136">
        <f>MONTH(Table1[[#This Row],[Date  (DMY)]])</f>
        <v>1</v>
      </c>
      <c r="G1136" s="2"/>
      <c r="L1136" s="5"/>
      <c r="M1136" s="4">
        <f>M1135-Table1[[#This Row],[Debits]]+Table1[[#This Row],[Income]]</f>
        <v>1900</v>
      </c>
      <c r="N1136" t="str">
        <f>IF(AND(Table1[[#This Row],[Category]]="pay",NOT(Table1[[#This Row],[Debits]]=0)),"bad","good")</f>
        <v>good</v>
      </c>
      <c r="O1136" s="5"/>
    </row>
    <row r="1137" spans="6:15" x14ac:dyDescent="0.3">
      <c r="F1137">
        <f>MONTH(Table1[[#This Row],[Date  (DMY)]])</f>
        <v>1</v>
      </c>
      <c r="G1137" s="2"/>
      <c r="L1137" s="5"/>
      <c r="M1137" s="4">
        <f>M1136-Table1[[#This Row],[Debits]]+Table1[[#This Row],[Income]]</f>
        <v>1900</v>
      </c>
      <c r="N1137" t="str">
        <f>IF(AND(Table1[[#This Row],[Category]]="pay",NOT(Table1[[#This Row],[Debits]]=0)),"bad","good")</f>
        <v>good</v>
      </c>
      <c r="O1137" s="5"/>
    </row>
    <row r="1138" spans="6:15" x14ac:dyDescent="0.3">
      <c r="F1138">
        <f>MONTH(Table1[[#This Row],[Date  (DMY)]])</f>
        <v>1</v>
      </c>
      <c r="G1138" s="2"/>
      <c r="L1138" s="5"/>
      <c r="M1138" s="4">
        <f>M1137-Table1[[#This Row],[Debits]]+Table1[[#This Row],[Income]]</f>
        <v>1900</v>
      </c>
      <c r="N1138" t="str">
        <f>IF(AND(Table1[[#This Row],[Category]]="pay",NOT(Table1[[#This Row],[Debits]]=0)),"bad","good")</f>
        <v>good</v>
      </c>
      <c r="O1138" s="5"/>
    </row>
    <row r="1139" spans="6:15" x14ac:dyDescent="0.3">
      <c r="F1139">
        <f>MONTH(Table1[[#This Row],[Date  (DMY)]])</f>
        <v>1</v>
      </c>
      <c r="G1139" s="2"/>
      <c r="L1139" s="5"/>
      <c r="M1139" s="4">
        <f>M1138-Table1[[#This Row],[Debits]]+Table1[[#This Row],[Income]]</f>
        <v>1900</v>
      </c>
      <c r="N1139" t="str">
        <f>IF(AND(Table1[[#This Row],[Category]]="pay",NOT(Table1[[#This Row],[Debits]]=0)),"bad","good")</f>
        <v>good</v>
      </c>
      <c r="O1139" s="5"/>
    </row>
    <row r="1140" spans="6:15" x14ac:dyDescent="0.3">
      <c r="F1140">
        <f>MONTH(Table1[[#This Row],[Date  (DMY)]])</f>
        <v>1</v>
      </c>
      <c r="G1140" s="2"/>
      <c r="L1140" s="5"/>
      <c r="M1140" s="4">
        <f>M1139-Table1[[#This Row],[Debits]]+Table1[[#This Row],[Income]]</f>
        <v>1900</v>
      </c>
      <c r="N1140" t="str">
        <f>IF(AND(Table1[[#This Row],[Category]]="pay",NOT(Table1[[#This Row],[Debits]]=0)),"bad","good")</f>
        <v>good</v>
      </c>
      <c r="O1140" s="5"/>
    </row>
    <row r="1141" spans="6:15" x14ac:dyDescent="0.3">
      <c r="F1141">
        <f>MONTH(Table1[[#This Row],[Date  (DMY)]])</f>
        <v>1</v>
      </c>
      <c r="G1141" s="2"/>
      <c r="L1141" s="5"/>
      <c r="M1141" s="4">
        <f>M1140-Table1[[#This Row],[Debits]]+Table1[[#This Row],[Income]]</f>
        <v>1900</v>
      </c>
      <c r="N1141" t="str">
        <f>IF(AND(Table1[[#This Row],[Category]]="pay",NOT(Table1[[#This Row],[Debits]]=0)),"bad","good")</f>
        <v>good</v>
      </c>
      <c r="O1141" s="5"/>
    </row>
    <row r="1142" spans="6:15" x14ac:dyDescent="0.3">
      <c r="F1142">
        <f>MONTH(Table1[[#This Row],[Date  (DMY)]])</f>
        <v>1</v>
      </c>
      <c r="G1142" s="2"/>
      <c r="L1142" s="5"/>
      <c r="M1142" s="4">
        <f>M1141-Table1[[#This Row],[Debits]]+Table1[[#This Row],[Income]]</f>
        <v>1900</v>
      </c>
      <c r="N1142" t="str">
        <f>IF(AND(Table1[[#This Row],[Category]]="pay",NOT(Table1[[#This Row],[Debits]]=0)),"bad","good")</f>
        <v>good</v>
      </c>
      <c r="O1142" s="5"/>
    </row>
    <row r="1143" spans="6:15" x14ac:dyDescent="0.3">
      <c r="F1143">
        <f>MONTH(Table1[[#This Row],[Date  (DMY)]])</f>
        <v>1</v>
      </c>
      <c r="G1143" s="2"/>
      <c r="L1143" s="5"/>
      <c r="M1143" s="4">
        <f>M1142-Table1[[#This Row],[Debits]]+Table1[[#This Row],[Income]]</f>
        <v>1900</v>
      </c>
      <c r="N1143" t="str">
        <f>IF(AND(Table1[[#This Row],[Category]]="pay",NOT(Table1[[#This Row],[Debits]]=0)),"bad","good")</f>
        <v>good</v>
      </c>
      <c r="O1143" s="5"/>
    </row>
    <row r="1144" spans="6:15" x14ac:dyDescent="0.3">
      <c r="F1144">
        <f>MONTH(Table1[[#This Row],[Date  (DMY)]])</f>
        <v>1</v>
      </c>
      <c r="G1144" s="2"/>
      <c r="L1144" s="5"/>
      <c r="M1144" s="4">
        <f>M1143-Table1[[#This Row],[Debits]]+Table1[[#This Row],[Income]]</f>
        <v>1900</v>
      </c>
      <c r="N1144" t="str">
        <f>IF(AND(Table1[[#This Row],[Category]]="pay",NOT(Table1[[#This Row],[Debits]]=0)),"bad","good")</f>
        <v>good</v>
      </c>
      <c r="O1144" s="5"/>
    </row>
    <row r="1145" spans="6:15" x14ac:dyDescent="0.3">
      <c r="F1145">
        <f>MONTH(Table1[[#This Row],[Date  (DMY)]])</f>
        <v>1</v>
      </c>
      <c r="G1145" s="2"/>
      <c r="L1145" s="5"/>
      <c r="M1145" s="4">
        <f>M1144-Table1[[#This Row],[Debits]]+Table1[[#This Row],[Income]]</f>
        <v>1900</v>
      </c>
      <c r="N1145" t="str">
        <f>IF(AND(Table1[[#This Row],[Category]]="pay",NOT(Table1[[#This Row],[Debits]]=0)),"bad","good")</f>
        <v>good</v>
      </c>
      <c r="O1145" s="5"/>
    </row>
    <row r="1146" spans="6:15" x14ac:dyDescent="0.3">
      <c r="F1146">
        <f>MONTH(Table1[[#This Row],[Date  (DMY)]])</f>
        <v>1</v>
      </c>
      <c r="G1146" s="2"/>
      <c r="L1146" s="5"/>
      <c r="M1146" s="4">
        <f>M1145-Table1[[#This Row],[Debits]]+Table1[[#This Row],[Income]]</f>
        <v>1900</v>
      </c>
      <c r="N1146" t="str">
        <f>IF(AND(Table1[[#This Row],[Category]]="pay",NOT(Table1[[#This Row],[Debits]]=0)),"bad","good")</f>
        <v>good</v>
      </c>
      <c r="O1146" s="5"/>
    </row>
    <row r="1147" spans="6:15" x14ac:dyDescent="0.3">
      <c r="F1147">
        <f>MONTH(Table1[[#This Row],[Date  (DMY)]])</f>
        <v>1</v>
      </c>
      <c r="G1147" s="2"/>
      <c r="L1147" s="5"/>
      <c r="M1147" s="4">
        <f>M1146-Table1[[#This Row],[Debits]]+Table1[[#This Row],[Income]]</f>
        <v>1900</v>
      </c>
      <c r="N1147" t="str">
        <f>IF(AND(Table1[[#This Row],[Category]]="pay",NOT(Table1[[#This Row],[Debits]]=0)),"bad","good")</f>
        <v>good</v>
      </c>
      <c r="O1147" s="5"/>
    </row>
    <row r="1148" spans="6:15" x14ac:dyDescent="0.3">
      <c r="F1148">
        <f>MONTH(Table1[[#This Row],[Date  (DMY)]])</f>
        <v>1</v>
      </c>
      <c r="G1148" s="2"/>
      <c r="L1148" s="5"/>
      <c r="M1148" s="4">
        <f>M1147-Table1[[#This Row],[Debits]]+Table1[[#This Row],[Income]]</f>
        <v>1900</v>
      </c>
      <c r="N1148" t="str">
        <f>IF(AND(Table1[[#This Row],[Category]]="pay",NOT(Table1[[#This Row],[Debits]]=0)),"bad","good")</f>
        <v>good</v>
      </c>
      <c r="O1148" s="5"/>
    </row>
    <row r="1149" spans="6:15" x14ac:dyDescent="0.3">
      <c r="F1149">
        <f>MONTH(Table1[[#This Row],[Date  (DMY)]])</f>
        <v>1</v>
      </c>
      <c r="G1149" s="2"/>
      <c r="L1149" s="5"/>
      <c r="M1149" s="4">
        <f>M1148-Table1[[#This Row],[Debits]]+Table1[[#This Row],[Income]]</f>
        <v>1900</v>
      </c>
      <c r="N1149" t="str">
        <f>IF(AND(Table1[[#This Row],[Category]]="pay",NOT(Table1[[#This Row],[Debits]]=0)),"bad","good")</f>
        <v>good</v>
      </c>
      <c r="O1149" s="5"/>
    </row>
    <row r="1150" spans="6:15" x14ac:dyDescent="0.3">
      <c r="F1150">
        <f>MONTH(Table1[[#This Row],[Date  (DMY)]])</f>
        <v>1</v>
      </c>
      <c r="G1150" s="2"/>
      <c r="L1150" s="5"/>
      <c r="M1150" s="4">
        <f>M1149-Table1[[#This Row],[Debits]]+Table1[[#This Row],[Income]]</f>
        <v>1900</v>
      </c>
      <c r="N1150" t="str">
        <f>IF(AND(Table1[[#This Row],[Category]]="pay",NOT(Table1[[#This Row],[Debits]]=0)),"bad","good")</f>
        <v>good</v>
      </c>
      <c r="O1150" s="5"/>
    </row>
    <row r="1151" spans="6:15" x14ac:dyDescent="0.3">
      <c r="F1151">
        <f>MONTH(Table1[[#This Row],[Date  (DMY)]])</f>
        <v>1</v>
      </c>
      <c r="G1151" s="2"/>
      <c r="L1151" s="5"/>
      <c r="M1151" s="4">
        <f>M1150-Table1[[#This Row],[Debits]]+Table1[[#This Row],[Income]]</f>
        <v>1900</v>
      </c>
      <c r="N1151" t="str">
        <f>IF(AND(Table1[[#This Row],[Category]]="pay",NOT(Table1[[#This Row],[Debits]]=0)),"bad","good")</f>
        <v>good</v>
      </c>
      <c r="O1151" s="5"/>
    </row>
    <row r="1152" spans="6:15" x14ac:dyDescent="0.3">
      <c r="F1152">
        <f>MONTH(Table1[[#This Row],[Date  (DMY)]])</f>
        <v>1</v>
      </c>
      <c r="G1152" s="2"/>
      <c r="L1152" s="5"/>
      <c r="M1152" s="4">
        <f>M1151-Table1[[#This Row],[Debits]]+Table1[[#This Row],[Income]]</f>
        <v>1900</v>
      </c>
      <c r="N1152" t="str">
        <f>IF(AND(Table1[[#This Row],[Category]]="pay",NOT(Table1[[#This Row],[Debits]]=0)),"bad","good")</f>
        <v>good</v>
      </c>
      <c r="O1152" s="5"/>
    </row>
    <row r="1153" spans="6:15" x14ac:dyDescent="0.3">
      <c r="F1153">
        <f>MONTH(Table1[[#This Row],[Date  (DMY)]])</f>
        <v>1</v>
      </c>
      <c r="G1153" s="2"/>
      <c r="L1153" s="5"/>
      <c r="M1153" s="4">
        <f>M1152-Table1[[#This Row],[Debits]]+Table1[[#This Row],[Income]]</f>
        <v>1900</v>
      </c>
      <c r="N1153" t="str">
        <f>IF(AND(Table1[[#This Row],[Category]]="pay",NOT(Table1[[#This Row],[Debits]]=0)),"bad","good")</f>
        <v>good</v>
      </c>
      <c r="O1153" s="5"/>
    </row>
    <row r="1154" spans="6:15" x14ac:dyDescent="0.3">
      <c r="F1154">
        <f>MONTH(Table1[[#This Row],[Date  (DMY)]])</f>
        <v>1</v>
      </c>
      <c r="G1154" s="2"/>
      <c r="L1154" s="5"/>
      <c r="M1154" s="4">
        <f>M1153-Table1[[#This Row],[Debits]]+Table1[[#This Row],[Income]]</f>
        <v>1900</v>
      </c>
      <c r="N1154" t="str">
        <f>IF(AND(Table1[[#This Row],[Category]]="pay",NOT(Table1[[#This Row],[Debits]]=0)),"bad","good")</f>
        <v>good</v>
      </c>
      <c r="O1154" s="5"/>
    </row>
    <row r="1155" spans="6:15" x14ac:dyDescent="0.3">
      <c r="F1155">
        <f>MONTH(Table1[[#This Row],[Date  (DMY)]])</f>
        <v>1</v>
      </c>
      <c r="G1155" s="2"/>
      <c r="L1155" s="5"/>
      <c r="M1155" s="4">
        <f>M1154-Table1[[#This Row],[Debits]]+Table1[[#This Row],[Income]]</f>
        <v>1900</v>
      </c>
      <c r="N1155" t="str">
        <f>IF(AND(Table1[[#This Row],[Category]]="pay",NOT(Table1[[#This Row],[Debits]]=0)),"bad","good")</f>
        <v>good</v>
      </c>
      <c r="O1155" s="5"/>
    </row>
    <row r="1156" spans="6:15" x14ac:dyDescent="0.3">
      <c r="F1156">
        <f>MONTH(Table1[[#This Row],[Date  (DMY)]])</f>
        <v>1</v>
      </c>
      <c r="G1156" s="2"/>
      <c r="L1156" s="5"/>
      <c r="M1156" s="4">
        <f>M1155-Table1[[#This Row],[Debits]]+Table1[[#This Row],[Income]]</f>
        <v>1900</v>
      </c>
      <c r="N1156" t="str">
        <f>IF(AND(Table1[[#This Row],[Category]]="pay",NOT(Table1[[#This Row],[Debits]]=0)),"bad","good")</f>
        <v>good</v>
      </c>
      <c r="O1156" s="5"/>
    </row>
    <row r="1157" spans="6:15" x14ac:dyDescent="0.3">
      <c r="F1157">
        <f>MONTH(Table1[[#This Row],[Date  (DMY)]])</f>
        <v>1</v>
      </c>
      <c r="G1157" s="2"/>
      <c r="L1157" s="5"/>
      <c r="M1157" s="4">
        <f>M1156-Table1[[#This Row],[Debits]]+Table1[[#This Row],[Income]]</f>
        <v>1900</v>
      </c>
      <c r="N1157" t="str">
        <f>IF(AND(Table1[[#This Row],[Category]]="pay",NOT(Table1[[#This Row],[Debits]]=0)),"bad","good")</f>
        <v>good</v>
      </c>
      <c r="O1157" s="5"/>
    </row>
    <row r="1158" spans="6:15" x14ac:dyDescent="0.3">
      <c r="F1158">
        <f>MONTH(Table1[[#This Row],[Date  (DMY)]])</f>
        <v>1</v>
      </c>
      <c r="G1158" s="2"/>
      <c r="L1158" s="5"/>
      <c r="M1158" s="4">
        <f>M1157-Table1[[#This Row],[Debits]]+Table1[[#This Row],[Income]]</f>
        <v>1900</v>
      </c>
      <c r="N1158" t="str">
        <f>IF(AND(Table1[[#This Row],[Category]]="pay",NOT(Table1[[#This Row],[Debits]]=0)),"bad","good")</f>
        <v>good</v>
      </c>
      <c r="O1158" s="5"/>
    </row>
    <row r="1159" spans="6:15" x14ac:dyDescent="0.3">
      <c r="F1159">
        <f>MONTH(Table1[[#This Row],[Date  (DMY)]])</f>
        <v>1</v>
      </c>
      <c r="G1159" s="2"/>
      <c r="L1159" s="5"/>
      <c r="M1159" s="4">
        <f>M1158-Table1[[#This Row],[Debits]]+Table1[[#This Row],[Income]]</f>
        <v>1900</v>
      </c>
      <c r="N1159" t="str">
        <f>IF(AND(Table1[[#This Row],[Category]]="pay",NOT(Table1[[#This Row],[Debits]]=0)),"bad","good")</f>
        <v>good</v>
      </c>
      <c r="O1159" s="5"/>
    </row>
    <row r="1160" spans="6:15" x14ac:dyDescent="0.3">
      <c r="F1160">
        <f>MONTH(Table1[[#This Row],[Date  (DMY)]])</f>
        <v>1</v>
      </c>
      <c r="G1160" s="2"/>
      <c r="L1160" s="5"/>
      <c r="M1160" s="4">
        <f>M1159-Table1[[#This Row],[Debits]]+Table1[[#This Row],[Income]]</f>
        <v>1900</v>
      </c>
      <c r="N1160" t="str">
        <f>IF(AND(Table1[[#This Row],[Category]]="pay",NOT(Table1[[#This Row],[Debits]]=0)),"bad","good")</f>
        <v>good</v>
      </c>
      <c r="O1160" s="5"/>
    </row>
    <row r="1161" spans="6:15" x14ac:dyDescent="0.3">
      <c r="F1161">
        <f>MONTH(Table1[[#This Row],[Date  (DMY)]])</f>
        <v>1</v>
      </c>
      <c r="G1161" s="2"/>
      <c r="L1161" s="5"/>
      <c r="M1161" s="4">
        <f>M1160-Table1[[#This Row],[Debits]]+Table1[[#This Row],[Income]]</f>
        <v>1900</v>
      </c>
      <c r="N1161" t="str">
        <f>IF(AND(Table1[[#This Row],[Category]]="pay",NOT(Table1[[#This Row],[Debits]]=0)),"bad","good")</f>
        <v>good</v>
      </c>
      <c r="O1161" s="5"/>
    </row>
    <row r="1162" spans="6:15" x14ac:dyDescent="0.3">
      <c r="F1162">
        <f>MONTH(Table1[[#This Row],[Date  (DMY)]])</f>
        <v>1</v>
      </c>
      <c r="G1162" s="2"/>
      <c r="L1162" s="5"/>
      <c r="M1162" s="4">
        <f>M1161-Table1[[#This Row],[Debits]]+Table1[[#This Row],[Income]]</f>
        <v>1900</v>
      </c>
      <c r="N1162" t="str">
        <f>IF(AND(Table1[[#This Row],[Category]]="pay",NOT(Table1[[#This Row],[Debits]]=0)),"bad","good")</f>
        <v>good</v>
      </c>
      <c r="O1162" s="5"/>
    </row>
    <row r="1163" spans="6:15" x14ac:dyDescent="0.3">
      <c r="F1163">
        <f>MONTH(Table1[[#This Row],[Date  (DMY)]])</f>
        <v>1</v>
      </c>
      <c r="G1163" s="2"/>
      <c r="L1163" s="5"/>
      <c r="M1163" s="4">
        <f>M1162-Table1[[#This Row],[Debits]]+Table1[[#This Row],[Income]]</f>
        <v>1900</v>
      </c>
      <c r="N1163" t="str">
        <f>IF(AND(Table1[[#This Row],[Category]]="pay",NOT(Table1[[#This Row],[Debits]]=0)),"bad","good")</f>
        <v>good</v>
      </c>
      <c r="O1163" s="5"/>
    </row>
    <row r="1164" spans="6:15" x14ac:dyDescent="0.3">
      <c r="F1164">
        <f>MONTH(Table1[[#This Row],[Date  (DMY)]])</f>
        <v>1</v>
      </c>
      <c r="G1164" s="2"/>
      <c r="L1164" s="5"/>
      <c r="M1164" s="4">
        <f>M1163-Table1[[#This Row],[Debits]]+Table1[[#This Row],[Income]]</f>
        <v>1900</v>
      </c>
      <c r="N1164" t="str">
        <f>IF(AND(Table1[[#This Row],[Category]]="pay",NOT(Table1[[#This Row],[Debits]]=0)),"bad","good")</f>
        <v>good</v>
      </c>
      <c r="O1164" s="5"/>
    </row>
    <row r="1165" spans="6:15" x14ac:dyDescent="0.3">
      <c r="F1165">
        <f>MONTH(Table1[[#This Row],[Date  (DMY)]])</f>
        <v>1</v>
      </c>
      <c r="G1165" s="2"/>
      <c r="L1165" s="5"/>
      <c r="M1165" s="4">
        <f>M1164-Table1[[#This Row],[Debits]]+Table1[[#This Row],[Income]]</f>
        <v>1900</v>
      </c>
      <c r="N1165" t="str">
        <f>IF(AND(Table1[[#This Row],[Category]]="pay",NOT(Table1[[#This Row],[Debits]]=0)),"bad","good")</f>
        <v>good</v>
      </c>
      <c r="O1165" s="5"/>
    </row>
    <row r="1166" spans="6:15" x14ac:dyDescent="0.3">
      <c r="F1166">
        <f>MONTH(Table1[[#This Row],[Date  (DMY)]])</f>
        <v>1</v>
      </c>
      <c r="G1166" s="2"/>
      <c r="L1166" s="5"/>
      <c r="M1166" s="4">
        <f>M1165-Table1[[#This Row],[Debits]]+Table1[[#This Row],[Income]]</f>
        <v>1900</v>
      </c>
      <c r="N1166" t="str">
        <f>IF(AND(Table1[[#This Row],[Category]]="pay",NOT(Table1[[#This Row],[Debits]]=0)),"bad","good")</f>
        <v>good</v>
      </c>
      <c r="O1166" s="5"/>
    </row>
    <row r="1167" spans="6:15" x14ac:dyDescent="0.3">
      <c r="F1167">
        <f>MONTH(Table1[[#This Row],[Date  (DMY)]])</f>
        <v>1</v>
      </c>
      <c r="G1167" s="2"/>
      <c r="L1167" s="5"/>
      <c r="M1167" s="4">
        <f>M1166-Table1[[#This Row],[Debits]]+Table1[[#This Row],[Income]]</f>
        <v>1900</v>
      </c>
      <c r="N1167" t="str">
        <f>IF(AND(Table1[[#This Row],[Category]]="pay",NOT(Table1[[#This Row],[Debits]]=0)),"bad","good")</f>
        <v>good</v>
      </c>
      <c r="O1167" s="5"/>
    </row>
    <row r="1168" spans="6:15" x14ac:dyDescent="0.3">
      <c r="F1168">
        <f>MONTH(Table1[[#This Row],[Date  (DMY)]])</f>
        <v>1</v>
      </c>
      <c r="G1168" s="2"/>
      <c r="L1168" s="5"/>
      <c r="M1168" s="4">
        <f>M1167-Table1[[#This Row],[Debits]]+Table1[[#This Row],[Income]]</f>
        <v>1900</v>
      </c>
      <c r="N1168" t="str">
        <f>IF(AND(Table1[[#This Row],[Category]]="pay",NOT(Table1[[#This Row],[Debits]]=0)),"bad","good")</f>
        <v>good</v>
      </c>
      <c r="O1168" s="5"/>
    </row>
    <row r="1169" spans="6:15" x14ac:dyDescent="0.3">
      <c r="F1169">
        <f>MONTH(Table1[[#This Row],[Date  (DMY)]])</f>
        <v>1</v>
      </c>
      <c r="G1169" s="2"/>
      <c r="L1169" s="5"/>
      <c r="M1169" s="4">
        <f>M1168-Table1[[#This Row],[Debits]]+Table1[[#This Row],[Income]]</f>
        <v>1900</v>
      </c>
      <c r="N1169" t="str">
        <f>IF(AND(Table1[[#This Row],[Category]]="pay",NOT(Table1[[#This Row],[Debits]]=0)),"bad","good")</f>
        <v>good</v>
      </c>
      <c r="O1169" s="5"/>
    </row>
    <row r="1170" spans="6:15" x14ac:dyDescent="0.3">
      <c r="F1170">
        <f>MONTH(Table1[[#This Row],[Date  (DMY)]])</f>
        <v>1</v>
      </c>
      <c r="G1170" s="2"/>
      <c r="L1170" s="5"/>
      <c r="M1170" s="4">
        <f>M1169-Table1[[#This Row],[Debits]]+Table1[[#This Row],[Income]]</f>
        <v>1900</v>
      </c>
      <c r="N1170" t="str">
        <f>IF(AND(Table1[[#This Row],[Category]]="pay",NOT(Table1[[#This Row],[Debits]]=0)),"bad","good")</f>
        <v>good</v>
      </c>
      <c r="O1170" s="5"/>
    </row>
    <row r="1171" spans="6:15" x14ac:dyDescent="0.3">
      <c r="F1171">
        <f>MONTH(Table1[[#This Row],[Date  (DMY)]])</f>
        <v>1</v>
      </c>
      <c r="G1171" s="2"/>
      <c r="L1171" s="5"/>
      <c r="M1171" s="4">
        <f>M1170-Table1[[#This Row],[Debits]]+Table1[[#This Row],[Income]]</f>
        <v>1900</v>
      </c>
      <c r="N1171" t="str">
        <f>IF(AND(Table1[[#This Row],[Category]]="pay",NOT(Table1[[#This Row],[Debits]]=0)),"bad","good")</f>
        <v>good</v>
      </c>
      <c r="O1171" s="5"/>
    </row>
    <row r="1172" spans="6:15" x14ac:dyDescent="0.3">
      <c r="F1172">
        <f>MONTH(Table1[[#This Row],[Date  (DMY)]])</f>
        <v>1</v>
      </c>
      <c r="G1172" s="2"/>
      <c r="L1172" s="5"/>
      <c r="M1172" s="4">
        <f>M1171-Table1[[#This Row],[Debits]]+Table1[[#This Row],[Income]]</f>
        <v>1900</v>
      </c>
      <c r="N1172" t="str">
        <f>IF(AND(Table1[[#This Row],[Category]]="pay",NOT(Table1[[#This Row],[Debits]]=0)),"bad","good")</f>
        <v>good</v>
      </c>
      <c r="O1172" s="5"/>
    </row>
    <row r="1173" spans="6:15" x14ac:dyDescent="0.3">
      <c r="F1173">
        <f>MONTH(Table1[[#This Row],[Date  (DMY)]])</f>
        <v>1</v>
      </c>
      <c r="G1173" s="2"/>
      <c r="L1173" s="5"/>
      <c r="M1173" s="4">
        <f>M1172-Table1[[#This Row],[Debits]]+Table1[[#This Row],[Income]]</f>
        <v>1900</v>
      </c>
      <c r="N1173" t="str">
        <f>IF(AND(Table1[[#This Row],[Category]]="pay",NOT(Table1[[#This Row],[Debits]]=0)),"bad","good")</f>
        <v>good</v>
      </c>
      <c r="O1173" s="5"/>
    </row>
    <row r="1174" spans="6:15" x14ac:dyDescent="0.3">
      <c r="F1174">
        <f>MONTH(Table1[[#This Row],[Date  (DMY)]])</f>
        <v>1</v>
      </c>
      <c r="G1174" s="2"/>
      <c r="L1174" s="5"/>
      <c r="M1174" s="4">
        <f>M1173-Table1[[#This Row],[Debits]]+Table1[[#This Row],[Income]]</f>
        <v>1900</v>
      </c>
      <c r="N1174" t="str">
        <f>IF(AND(Table1[[#This Row],[Category]]="pay",NOT(Table1[[#This Row],[Debits]]=0)),"bad","good")</f>
        <v>good</v>
      </c>
      <c r="O1174" s="5"/>
    </row>
    <row r="1175" spans="6:15" x14ac:dyDescent="0.3">
      <c r="F1175">
        <f>MONTH(Table1[[#This Row],[Date  (DMY)]])</f>
        <v>1</v>
      </c>
      <c r="G1175" s="2"/>
      <c r="L1175" s="5"/>
      <c r="M1175" s="4">
        <f>M1174-Table1[[#This Row],[Debits]]+Table1[[#This Row],[Income]]</f>
        <v>1900</v>
      </c>
      <c r="N1175" t="str">
        <f>IF(AND(Table1[[#This Row],[Category]]="pay",NOT(Table1[[#This Row],[Debits]]=0)),"bad","good")</f>
        <v>good</v>
      </c>
      <c r="O1175" s="5"/>
    </row>
    <row r="1176" spans="6:15" x14ac:dyDescent="0.3">
      <c r="F1176">
        <f>MONTH(Table1[[#This Row],[Date  (DMY)]])</f>
        <v>1</v>
      </c>
      <c r="G1176" s="2"/>
      <c r="L1176" s="5"/>
      <c r="M1176" s="4">
        <f>M1175-Table1[[#This Row],[Debits]]+Table1[[#This Row],[Income]]</f>
        <v>1900</v>
      </c>
      <c r="N1176" t="str">
        <f>IF(AND(Table1[[#This Row],[Category]]="pay",NOT(Table1[[#This Row],[Debits]]=0)),"bad","good")</f>
        <v>good</v>
      </c>
      <c r="O1176" s="5"/>
    </row>
    <row r="1177" spans="6:15" x14ac:dyDescent="0.3">
      <c r="F1177">
        <f>MONTH(Table1[[#This Row],[Date  (DMY)]])</f>
        <v>1</v>
      </c>
      <c r="G1177" s="2"/>
      <c r="L1177" s="5"/>
      <c r="M1177" s="4">
        <f>M1176-Table1[[#This Row],[Debits]]+Table1[[#This Row],[Income]]</f>
        <v>1900</v>
      </c>
      <c r="N1177" t="str">
        <f>IF(AND(Table1[[#This Row],[Category]]="pay",NOT(Table1[[#This Row],[Debits]]=0)),"bad","good")</f>
        <v>good</v>
      </c>
      <c r="O1177" s="5"/>
    </row>
    <row r="1178" spans="6:15" x14ac:dyDescent="0.3">
      <c r="F1178">
        <f>MONTH(Table1[[#This Row],[Date  (DMY)]])</f>
        <v>1</v>
      </c>
      <c r="G1178" s="2"/>
      <c r="L1178" s="5"/>
      <c r="M1178" s="4">
        <f>M1177-Table1[[#This Row],[Debits]]+Table1[[#This Row],[Income]]</f>
        <v>1900</v>
      </c>
      <c r="N1178" t="str">
        <f>IF(AND(Table1[[#This Row],[Category]]="pay",NOT(Table1[[#This Row],[Debits]]=0)),"bad","good")</f>
        <v>good</v>
      </c>
      <c r="O1178" s="5"/>
    </row>
    <row r="1179" spans="6:15" x14ac:dyDescent="0.3">
      <c r="F1179">
        <f>MONTH(Table1[[#This Row],[Date  (DMY)]])</f>
        <v>1</v>
      </c>
      <c r="G1179" s="2"/>
      <c r="L1179" s="5"/>
      <c r="M1179" s="4">
        <f>M1178-Table1[[#This Row],[Debits]]+Table1[[#This Row],[Income]]</f>
        <v>1900</v>
      </c>
      <c r="N1179" t="str">
        <f>IF(AND(Table1[[#This Row],[Category]]="pay",NOT(Table1[[#This Row],[Debits]]=0)),"bad","good")</f>
        <v>good</v>
      </c>
      <c r="O1179" s="5"/>
    </row>
    <row r="1180" spans="6:15" x14ac:dyDescent="0.3">
      <c r="F1180">
        <f>MONTH(Table1[[#This Row],[Date  (DMY)]])</f>
        <v>1</v>
      </c>
      <c r="G1180" s="2"/>
      <c r="L1180" s="5"/>
      <c r="M1180" s="4">
        <f>M1179-Table1[[#This Row],[Debits]]+Table1[[#This Row],[Income]]</f>
        <v>1900</v>
      </c>
      <c r="N1180" t="str">
        <f>IF(AND(Table1[[#This Row],[Category]]="pay",NOT(Table1[[#This Row],[Debits]]=0)),"bad","good")</f>
        <v>good</v>
      </c>
      <c r="O1180" s="5"/>
    </row>
    <row r="1181" spans="6:15" x14ac:dyDescent="0.3">
      <c r="F1181">
        <f>MONTH(Table1[[#This Row],[Date  (DMY)]])</f>
        <v>1</v>
      </c>
      <c r="G1181" s="2"/>
      <c r="L1181" s="5"/>
      <c r="M1181" s="4">
        <f>M1180-Table1[[#This Row],[Debits]]+Table1[[#This Row],[Income]]</f>
        <v>1900</v>
      </c>
      <c r="N1181" t="str">
        <f>IF(AND(Table1[[#This Row],[Category]]="pay",NOT(Table1[[#This Row],[Debits]]=0)),"bad","good")</f>
        <v>good</v>
      </c>
      <c r="O1181" s="5"/>
    </row>
    <row r="1182" spans="6:15" x14ac:dyDescent="0.3">
      <c r="F1182">
        <f>MONTH(Table1[[#This Row],[Date  (DMY)]])</f>
        <v>1</v>
      </c>
      <c r="G1182" s="2"/>
      <c r="L1182" s="5"/>
      <c r="M1182" s="4">
        <f>M1181-Table1[[#This Row],[Debits]]+Table1[[#This Row],[Income]]</f>
        <v>1900</v>
      </c>
      <c r="N1182" t="str">
        <f>IF(AND(Table1[[#This Row],[Category]]="pay",NOT(Table1[[#This Row],[Debits]]=0)),"bad","good")</f>
        <v>good</v>
      </c>
      <c r="O1182" s="5"/>
    </row>
    <row r="1183" spans="6:15" x14ac:dyDescent="0.3">
      <c r="F1183">
        <f>MONTH(Table1[[#This Row],[Date  (DMY)]])</f>
        <v>1</v>
      </c>
      <c r="G1183" s="2"/>
      <c r="L1183" s="5"/>
      <c r="M1183" s="4">
        <f>M1182-Table1[[#This Row],[Debits]]+Table1[[#This Row],[Income]]</f>
        <v>1900</v>
      </c>
      <c r="N1183" t="str">
        <f>IF(AND(Table1[[#This Row],[Category]]="pay",NOT(Table1[[#This Row],[Debits]]=0)),"bad","good")</f>
        <v>good</v>
      </c>
      <c r="O1183" s="5"/>
    </row>
    <row r="1184" spans="6:15" x14ac:dyDescent="0.3">
      <c r="F1184">
        <f>MONTH(Table1[[#This Row],[Date  (DMY)]])</f>
        <v>1</v>
      </c>
      <c r="G1184" s="2"/>
      <c r="L1184" s="5"/>
      <c r="M1184" s="4">
        <f>M1183-Table1[[#This Row],[Debits]]+Table1[[#This Row],[Income]]</f>
        <v>1900</v>
      </c>
      <c r="N1184" t="str">
        <f>IF(AND(Table1[[#This Row],[Category]]="pay",NOT(Table1[[#This Row],[Debits]]=0)),"bad","good")</f>
        <v>good</v>
      </c>
      <c r="O1184" s="5"/>
    </row>
    <row r="1185" spans="6:15" x14ac:dyDescent="0.3">
      <c r="F1185">
        <f>MONTH(Table1[[#This Row],[Date  (DMY)]])</f>
        <v>1</v>
      </c>
      <c r="G1185" s="2"/>
      <c r="L1185" s="5"/>
      <c r="M1185" s="4">
        <f>M1184-Table1[[#This Row],[Debits]]+Table1[[#This Row],[Income]]</f>
        <v>1900</v>
      </c>
      <c r="N1185" t="str">
        <f>IF(AND(Table1[[#This Row],[Category]]="pay",NOT(Table1[[#This Row],[Debits]]=0)),"bad","good")</f>
        <v>good</v>
      </c>
      <c r="O1185" s="5"/>
    </row>
    <row r="1186" spans="6:15" x14ac:dyDescent="0.3">
      <c r="F1186">
        <f>MONTH(Table1[[#This Row],[Date  (DMY)]])</f>
        <v>1</v>
      </c>
      <c r="G1186" s="2"/>
      <c r="L1186" s="5"/>
      <c r="M1186" s="4">
        <f>M1185-Table1[[#This Row],[Debits]]+Table1[[#This Row],[Income]]</f>
        <v>1900</v>
      </c>
      <c r="N1186" t="str">
        <f>IF(AND(Table1[[#This Row],[Category]]="pay",NOT(Table1[[#This Row],[Debits]]=0)),"bad","good")</f>
        <v>good</v>
      </c>
      <c r="O1186" s="5"/>
    </row>
    <row r="1187" spans="6:15" x14ac:dyDescent="0.3">
      <c r="F1187">
        <f>MONTH(Table1[[#This Row],[Date  (DMY)]])</f>
        <v>1</v>
      </c>
      <c r="G1187" s="2"/>
      <c r="L1187" s="5"/>
      <c r="M1187" s="4">
        <f>M1186-Table1[[#This Row],[Debits]]+Table1[[#This Row],[Income]]</f>
        <v>1900</v>
      </c>
      <c r="N1187" t="str">
        <f>IF(AND(Table1[[#This Row],[Category]]="pay",NOT(Table1[[#This Row],[Debits]]=0)),"bad","good")</f>
        <v>good</v>
      </c>
      <c r="O1187" s="5"/>
    </row>
    <row r="1188" spans="6:15" x14ac:dyDescent="0.3">
      <c r="F1188">
        <f>MONTH(Table1[[#This Row],[Date  (DMY)]])</f>
        <v>1</v>
      </c>
      <c r="G1188" s="2"/>
      <c r="L1188" s="5"/>
      <c r="M1188" s="4">
        <f>M1187-Table1[[#This Row],[Debits]]+Table1[[#This Row],[Income]]</f>
        <v>1900</v>
      </c>
      <c r="N1188" t="str">
        <f>IF(AND(Table1[[#This Row],[Category]]="pay",NOT(Table1[[#This Row],[Debits]]=0)),"bad","good")</f>
        <v>good</v>
      </c>
      <c r="O1188" s="5"/>
    </row>
    <row r="1189" spans="6:15" x14ac:dyDescent="0.3">
      <c r="F1189">
        <f>MONTH(Table1[[#This Row],[Date  (DMY)]])</f>
        <v>1</v>
      </c>
      <c r="G1189" s="2"/>
      <c r="L1189" s="5"/>
      <c r="M1189" s="4">
        <f>M1188-Table1[[#This Row],[Debits]]+Table1[[#This Row],[Income]]</f>
        <v>1900</v>
      </c>
      <c r="N1189" t="str">
        <f>IF(AND(Table1[[#This Row],[Category]]="pay",NOT(Table1[[#This Row],[Debits]]=0)),"bad","good")</f>
        <v>good</v>
      </c>
      <c r="O1189" s="5"/>
    </row>
    <row r="1190" spans="6:15" x14ac:dyDescent="0.3">
      <c r="F1190">
        <f>MONTH(Table1[[#This Row],[Date  (DMY)]])</f>
        <v>1</v>
      </c>
      <c r="G1190" s="2"/>
      <c r="L1190" s="5"/>
      <c r="M1190" s="4">
        <f>M1189-Table1[[#This Row],[Debits]]+Table1[[#This Row],[Income]]</f>
        <v>1900</v>
      </c>
      <c r="N1190" t="str">
        <f>IF(AND(Table1[[#This Row],[Category]]="pay",NOT(Table1[[#This Row],[Debits]]=0)),"bad","good")</f>
        <v>good</v>
      </c>
      <c r="O1190" s="5"/>
    </row>
    <row r="1191" spans="6:15" x14ac:dyDescent="0.3">
      <c r="F1191">
        <f>MONTH(Table1[[#This Row],[Date  (DMY)]])</f>
        <v>1</v>
      </c>
      <c r="G1191" s="2"/>
      <c r="L1191" s="5"/>
      <c r="M1191" s="4">
        <f>M1190-Table1[[#This Row],[Debits]]+Table1[[#This Row],[Income]]</f>
        <v>1900</v>
      </c>
      <c r="N1191" t="str">
        <f>IF(AND(Table1[[#This Row],[Category]]="pay",NOT(Table1[[#This Row],[Debits]]=0)),"bad","good")</f>
        <v>good</v>
      </c>
      <c r="O1191" s="5"/>
    </row>
    <row r="1192" spans="6:15" x14ac:dyDescent="0.3">
      <c r="F1192">
        <f>MONTH(Table1[[#This Row],[Date  (DMY)]])</f>
        <v>1</v>
      </c>
      <c r="G1192" s="2"/>
      <c r="L1192" s="5"/>
      <c r="M1192" s="4">
        <f>M1191-Table1[[#This Row],[Debits]]+Table1[[#This Row],[Income]]</f>
        <v>1900</v>
      </c>
      <c r="N1192" t="str">
        <f>IF(AND(Table1[[#This Row],[Category]]="pay",NOT(Table1[[#This Row],[Debits]]=0)),"bad","good")</f>
        <v>good</v>
      </c>
      <c r="O1192" s="5"/>
    </row>
    <row r="1193" spans="6:15" x14ac:dyDescent="0.3">
      <c r="F1193">
        <f>MONTH(Table1[[#This Row],[Date  (DMY)]])</f>
        <v>1</v>
      </c>
      <c r="G1193" s="2"/>
      <c r="L1193" s="5"/>
      <c r="M1193" s="4">
        <f>M1192-Table1[[#This Row],[Debits]]+Table1[[#This Row],[Income]]</f>
        <v>1900</v>
      </c>
      <c r="N1193" t="str">
        <f>IF(AND(Table1[[#This Row],[Category]]="pay",NOT(Table1[[#This Row],[Debits]]=0)),"bad","good")</f>
        <v>good</v>
      </c>
      <c r="O1193" s="5"/>
    </row>
    <row r="1194" spans="6:15" x14ac:dyDescent="0.3">
      <c r="F1194">
        <f>MONTH(Table1[[#This Row],[Date  (DMY)]])</f>
        <v>1</v>
      </c>
      <c r="G1194" s="2"/>
      <c r="L1194" s="5"/>
      <c r="M1194" s="4">
        <f>M1193-Table1[[#This Row],[Debits]]+Table1[[#This Row],[Income]]</f>
        <v>1900</v>
      </c>
      <c r="N1194" t="str">
        <f>IF(AND(Table1[[#This Row],[Category]]="pay",NOT(Table1[[#This Row],[Debits]]=0)),"bad","good")</f>
        <v>good</v>
      </c>
      <c r="O1194" s="5"/>
    </row>
    <row r="1195" spans="6:15" x14ac:dyDescent="0.3">
      <c r="F1195">
        <f>MONTH(Table1[[#This Row],[Date  (DMY)]])</f>
        <v>1</v>
      </c>
      <c r="G1195" s="2"/>
      <c r="L1195" s="5"/>
      <c r="M1195" s="4">
        <f>M1194-Table1[[#This Row],[Debits]]+Table1[[#This Row],[Income]]</f>
        <v>1900</v>
      </c>
      <c r="N1195" t="str">
        <f>IF(AND(Table1[[#This Row],[Category]]="pay",NOT(Table1[[#This Row],[Debits]]=0)),"bad","good")</f>
        <v>good</v>
      </c>
      <c r="O1195" s="5"/>
    </row>
    <row r="1196" spans="6:15" x14ac:dyDescent="0.3">
      <c r="F1196">
        <f>MONTH(Table1[[#This Row],[Date  (DMY)]])</f>
        <v>1</v>
      </c>
      <c r="G1196" s="2"/>
      <c r="L1196" s="5"/>
      <c r="M1196" s="4">
        <f>M1195-Table1[[#This Row],[Debits]]+Table1[[#This Row],[Income]]</f>
        <v>1900</v>
      </c>
      <c r="N1196" t="str">
        <f>IF(AND(Table1[[#This Row],[Category]]="pay",NOT(Table1[[#This Row],[Debits]]=0)),"bad","good")</f>
        <v>good</v>
      </c>
      <c r="O1196" s="5"/>
    </row>
    <row r="1197" spans="6:15" x14ac:dyDescent="0.3">
      <c r="F1197">
        <f>MONTH(Table1[[#This Row],[Date  (DMY)]])</f>
        <v>1</v>
      </c>
      <c r="G1197" s="2"/>
      <c r="L1197" s="5"/>
      <c r="M1197" s="4">
        <f>M1196-Table1[[#This Row],[Debits]]+Table1[[#This Row],[Income]]</f>
        <v>1900</v>
      </c>
      <c r="N1197" t="str">
        <f>IF(AND(Table1[[#This Row],[Category]]="pay",NOT(Table1[[#This Row],[Debits]]=0)),"bad","good")</f>
        <v>good</v>
      </c>
      <c r="O1197" s="5"/>
    </row>
    <row r="1198" spans="6:15" x14ac:dyDescent="0.3">
      <c r="F1198">
        <f>MONTH(Table1[[#This Row],[Date  (DMY)]])</f>
        <v>1</v>
      </c>
      <c r="G1198" s="2"/>
      <c r="L1198" s="5"/>
      <c r="M1198" s="4">
        <f>M1197-Table1[[#This Row],[Debits]]+Table1[[#This Row],[Income]]</f>
        <v>1900</v>
      </c>
      <c r="N1198" t="str">
        <f>IF(AND(Table1[[#This Row],[Category]]="pay",NOT(Table1[[#This Row],[Debits]]=0)),"bad","good")</f>
        <v>good</v>
      </c>
      <c r="O1198" s="5"/>
    </row>
    <row r="1199" spans="6:15" x14ac:dyDescent="0.3">
      <c r="F1199">
        <f>MONTH(Table1[[#This Row],[Date  (DMY)]])</f>
        <v>1</v>
      </c>
      <c r="G1199" s="2"/>
      <c r="L1199" s="5"/>
      <c r="M1199" s="4">
        <f>M1198-Table1[[#This Row],[Debits]]+Table1[[#This Row],[Income]]</f>
        <v>1900</v>
      </c>
      <c r="N1199" t="str">
        <f>IF(AND(Table1[[#This Row],[Category]]="pay",NOT(Table1[[#This Row],[Debits]]=0)),"bad","good")</f>
        <v>good</v>
      </c>
      <c r="O1199" s="5"/>
    </row>
    <row r="1200" spans="6:15" x14ac:dyDescent="0.3">
      <c r="F1200">
        <f>MONTH(Table1[[#This Row],[Date  (DMY)]])</f>
        <v>1</v>
      </c>
      <c r="G1200" s="2"/>
      <c r="L1200" s="5"/>
      <c r="M1200" s="4">
        <f>M1199-Table1[[#This Row],[Debits]]+Table1[[#This Row],[Income]]</f>
        <v>1900</v>
      </c>
      <c r="N1200" t="str">
        <f>IF(AND(Table1[[#This Row],[Category]]="pay",NOT(Table1[[#This Row],[Debits]]=0)),"bad","good")</f>
        <v>good</v>
      </c>
      <c r="O1200" s="5"/>
    </row>
    <row r="1201" spans="6:15" x14ac:dyDescent="0.3">
      <c r="F1201">
        <f>MONTH(Table1[[#This Row],[Date  (DMY)]])</f>
        <v>1</v>
      </c>
      <c r="G1201" s="2"/>
      <c r="L1201" s="5"/>
      <c r="M1201" s="4">
        <f>M1200-Table1[[#This Row],[Debits]]+Table1[[#This Row],[Income]]</f>
        <v>1900</v>
      </c>
      <c r="N1201" t="str">
        <f>IF(AND(Table1[[#This Row],[Category]]="pay",NOT(Table1[[#This Row],[Debits]]=0)),"bad","good")</f>
        <v>good</v>
      </c>
      <c r="O1201" s="5"/>
    </row>
    <row r="1202" spans="6:15" x14ac:dyDescent="0.3">
      <c r="F1202">
        <f>MONTH(Table1[[#This Row],[Date  (DMY)]])</f>
        <v>1</v>
      </c>
      <c r="G1202" s="2"/>
      <c r="L1202" s="5"/>
      <c r="M1202" s="4">
        <f>M1201-Table1[[#This Row],[Debits]]+Table1[[#This Row],[Income]]</f>
        <v>1900</v>
      </c>
      <c r="N1202" t="str">
        <f>IF(AND(Table1[[#This Row],[Category]]="pay",NOT(Table1[[#This Row],[Debits]]=0)),"bad","good")</f>
        <v>good</v>
      </c>
      <c r="O1202" s="5"/>
    </row>
    <row r="1203" spans="6:15" x14ac:dyDescent="0.3">
      <c r="F1203">
        <f>MONTH(Table1[[#This Row],[Date  (DMY)]])</f>
        <v>1</v>
      </c>
      <c r="G1203" s="2"/>
      <c r="L1203" s="5"/>
      <c r="M1203" s="4">
        <f>M1202-Table1[[#This Row],[Debits]]+Table1[[#This Row],[Income]]</f>
        <v>1900</v>
      </c>
      <c r="N1203" t="str">
        <f>IF(AND(Table1[[#This Row],[Category]]="pay",NOT(Table1[[#This Row],[Debits]]=0)),"bad","good")</f>
        <v>good</v>
      </c>
      <c r="O1203" s="5"/>
    </row>
    <row r="1204" spans="6:15" x14ac:dyDescent="0.3">
      <c r="F1204">
        <f>MONTH(Table1[[#This Row],[Date  (DMY)]])</f>
        <v>1</v>
      </c>
      <c r="G1204" s="2"/>
      <c r="L1204" s="5"/>
      <c r="M1204" s="4">
        <f>M1203-Table1[[#This Row],[Debits]]+Table1[[#This Row],[Income]]</f>
        <v>1900</v>
      </c>
      <c r="N1204" t="str">
        <f>IF(AND(Table1[[#This Row],[Category]]="pay",NOT(Table1[[#This Row],[Debits]]=0)),"bad","good")</f>
        <v>good</v>
      </c>
      <c r="O1204" s="5"/>
    </row>
    <row r="1205" spans="6:15" x14ac:dyDescent="0.3">
      <c r="F1205">
        <f>MONTH(Table1[[#This Row],[Date  (DMY)]])</f>
        <v>1</v>
      </c>
      <c r="G1205" s="2"/>
      <c r="L1205" s="5"/>
      <c r="M1205" s="4">
        <f>M1204-Table1[[#This Row],[Debits]]+Table1[[#This Row],[Income]]</f>
        <v>1900</v>
      </c>
      <c r="N1205" t="str">
        <f>IF(AND(Table1[[#This Row],[Category]]="pay",NOT(Table1[[#This Row],[Debits]]=0)),"bad","good")</f>
        <v>good</v>
      </c>
      <c r="O1205" s="5"/>
    </row>
    <row r="1206" spans="6:15" x14ac:dyDescent="0.3">
      <c r="F1206">
        <f>MONTH(Table1[[#This Row],[Date  (DMY)]])</f>
        <v>1</v>
      </c>
      <c r="G1206" s="2"/>
      <c r="L1206" s="5"/>
      <c r="M1206" s="4">
        <f>M1205-Table1[[#This Row],[Debits]]+Table1[[#This Row],[Income]]</f>
        <v>1900</v>
      </c>
      <c r="N1206" t="str">
        <f>IF(AND(Table1[[#This Row],[Category]]="pay",NOT(Table1[[#This Row],[Debits]]=0)),"bad","good")</f>
        <v>good</v>
      </c>
      <c r="O1206" s="5"/>
    </row>
    <row r="1207" spans="6:15" x14ac:dyDescent="0.3">
      <c r="F1207">
        <f>MONTH(Table1[[#This Row],[Date  (DMY)]])</f>
        <v>1</v>
      </c>
      <c r="G1207" s="2"/>
      <c r="L1207" s="5"/>
      <c r="M1207" s="4">
        <f>M1206-Table1[[#This Row],[Debits]]+Table1[[#This Row],[Income]]</f>
        <v>1900</v>
      </c>
      <c r="N1207" t="str">
        <f>IF(AND(Table1[[#This Row],[Category]]="pay",NOT(Table1[[#This Row],[Debits]]=0)),"bad","good")</f>
        <v>good</v>
      </c>
      <c r="O1207" s="5"/>
    </row>
    <row r="1208" spans="6:15" x14ac:dyDescent="0.3">
      <c r="F1208">
        <f>MONTH(Table1[[#This Row],[Date  (DMY)]])</f>
        <v>1</v>
      </c>
      <c r="G1208" s="2"/>
      <c r="L1208" s="5"/>
      <c r="M1208" s="4">
        <f>M1207-Table1[[#This Row],[Debits]]+Table1[[#This Row],[Income]]</f>
        <v>1900</v>
      </c>
      <c r="N1208" t="str">
        <f>IF(AND(Table1[[#This Row],[Category]]="pay",NOT(Table1[[#This Row],[Debits]]=0)),"bad","good")</f>
        <v>good</v>
      </c>
      <c r="O1208" s="5"/>
    </row>
    <row r="1209" spans="6:15" x14ac:dyDescent="0.3">
      <c r="F1209">
        <f>MONTH(Table1[[#This Row],[Date  (DMY)]])</f>
        <v>1</v>
      </c>
      <c r="G1209" s="2"/>
      <c r="L1209" s="5"/>
      <c r="M1209" s="4">
        <f>M1208-Table1[[#This Row],[Debits]]+Table1[[#This Row],[Income]]</f>
        <v>1900</v>
      </c>
      <c r="N1209" t="str">
        <f>IF(AND(Table1[[#This Row],[Category]]="pay",NOT(Table1[[#This Row],[Debits]]=0)),"bad","good")</f>
        <v>good</v>
      </c>
      <c r="O1209" s="5"/>
    </row>
    <row r="1210" spans="6:15" x14ac:dyDescent="0.3">
      <c r="F1210">
        <f>MONTH(Table1[[#This Row],[Date  (DMY)]])</f>
        <v>1</v>
      </c>
      <c r="G1210" s="2"/>
      <c r="L1210" s="5"/>
      <c r="M1210" s="4">
        <f>M1209-Table1[[#This Row],[Debits]]+Table1[[#This Row],[Income]]</f>
        <v>1900</v>
      </c>
      <c r="N1210" t="str">
        <f>IF(AND(Table1[[#This Row],[Category]]="pay",NOT(Table1[[#This Row],[Debits]]=0)),"bad","good")</f>
        <v>good</v>
      </c>
      <c r="O1210" s="5"/>
    </row>
    <row r="1211" spans="6:15" x14ac:dyDescent="0.3">
      <c r="F1211">
        <f>MONTH(Table1[[#This Row],[Date  (DMY)]])</f>
        <v>1</v>
      </c>
      <c r="G1211" s="2"/>
      <c r="L1211" s="5"/>
      <c r="M1211" s="4">
        <f>M1210-Table1[[#This Row],[Debits]]+Table1[[#This Row],[Income]]</f>
        <v>1900</v>
      </c>
      <c r="N1211" t="str">
        <f>IF(AND(Table1[[#This Row],[Category]]="pay",NOT(Table1[[#This Row],[Debits]]=0)),"bad","good")</f>
        <v>good</v>
      </c>
      <c r="O1211" s="5"/>
    </row>
    <row r="1212" spans="6:15" x14ac:dyDescent="0.3">
      <c r="F1212">
        <f>MONTH(Table1[[#This Row],[Date  (DMY)]])</f>
        <v>1</v>
      </c>
      <c r="G1212" s="2"/>
      <c r="L1212" s="5"/>
      <c r="M1212" s="4">
        <f>M1211-Table1[[#This Row],[Debits]]+Table1[[#This Row],[Income]]</f>
        <v>1900</v>
      </c>
      <c r="N1212" t="str">
        <f>IF(AND(Table1[[#This Row],[Category]]="pay",NOT(Table1[[#This Row],[Debits]]=0)),"bad","good")</f>
        <v>good</v>
      </c>
      <c r="O1212" s="5"/>
    </row>
    <row r="1213" spans="6:15" x14ac:dyDescent="0.3">
      <c r="F1213">
        <f>MONTH(Table1[[#This Row],[Date  (DMY)]])</f>
        <v>1</v>
      </c>
      <c r="G1213" s="2"/>
      <c r="L1213" s="5"/>
      <c r="M1213" s="4">
        <f>M1212-Table1[[#This Row],[Debits]]+Table1[[#This Row],[Income]]</f>
        <v>1900</v>
      </c>
      <c r="N1213" t="str">
        <f>IF(AND(Table1[[#This Row],[Category]]="pay",NOT(Table1[[#This Row],[Debits]]=0)),"bad","good")</f>
        <v>good</v>
      </c>
      <c r="O1213" s="5"/>
    </row>
    <row r="1214" spans="6:15" x14ac:dyDescent="0.3">
      <c r="F1214">
        <f>MONTH(Table1[[#This Row],[Date  (DMY)]])</f>
        <v>1</v>
      </c>
      <c r="G1214" s="2"/>
      <c r="L1214" s="5"/>
      <c r="M1214" s="4">
        <f>M1213-Table1[[#This Row],[Debits]]+Table1[[#This Row],[Income]]</f>
        <v>1900</v>
      </c>
      <c r="N1214" t="str">
        <f>IF(AND(Table1[[#This Row],[Category]]="pay",NOT(Table1[[#This Row],[Debits]]=0)),"bad","good")</f>
        <v>good</v>
      </c>
      <c r="O1214" s="5"/>
    </row>
    <row r="1215" spans="6:15" x14ac:dyDescent="0.3">
      <c r="F1215">
        <f>MONTH(Table1[[#This Row],[Date  (DMY)]])</f>
        <v>1</v>
      </c>
      <c r="G1215" s="2"/>
      <c r="L1215" s="5"/>
      <c r="M1215" s="4">
        <f>M1214-Table1[[#This Row],[Debits]]+Table1[[#This Row],[Income]]</f>
        <v>1900</v>
      </c>
      <c r="N1215" t="str">
        <f>IF(AND(Table1[[#This Row],[Category]]="pay",NOT(Table1[[#This Row],[Debits]]=0)),"bad","good")</f>
        <v>good</v>
      </c>
      <c r="O1215" s="5"/>
    </row>
    <row r="1216" spans="6:15" x14ac:dyDescent="0.3">
      <c r="F1216">
        <f>MONTH(Table1[[#This Row],[Date  (DMY)]])</f>
        <v>1</v>
      </c>
      <c r="G1216" s="2"/>
      <c r="L1216" s="5"/>
      <c r="M1216" s="4">
        <f>M1215-Table1[[#This Row],[Debits]]+Table1[[#This Row],[Income]]</f>
        <v>1900</v>
      </c>
      <c r="N1216" t="str">
        <f>IF(AND(Table1[[#This Row],[Category]]="pay",NOT(Table1[[#This Row],[Debits]]=0)),"bad","good")</f>
        <v>good</v>
      </c>
      <c r="O1216" s="5"/>
    </row>
    <row r="1217" spans="6:15" x14ac:dyDescent="0.3">
      <c r="F1217">
        <f>MONTH(Table1[[#This Row],[Date  (DMY)]])</f>
        <v>1</v>
      </c>
      <c r="G1217" s="2"/>
      <c r="L1217" s="5"/>
      <c r="M1217" s="4">
        <f>M1216-Table1[[#This Row],[Debits]]+Table1[[#This Row],[Income]]</f>
        <v>1900</v>
      </c>
      <c r="N1217" t="str">
        <f>IF(AND(Table1[[#This Row],[Category]]="pay",NOT(Table1[[#This Row],[Debits]]=0)),"bad","good")</f>
        <v>good</v>
      </c>
      <c r="O1217" s="5"/>
    </row>
    <row r="1218" spans="6:15" x14ac:dyDescent="0.3">
      <c r="F1218">
        <f>MONTH(Table1[[#This Row],[Date  (DMY)]])</f>
        <v>1</v>
      </c>
      <c r="G1218" s="2"/>
      <c r="L1218" s="5"/>
      <c r="M1218" s="4">
        <f>M1217-Table1[[#This Row],[Debits]]+Table1[[#This Row],[Income]]</f>
        <v>1900</v>
      </c>
      <c r="N1218" t="str">
        <f>IF(AND(Table1[[#This Row],[Category]]="pay",NOT(Table1[[#This Row],[Debits]]=0)),"bad","good")</f>
        <v>good</v>
      </c>
      <c r="O1218" s="5"/>
    </row>
    <row r="1219" spans="6:15" x14ac:dyDescent="0.3">
      <c r="F1219">
        <f>MONTH(Table1[[#This Row],[Date  (DMY)]])</f>
        <v>1</v>
      </c>
      <c r="G1219" s="2"/>
      <c r="L1219" s="5"/>
      <c r="M1219" s="4">
        <f>M1218-Table1[[#This Row],[Debits]]+Table1[[#This Row],[Income]]</f>
        <v>1900</v>
      </c>
      <c r="N1219" t="str">
        <f>IF(AND(Table1[[#This Row],[Category]]="pay",NOT(Table1[[#This Row],[Debits]]=0)),"bad","good")</f>
        <v>good</v>
      </c>
      <c r="O1219" s="5"/>
    </row>
    <row r="1220" spans="6:15" x14ac:dyDescent="0.3">
      <c r="F1220">
        <f>MONTH(Table1[[#This Row],[Date  (DMY)]])</f>
        <v>1</v>
      </c>
      <c r="G1220" s="2"/>
      <c r="L1220" s="5"/>
      <c r="M1220" s="4">
        <f>M1219-Table1[[#This Row],[Debits]]+Table1[[#This Row],[Income]]</f>
        <v>1900</v>
      </c>
      <c r="N1220" t="str">
        <f>IF(AND(Table1[[#This Row],[Category]]="pay",NOT(Table1[[#This Row],[Debits]]=0)),"bad","good")</f>
        <v>good</v>
      </c>
      <c r="O1220" s="5"/>
    </row>
    <row r="1221" spans="6:15" x14ac:dyDescent="0.3">
      <c r="F1221">
        <f>MONTH(Table1[[#This Row],[Date  (DMY)]])</f>
        <v>1</v>
      </c>
      <c r="G1221" s="2"/>
      <c r="L1221" s="5"/>
      <c r="M1221" s="4">
        <f>M1220-Table1[[#This Row],[Debits]]+Table1[[#This Row],[Income]]</f>
        <v>1900</v>
      </c>
      <c r="N1221" t="str">
        <f>IF(AND(Table1[[#This Row],[Category]]="pay",NOT(Table1[[#This Row],[Debits]]=0)),"bad","good")</f>
        <v>good</v>
      </c>
      <c r="O1221" s="5"/>
    </row>
    <row r="1222" spans="6:15" x14ac:dyDescent="0.3">
      <c r="F1222">
        <f>MONTH(Table1[[#This Row],[Date  (DMY)]])</f>
        <v>1</v>
      </c>
      <c r="G1222" s="2"/>
      <c r="L1222" s="5"/>
      <c r="M1222" s="4">
        <f>M1221-Table1[[#This Row],[Debits]]+Table1[[#This Row],[Income]]</f>
        <v>1900</v>
      </c>
      <c r="N1222" t="str">
        <f>IF(AND(Table1[[#This Row],[Category]]="pay",NOT(Table1[[#This Row],[Debits]]=0)),"bad","good")</f>
        <v>good</v>
      </c>
      <c r="O1222" s="5"/>
    </row>
    <row r="1223" spans="6:15" x14ac:dyDescent="0.3">
      <c r="F1223">
        <f>MONTH(Table1[[#This Row],[Date  (DMY)]])</f>
        <v>1</v>
      </c>
      <c r="G1223" s="2"/>
      <c r="L1223" s="5"/>
      <c r="M1223" s="4">
        <f>M1222-Table1[[#This Row],[Debits]]+Table1[[#This Row],[Income]]</f>
        <v>1900</v>
      </c>
      <c r="N1223" t="str">
        <f>IF(AND(Table1[[#This Row],[Category]]="pay",NOT(Table1[[#This Row],[Debits]]=0)),"bad","good")</f>
        <v>good</v>
      </c>
      <c r="O1223" s="5"/>
    </row>
    <row r="1224" spans="6:15" x14ac:dyDescent="0.3">
      <c r="F1224">
        <f>MONTH(Table1[[#This Row],[Date  (DMY)]])</f>
        <v>1</v>
      </c>
      <c r="G1224" s="2"/>
      <c r="L1224" s="5"/>
      <c r="M1224" s="4">
        <f>M1223-Table1[[#This Row],[Debits]]+Table1[[#This Row],[Income]]</f>
        <v>1900</v>
      </c>
      <c r="N1224" t="str">
        <f>IF(AND(Table1[[#This Row],[Category]]="pay",NOT(Table1[[#This Row],[Debits]]=0)),"bad","good")</f>
        <v>good</v>
      </c>
      <c r="O1224" s="5"/>
    </row>
    <row r="1225" spans="6:15" x14ac:dyDescent="0.3">
      <c r="F1225">
        <f>MONTH(Table1[[#This Row],[Date  (DMY)]])</f>
        <v>1</v>
      </c>
      <c r="G1225" s="2"/>
      <c r="L1225" s="5"/>
      <c r="M1225" s="4">
        <f>M1224-Table1[[#This Row],[Debits]]+Table1[[#This Row],[Income]]</f>
        <v>1900</v>
      </c>
      <c r="N1225" t="str">
        <f>IF(AND(Table1[[#This Row],[Category]]="pay",NOT(Table1[[#This Row],[Debits]]=0)),"bad","good")</f>
        <v>good</v>
      </c>
      <c r="O1225" s="5"/>
    </row>
    <row r="1226" spans="6:15" x14ac:dyDescent="0.3">
      <c r="F1226">
        <f>MONTH(Table1[[#This Row],[Date  (DMY)]])</f>
        <v>1</v>
      </c>
      <c r="G1226" s="2"/>
      <c r="L1226" s="5"/>
      <c r="M1226" s="4">
        <f>M1225-Table1[[#This Row],[Debits]]+Table1[[#This Row],[Income]]</f>
        <v>1900</v>
      </c>
      <c r="N1226" t="str">
        <f>IF(AND(Table1[[#This Row],[Category]]="pay",NOT(Table1[[#This Row],[Debits]]=0)),"bad","good")</f>
        <v>good</v>
      </c>
      <c r="O1226" s="5"/>
    </row>
    <row r="1227" spans="6:15" x14ac:dyDescent="0.3">
      <c r="F1227">
        <f>MONTH(Table1[[#This Row],[Date  (DMY)]])</f>
        <v>1</v>
      </c>
      <c r="G1227" s="2"/>
      <c r="L1227" s="5"/>
      <c r="M1227" s="4">
        <f>M1226-Table1[[#This Row],[Debits]]+Table1[[#This Row],[Income]]</f>
        <v>1900</v>
      </c>
      <c r="N1227" t="str">
        <f>IF(AND(Table1[[#This Row],[Category]]="pay",NOT(Table1[[#This Row],[Debits]]=0)),"bad","good")</f>
        <v>good</v>
      </c>
      <c r="O1227" s="5"/>
    </row>
    <row r="1228" spans="6:15" x14ac:dyDescent="0.3">
      <c r="F1228">
        <f>MONTH(Table1[[#This Row],[Date  (DMY)]])</f>
        <v>1</v>
      </c>
      <c r="G1228" s="2"/>
      <c r="L1228" s="5"/>
      <c r="M1228" s="4">
        <f>M1227-Table1[[#This Row],[Debits]]+Table1[[#This Row],[Income]]</f>
        <v>1900</v>
      </c>
      <c r="N1228" t="str">
        <f>IF(AND(Table1[[#This Row],[Category]]="pay",NOT(Table1[[#This Row],[Debits]]=0)),"bad","good")</f>
        <v>good</v>
      </c>
      <c r="O1228" s="5"/>
    </row>
    <row r="1229" spans="6:15" x14ac:dyDescent="0.3">
      <c r="F1229">
        <f>MONTH(Table1[[#This Row],[Date  (DMY)]])</f>
        <v>1</v>
      </c>
      <c r="G1229" s="2"/>
      <c r="L1229" s="5"/>
      <c r="M1229" s="4">
        <f>M1228-Table1[[#This Row],[Debits]]+Table1[[#This Row],[Income]]</f>
        <v>1900</v>
      </c>
      <c r="N1229" t="str">
        <f>IF(AND(Table1[[#This Row],[Category]]="pay",NOT(Table1[[#This Row],[Debits]]=0)),"bad","good")</f>
        <v>good</v>
      </c>
      <c r="O1229" s="5"/>
    </row>
    <row r="1230" spans="6:15" x14ac:dyDescent="0.3">
      <c r="F1230">
        <f>MONTH(Table1[[#This Row],[Date  (DMY)]])</f>
        <v>1</v>
      </c>
      <c r="G1230" s="2"/>
      <c r="L1230" s="5"/>
      <c r="M1230" s="4">
        <f>M1229-Table1[[#This Row],[Debits]]+Table1[[#This Row],[Income]]</f>
        <v>1900</v>
      </c>
      <c r="N1230" t="str">
        <f>IF(AND(Table1[[#This Row],[Category]]="pay",NOT(Table1[[#This Row],[Debits]]=0)),"bad","good")</f>
        <v>good</v>
      </c>
      <c r="O1230" s="5"/>
    </row>
    <row r="1231" spans="6:15" x14ac:dyDescent="0.3">
      <c r="F1231">
        <f>MONTH(Table1[[#This Row],[Date  (DMY)]])</f>
        <v>1</v>
      </c>
      <c r="G1231" s="2"/>
      <c r="L1231" s="5"/>
      <c r="M1231" s="4">
        <f>M1230-Table1[[#This Row],[Debits]]+Table1[[#This Row],[Income]]</f>
        <v>1900</v>
      </c>
      <c r="N1231" t="str">
        <f>IF(AND(Table1[[#This Row],[Category]]="pay",NOT(Table1[[#This Row],[Debits]]=0)),"bad","good")</f>
        <v>good</v>
      </c>
      <c r="O1231" s="5"/>
    </row>
    <row r="1232" spans="6:15" x14ac:dyDescent="0.3">
      <c r="F1232">
        <f>MONTH(Table1[[#This Row],[Date  (DMY)]])</f>
        <v>1</v>
      </c>
      <c r="G1232" s="2"/>
      <c r="L1232" s="5"/>
      <c r="M1232" s="4">
        <f>M1231-Table1[[#This Row],[Debits]]+Table1[[#This Row],[Income]]</f>
        <v>1900</v>
      </c>
      <c r="N1232" t="str">
        <f>IF(AND(Table1[[#This Row],[Category]]="pay",NOT(Table1[[#This Row],[Debits]]=0)),"bad","good")</f>
        <v>good</v>
      </c>
      <c r="O1232" s="5"/>
    </row>
    <row r="1233" spans="6:15" x14ac:dyDescent="0.3">
      <c r="F1233">
        <f>MONTH(Table1[[#This Row],[Date  (DMY)]])</f>
        <v>1</v>
      </c>
      <c r="G1233" s="2"/>
      <c r="L1233" s="5"/>
      <c r="M1233" s="4">
        <f>M1232-Table1[[#This Row],[Debits]]+Table1[[#This Row],[Income]]</f>
        <v>1900</v>
      </c>
      <c r="N1233" t="str">
        <f>IF(AND(Table1[[#This Row],[Category]]="pay",NOT(Table1[[#This Row],[Debits]]=0)),"bad","good")</f>
        <v>good</v>
      </c>
      <c r="O1233" s="5"/>
    </row>
    <row r="1234" spans="6:15" x14ac:dyDescent="0.3">
      <c r="F1234">
        <f>MONTH(Table1[[#This Row],[Date  (DMY)]])</f>
        <v>1</v>
      </c>
      <c r="G1234" s="2"/>
      <c r="L1234" s="5"/>
      <c r="M1234" s="4">
        <f>M1233-Table1[[#This Row],[Debits]]+Table1[[#This Row],[Income]]</f>
        <v>1900</v>
      </c>
      <c r="N1234" t="str">
        <f>IF(AND(Table1[[#This Row],[Category]]="pay",NOT(Table1[[#This Row],[Debits]]=0)),"bad","good")</f>
        <v>good</v>
      </c>
      <c r="O1234" s="5"/>
    </row>
    <row r="1235" spans="6:15" x14ac:dyDescent="0.3">
      <c r="F1235">
        <f>MONTH(Table1[[#This Row],[Date  (DMY)]])</f>
        <v>1</v>
      </c>
      <c r="G1235" s="2"/>
      <c r="L1235" s="5"/>
      <c r="M1235" s="4">
        <f>M1234-Table1[[#This Row],[Debits]]+Table1[[#This Row],[Income]]</f>
        <v>1900</v>
      </c>
      <c r="N1235" t="str">
        <f>IF(AND(Table1[[#This Row],[Category]]="pay",NOT(Table1[[#This Row],[Debits]]=0)),"bad","good")</f>
        <v>good</v>
      </c>
      <c r="O1235" s="5"/>
    </row>
    <row r="1236" spans="6:15" x14ac:dyDescent="0.3">
      <c r="F1236">
        <f>MONTH(Table1[[#This Row],[Date  (DMY)]])</f>
        <v>1</v>
      </c>
      <c r="G1236" s="2"/>
      <c r="L1236" s="5"/>
      <c r="M1236" s="4">
        <f>M1235-Table1[[#This Row],[Debits]]+Table1[[#This Row],[Income]]</f>
        <v>1900</v>
      </c>
      <c r="N1236" t="str">
        <f>IF(AND(Table1[[#This Row],[Category]]="pay",NOT(Table1[[#This Row],[Debits]]=0)),"bad","good")</f>
        <v>good</v>
      </c>
      <c r="O1236" s="5"/>
    </row>
    <row r="1237" spans="6:15" x14ac:dyDescent="0.3">
      <c r="F1237">
        <f>MONTH(Table1[[#This Row],[Date  (DMY)]])</f>
        <v>1</v>
      </c>
      <c r="G1237" s="2"/>
      <c r="L1237" s="5"/>
      <c r="M1237" s="4">
        <f>M1236-Table1[[#This Row],[Debits]]+Table1[[#This Row],[Income]]</f>
        <v>1900</v>
      </c>
      <c r="N1237" t="str">
        <f>IF(AND(Table1[[#This Row],[Category]]="pay",NOT(Table1[[#This Row],[Debits]]=0)),"bad","good")</f>
        <v>good</v>
      </c>
      <c r="O1237" s="5"/>
    </row>
    <row r="1238" spans="6:15" x14ac:dyDescent="0.3">
      <c r="F1238">
        <f>MONTH(Table1[[#This Row],[Date  (DMY)]])</f>
        <v>1</v>
      </c>
      <c r="G1238" s="2"/>
      <c r="L1238" s="5"/>
      <c r="M1238" s="4">
        <f>M1237-Table1[[#This Row],[Debits]]+Table1[[#This Row],[Income]]</f>
        <v>1900</v>
      </c>
      <c r="N1238" t="str">
        <f>IF(AND(Table1[[#This Row],[Category]]="pay",NOT(Table1[[#This Row],[Debits]]=0)),"bad","good")</f>
        <v>good</v>
      </c>
      <c r="O1238" s="5"/>
    </row>
    <row r="1239" spans="6:15" x14ac:dyDescent="0.3">
      <c r="F1239">
        <f>MONTH(Table1[[#This Row],[Date  (DMY)]])</f>
        <v>1</v>
      </c>
      <c r="G1239" s="2"/>
      <c r="L1239" s="5"/>
      <c r="M1239" s="4">
        <f>M1238-Table1[[#This Row],[Debits]]+Table1[[#This Row],[Income]]</f>
        <v>1900</v>
      </c>
      <c r="N1239" t="str">
        <f>IF(AND(Table1[[#This Row],[Category]]="pay",NOT(Table1[[#This Row],[Debits]]=0)),"bad","good")</f>
        <v>good</v>
      </c>
      <c r="O1239" s="5"/>
    </row>
    <row r="1240" spans="6:15" x14ac:dyDescent="0.3">
      <c r="F1240">
        <f>MONTH(Table1[[#This Row],[Date  (DMY)]])</f>
        <v>1</v>
      </c>
      <c r="G1240" s="2"/>
      <c r="L1240" s="5"/>
      <c r="M1240" s="4">
        <f>M1239-Table1[[#This Row],[Debits]]+Table1[[#This Row],[Income]]</f>
        <v>1900</v>
      </c>
      <c r="N1240" t="str">
        <f>IF(AND(Table1[[#This Row],[Category]]="pay",NOT(Table1[[#This Row],[Debits]]=0)),"bad","good")</f>
        <v>good</v>
      </c>
      <c r="O1240" s="5"/>
    </row>
    <row r="1241" spans="6:15" x14ac:dyDescent="0.3">
      <c r="F1241">
        <f>MONTH(Table1[[#This Row],[Date  (DMY)]])</f>
        <v>1</v>
      </c>
      <c r="G1241" s="2"/>
      <c r="L1241" s="5"/>
      <c r="M1241" s="4">
        <f>M1240-Table1[[#This Row],[Debits]]+Table1[[#This Row],[Income]]</f>
        <v>1900</v>
      </c>
      <c r="N1241" t="str">
        <f>IF(AND(Table1[[#This Row],[Category]]="pay",NOT(Table1[[#This Row],[Debits]]=0)),"bad","good")</f>
        <v>good</v>
      </c>
      <c r="O1241" s="5"/>
    </row>
    <row r="1242" spans="6:15" x14ac:dyDescent="0.3">
      <c r="F1242">
        <f>MONTH(Table1[[#This Row],[Date  (DMY)]])</f>
        <v>1</v>
      </c>
      <c r="G1242" s="2"/>
      <c r="L1242" s="5"/>
      <c r="M1242" s="4">
        <f>M1241-Table1[[#This Row],[Debits]]+Table1[[#This Row],[Income]]</f>
        <v>1900</v>
      </c>
      <c r="N1242" t="str">
        <f>IF(AND(Table1[[#This Row],[Category]]="pay",NOT(Table1[[#This Row],[Debits]]=0)),"bad","good")</f>
        <v>good</v>
      </c>
      <c r="O1242" s="5"/>
    </row>
    <row r="1243" spans="6:15" x14ac:dyDescent="0.3">
      <c r="F1243">
        <f>MONTH(Table1[[#This Row],[Date  (DMY)]])</f>
        <v>1</v>
      </c>
      <c r="G1243" s="2"/>
      <c r="L1243" s="5"/>
      <c r="M1243" s="4">
        <f>M1242-Table1[[#This Row],[Debits]]+Table1[[#This Row],[Income]]</f>
        <v>1900</v>
      </c>
      <c r="N1243" t="str">
        <f>IF(AND(Table1[[#This Row],[Category]]="pay",NOT(Table1[[#This Row],[Debits]]=0)),"bad","good")</f>
        <v>good</v>
      </c>
      <c r="O1243" s="5"/>
    </row>
    <row r="1244" spans="6:15" x14ac:dyDescent="0.3">
      <c r="F1244">
        <f>MONTH(Table1[[#This Row],[Date  (DMY)]])</f>
        <v>1</v>
      </c>
      <c r="G1244" s="2"/>
      <c r="L1244" s="5"/>
      <c r="M1244" s="4">
        <f>M1243-Table1[[#This Row],[Debits]]+Table1[[#This Row],[Income]]</f>
        <v>1900</v>
      </c>
      <c r="N1244" t="str">
        <f>IF(AND(Table1[[#This Row],[Category]]="pay",NOT(Table1[[#This Row],[Debits]]=0)),"bad","good")</f>
        <v>good</v>
      </c>
      <c r="O1244" s="5"/>
    </row>
    <row r="1245" spans="6:15" x14ac:dyDescent="0.3">
      <c r="F1245">
        <f>MONTH(Table1[[#This Row],[Date  (DMY)]])</f>
        <v>1</v>
      </c>
      <c r="G1245" s="2"/>
      <c r="L1245" s="5"/>
      <c r="M1245" s="4">
        <f>M1244-Table1[[#This Row],[Debits]]+Table1[[#This Row],[Income]]</f>
        <v>1900</v>
      </c>
      <c r="N1245" t="str">
        <f>IF(AND(Table1[[#This Row],[Category]]="pay",NOT(Table1[[#This Row],[Debits]]=0)),"bad","good")</f>
        <v>good</v>
      </c>
      <c r="O1245" s="5"/>
    </row>
    <row r="1246" spans="6:15" x14ac:dyDescent="0.3">
      <c r="F1246">
        <f>MONTH(Table1[[#This Row],[Date  (DMY)]])</f>
        <v>1</v>
      </c>
      <c r="G1246" s="2"/>
      <c r="L1246" s="5"/>
      <c r="M1246" s="4">
        <f>M1245-Table1[[#This Row],[Debits]]+Table1[[#This Row],[Income]]</f>
        <v>1900</v>
      </c>
      <c r="N1246" t="str">
        <f>IF(AND(Table1[[#This Row],[Category]]="pay",NOT(Table1[[#This Row],[Debits]]=0)),"bad","good")</f>
        <v>good</v>
      </c>
      <c r="O1246" s="5"/>
    </row>
    <row r="1247" spans="6:15" x14ac:dyDescent="0.3">
      <c r="F1247">
        <f>MONTH(Table1[[#This Row],[Date  (DMY)]])</f>
        <v>1</v>
      </c>
      <c r="G1247" s="2"/>
      <c r="L1247" s="5"/>
      <c r="M1247" s="4">
        <f>M1246-Table1[[#This Row],[Debits]]+Table1[[#This Row],[Income]]</f>
        <v>1900</v>
      </c>
      <c r="N1247" t="str">
        <f>IF(AND(Table1[[#This Row],[Category]]="pay",NOT(Table1[[#This Row],[Debits]]=0)),"bad","good")</f>
        <v>good</v>
      </c>
      <c r="O1247" s="5"/>
    </row>
    <row r="1248" spans="6:15" x14ac:dyDescent="0.3">
      <c r="F1248">
        <f>MONTH(Table1[[#This Row],[Date  (DMY)]])</f>
        <v>1</v>
      </c>
      <c r="G1248" s="2"/>
      <c r="L1248" s="5"/>
      <c r="M1248" s="4">
        <f>M1247-Table1[[#This Row],[Debits]]+Table1[[#This Row],[Income]]</f>
        <v>1900</v>
      </c>
      <c r="N1248" t="str">
        <f>IF(AND(Table1[[#This Row],[Category]]="pay",NOT(Table1[[#This Row],[Debits]]=0)),"bad","good")</f>
        <v>good</v>
      </c>
      <c r="O1248" s="5"/>
    </row>
    <row r="1249" spans="6:15" x14ac:dyDescent="0.3">
      <c r="F1249">
        <f>MONTH(Table1[[#This Row],[Date  (DMY)]])</f>
        <v>1</v>
      </c>
      <c r="G1249" s="2"/>
      <c r="L1249" s="5"/>
      <c r="M1249" s="4">
        <f>M1248-Table1[[#This Row],[Debits]]+Table1[[#This Row],[Income]]</f>
        <v>1900</v>
      </c>
      <c r="N1249" t="str">
        <f>IF(AND(Table1[[#This Row],[Category]]="pay",NOT(Table1[[#This Row],[Debits]]=0)),"bad","good")</f>
        <v>good</v>
      </c>
      <c r="O1249" s="5"/>
    </row>
    <row r="1250" spans="6:15" x14ac:dyDescent="0.3">
      <c r="F1250">
        <f>MONTH(Table1[[#This Row],[Date  (DMY)]])</f>
        <v>1</v>
      </c>
      <c r="G1250" s="2"/>
      <c r="L1250" s="5"/>
      <c r="M1250" s="4">
        <f>M1249-Table1[[#This Row],[Debits]]+Table1[[#This Row],[Income]]</f>
        <v>1900</v>
      </c>
      <c r="N1250" t="str">
        <f>IF(AND(Table1[[#This Row],[Category]]="pay",NOT(Table1[[#This Row],[Debits]]=0)),"bad","good")</f>
        <v>good</v>
      </c>
      <c r="O1250" s="5"/>
    </row>
    <row r="1251" spans="6:15" x14ac:dyDescent="0.3">
      <c r="F1251">
        <f>MONTH(Table1[[#This Row],[Date  (DMY)]])</f>
        <v>1</v>
      </c>
      <c r="G1251" s="2"/>
      <c r="L1251" s="5"/>
      <c r="M1251" s="4">
        <f>M1250-Table1[[#This Row],[Debits]]+Table1[[#This Row],[Income]]</f>
        <v>1900</v>
      </c>
      <c r="N1251" t="str">
        <f>IF(AND(Table1[[#This Row],[Category]]="pay",NOT(Table1[[#This Row],[Debits]]=0)),"bad","good")</f>
        <v>good</v>
      </c>
      <c r="O1251" s="5"/>
    </row>
    <row r="1252" spans="6:15" x14ac:dyDescent="0.3">
      <c r="F1252">
        <f>MONTH(Table1[[#This Row],[Date  (DMY)]])</f>
        <v>1</v>
      </c>
      <c r="G1252" s="2"/>
      <c r="L1252" s="5"/>
      <c r="M1252" s="4">
        <f>M1251-Table1[[#This Row],[Debits]]+Table1[[#This Row],[Income]]</f>
        <v>1900</v>
      </c>
      <c r="N1252" t="str">
        <f>IF(AND(Table1[[#This Row],[Category]]="pay",NOT(Table1[[#This Row],[Debits]]=0)),"bad","good")</f>
        <v>good</v>
      </c>
      <c r="O1252" s="5"/>
    </row>
    <row r="1253" spans="6:15" x14ac:dyDescent="0.3">
      <c r="F1253">
        <f>MONTH(Table1[[#This Row],[Date  (DMY)]])</f>
        <v>1</v>
      </c>
      <c r="G1253" s="2"/>
      <c r="L1253" s="5"/>
      <c r="M1253" s="4">
        <f>M1252-Table1[[#This Row],[Debits]]+Table1[[#This Row],[Income]]</f>
        <v>1900</v>
      </c>
      <c r="N1253" t="str">
        <f>IF(AND(Table1[[#This Row],[Category]]="pay",NOT(Table1[[#This Row],[Debits]]=0)),"bad","good")</f>
        <v>good</v>
      </c>
      <c r="O1253" s="5"/>
    </row>
    <row r="1254" spans="6:15" x14ac:dyDescent="0.3">
      <c r="F1254">
        <f>MONTH(Table1[[#This Row],[Date  (DMY)]])</f>
        <v>1</v>
      </c>
      <c r="G1254" s="2"/>
      <c r="L1254" s="5"/>
      <c r="M1254" s="4">
        <f>M1253-Table1[[#This Row],[Debits]]+Table1[[#This Row],[Income]]</f>
        <v>1900</v>
      </c>
      <c r="N1254" t="str">
        <f>IF(AND(Table1[[#This Row],[Category]]="pay",NOT(Table1[[#This Row],[Debits]]=0)),"bad","good")</f>
        <v>good</v>
      </c>
      <c r="O1254" s="5"/>
    </row>
    <row r="1255" spans="6:15" x14ac:dyDescent="0.3">
      <c r="F1255">
        <f>MONTH(Table1[[#This Row],[Date  (DMY)]])</f>
        <v>1</v>
      </c>
      <c r="G1255" s="2"/>
      <c r="L1255" s="5"/>
      <c r="M1255" s="4">
        <f>M1254-Table1[[#This Row],[Debits]]+Table1[[#This Row],[Income]]</f>
        <v>1900</v>
      </c>
      <c r="N1255" t="str">
        <f>IF(AND(Table1[[#This Row],[Category]]="pay",NOT(Table1[[#This Row],[Debits]]=0)),"bad","good")</f>
        <v>good</v>
      </c>
      <c r="O1255" s="5"/>
    </row>
    <row r="1256" spans="6:15" x14ac:dyDescent="0.3">
      <c r="F1256">
        <f>MONTH(Table1[[#This Row],[Date  (DMY)]])</f>
        <v>1</v>
      </c>
      <c r="G1256" s="2"/>
      <c r="L1256" s="5"/>
      <c r="M1256" s="4">
        <f>M1255-Table1[[#This Row],[Debits]]+Table1[[#This Row],[Income]]</f>
        <v>1900</v>
      </c>
      <c r="N1256" t="str">
        <f>IF(AND(Table1[[#This Row],[Category]]="pay",NOT(Table1[[#This Row],[Debits]]=0)),"bad","good")</f>
        <v>good</v>
      </c>
      <c r="O1256" s="5"/>
    </row>
    <row r="1257" spans="6:15" x14ac:dyDescent="0.3">
      <c r="F1257">
        <f>MONTH(Table1[[#This Row],[Date  (DMY)]])</f>
        <v>1</v>
      </c>
      <c r="G1257" s="2"/>
      <c r="L1257" s="5"/>
      <c r="M1257" s="4">
        <f>M1256-Table1[[#This Row],[Debits]]+Table1[[#This Row],[Income]]</f>
        <v>1900</v>
      </c>
      <c r="N1257" t="str">
        <f>IF(AND(Table1[[#This Row],[Category]]="pay",NOT(Table1[[#This Row],[Debits]]=0)),"bad","good")</f>
        <v>good</v>
      </c>
      <c r="O1257" s="5"/>
    </row>
    <row r="1258" spans="6:15" x14ac:dyDescent="0.3">
      <c r="F1258">
        <f>MONTH(Table1[[#This Row],[Date  (DMY)]])</f>
        <v>1</v>
      </c>
      <c r="G1258" s="2"/>
      <c r="L1258" s="5"/>
      <c r="M1258" s="4">
        <f>M1257-Table1[[#This Row],[Debits]]+Table1[[#This Row],[Income]]</f>
        <v>1900</v>
      </c>
      <c r="N1258" t="str">
        <f>IF(AND(Table1[[#This Row],[Category]]="pay",NOT(Table1[[#This Row],[Debits]]=0)),"bad","good")</f>
        <v>good</v>
      </c>
      <c r="O1258" s="5"/>
    </row>
    <row r="1259" spans="6:15" x14ac:dyDescent="0.3">
      <c r="F1259">
        <f>MONTH(Table1[[#This Row],[Date  (DMY)]])</f>
        <v>1</v>
      </c>
      <c r="G1259" s="2"/>
      <c r="L1259" s="5"/>
      <c r="M1259" s="4">
        <f>M1258-Table1[[#This Row],[Debits]]+Table1[[#This Row],[Income]]</f>
        <v>1900</v>
      </c>
      <c r="N1259" t="str">
        <f>IF(AND(Table1[[#This Row],[Category]]="pay",NOT(Table1[[#This Row],[Debits]]=0)),"bad","good")</f>
        <v>good</v>
      </c>
      <c r="O1259" s="5"/>
    </row>
    <row r="1260" spans="6:15" x14ac:dyDescent="0.3">
      <c r="F1260">
        <f>MONTH(Table1[[#This Row],[Date  (DMY)]])</f>
        <v>1</v>
      </c>
      <c r="G1260" s="2"/>
      <c r="L1260" s="5"/>
      <c r="M1260" s="4">
        <f>M1259-Table1[[#This Row],[Debits]]+Table1[[#This Row],[Income]]</f>
        <v>1900</v>
      </c>
      <c r="N1260" t="str">
        <f>IF(AND(Table1[[#This Row],[Category]]="pay",NOT(Table1[[#This Row],[Debits]]=0)),"bad","good")</f>
        <v>good</v>
      </c>
      <c r="O1260" s="5"/>
    </row>
    <row r="1261" spans="6:15" x14ac:dyDescent="0.3">
      <c r="F1261">
        <f>MONTH(Table1[[#This Row],[Date  (DMY)]])</f>
        <v>1</v>
      </c>
      <c r="G1261" s="2"/>
      <c r="L1261" s="5"/>
      <c r="M1261" s="4">
        <f>M1260-Table1[[#This Row],[Debits]]+Table1[[#This Row],[Income]]</f>
        <v>1900</v>
      </c>
      <c r="N1261" t="str">
        <f>IF(AND(Table1[[#This Row],[Category]]="pay",NOT(Table1[[#This Row],[Debits]]=0)),"bad","good")</f>
        <v>good</v>
      </c>
      <c r="O1261" s="5"/>
    </row>
    <row r="1262" spans="6:15" x14ac:dyDescent="0.3">
      <c r="F1262">
        <f>MONTH(Table1[[#This Row],[Date  (DMY)]])</f>
        <v>1</v>
      </c>
      <c r="G1262" s="2"/>
      <c r="L1262" s="5"/>
      <c r="M1262" s="4">
        <f>M1261-Table1[[#This Row],[Debits]]+Table1[[#This Row],[Income]]</f>
        <v>1900</v>
      </c>
      <c r="N1262" t="str">
        <f>IF(AND(Table1[[#This Row],[Category]]="pay",NOT(Table1[[#This Row],[Debits]]=0)),"bad","good")</f>
        <v>good</v>
      </c>
      <c r="O1262" s="5"/>
    </row>
    <row r="1263" spans="6:15" x14ac:dyDescent="0.3">
      <c r="F1263">
        <f>MONTH(Table1[[#This Row],[Date  (DMY)]])</f>
        <v>1</v>
      </c>
      <c r="G1263" s="2"/>
      <c r="L1263" s="5"/>
      <c r="M1263" s="4">
        <f>M1262-Table1[[#This Row],[Debits]]+Table1[[#This Row],[Income]]</f>
        <v>1900</v>
      </c>
      <c r="N1263" t="str">
        <f>IF(AND(Table1[[#This Row],[Category]]="pay",NOT(Table1[[#This Row],[Debits]]=0)),"bad","good")</f>
        <v>good</v>
      </c>
      <c r="O1263" s="5"/>
    </row>
    <row r="1264" spans="6:15" x14ac:dyDescent="0.3">
      <c r="F1264">
        <f>MONTH(Table1[[#This Row],[Date  (DMY)]])</f>
        <v>1</v>
      </c>
      <c r="G1264" s="2"/>
      <c r="L1264" s="5"/>
      <c r="M1264" s="4">
        <f>M1263-Table1[[#This Row],[Debits]]+Table1[[#This Row],[Income]]</f>
        <v>1900</v>
      </c>
      <c r="N1264" t="str">
        <f>IF(AND(Table1[[#This Row],[Category]]="pay",NOT(Table1[[#This Row],[Debits]]=0)),"bad","good")</f>
        <v>good</v>
      </c>
      <c r="O1264" s="5"/>
    </row>
    <row r="1265" spans="6:15" x14ac:dyDescent="0.3">
      <c r="F1265">
        <f>MONTH(Table1[[#This Row],[Date  (DMY)]])</f>
        <v>1</v>
      </c>
      <c r="G1265" s="2"/>
      <c r="L1265" s="5"/>
      <c r="M1265" s="4">
        <f>M1264-Table1[[#This Row],[Debits]]+Table1[[#This Row],[Income]]</f>
        <v>1900</v>
      </c>
      <c r="N1265" t="str">
        <f>IF(AND(Table1[[#This Row],[Category]]="pay",NOT(Table1[[#This Row],[Debits]]=0)),"bad","good")</f>
        <v>good</v>
      </c>
      <c r="O1265" s="5"/>
    </row>
    <row r="1266" spans="6:15" x14ac:dyDescent="0.3">
      <c r="F1266">
        <f>MONTH(Table1[[#This Row],[Date  (DMY)]])</f>
        <v>1</v>
      </c>
      <c r="G1266" s="2"/>
      <c r="L1266" s="5"/>
      <c r="M1266" s="4">
        <f>M1265-Table1[[#This Row],[Debits]]+Table1[[#This Row],[Income]]</f>
        <v>1900</v>
      </c>
      <c r="N1266" t="str">
        <f>IF(AND(Table1[[#This Row],[Category]]="pay",NOT(Table1[[#This Row],[Debits]]=0)),"bad","good")</f>
        <v>good</v>
      </c>
      <c r="O1266" s="5"/>
    </row>
    <row r="1267" spans="6:15" x14ac:dyDescent="0.3">
      <c r="F1267">
        <f>MONTH(Table1[[#This Row],[Date  (DMY)]])</f>
        <v>1</v>
      </c>
      <c r="G1267" s="2"/>
      <c r="L1267" s="5"/>
      <c r="M1267" s="4">
        <f>M1266-Table1[[#This Row],[Debits]]+Table1[[#This Row],[Income]]</f>
        <v>1900</v>
      </c>
      <c r="N1267" t="str">
        <f>IF(AND(Table1[[#This Row],[Category]]="pay",NOT(Table1[[#This Row],[Debits]]=0)),"bad","good")</f>
        <v>good</v>
      </c>
      <c r="O1267" s="5"/>
    </row>
    <row r="1268" spans="6:15" x14ac:dyDescent="0.3">
      <c r="F1268">
        <f>MONTH(Table1[[#This Row],[Date  (DMY)]])</f>
        <v>1</v>
      </c>
      <c r="G1268" s="2"/>
      <c r="L1268" s="5"/>
      <c r="M1268" s="4">
        <f>M1267-Table1[[#This Row],[Debits]]+Table1[[#This Row],[Income]]</f>
        <v>1900</v>
      </c>
      <c r="N1268" t="str">
        <f>IF(AND(Table1[[#This Row],[Category]]="pay",NOT(Table1[[#This Row],[Debits]]=0)),"bad","good")</f>
        <v>good</v>
      </c>
      <c r="O1268" s="5"/>
    </row>
    <row r="1269" spans="6:15" x14ac:dyDescent="0.3">
      <c r="F1269">
        <f>MONTH(Table1[[#This Row],[Date  (DMY)]])</f>
        <v>1</v>
      </c>
      <c r="G1269" s="2"/>
      <c r="L1269" s="5"/>
      <c r="M1269" s="4">
        <f>M1268-Table1[[#This Row],[Debits]]+Table1[[#This Row],[Income]]</f>
        <v>1900</v>
      </c>
      <c r="N1269" t="str">
        <f>IF(AND(Table1[[#This Row],[Category]]="pay",NOT(Table1[[#This Row],[Debits]]=0)),"bad","good")</f>
        <v>good</v>
      </c>
      <c r="O1269" s="5"/>
    </row>
    <row r="1270" spans="6:15" x14ac:dyDescent="0.3">
      <c r="F1270">
        <f>MONTH(Table1[[#This Row],[Date  (DMY)]])</f>
        <v>1</v>
      </c>
      <c r="G1270" s="2"/>
      <c r="L1270" s="5"/>
      <c r="M1270" s="4">
        <f>M1269-Table1[[#This Row],[Debits]]+Table1[[#This Row],[Income]]</f>
        <v>1900</v>
      </c>
      <c r="N1270" t="str">
        <f>IF(AND(Table1[[#This Row],[Category]]="pay",NOT(Table1[[#This Row],[Debits]]=0)),"bad","good")</f>
        <v>good</v>
      </c>
      <c r="O1270" s="5"/>
    </row>
    <row r="1271" spans="6:15" x14ac:dyDescent="0.3">
      <c r="F1271">
        <f>MONTH(Table1[[#This Row],[Date  (DMY)]])</f>
        <v>1</v>
      </c>
      <c r="G1271" s="2"/>
      <c r="L1271" s="5"/>
      <c r="M1271" s="4">
        <f>M1270-Table1[[#This Row],[Debits]]+Table1[[#This Row],[Income]]</f>
        <v>1900</v>
      </c>
      <c r="N1271" t="str">
        <f>IF(AND(Table1[[#This Row],[Category]]="pay",NOT(Table1[[#This Row],[Debits]]=0)),"bad","good")</f>
        <v>good</v>
      </c>
      <c r="O1271" s="5"/>
    </row>
    <row r="1272" spans="6:15" x14ac:dyDescent="0.3">
      <c r="F1272">
        <f>MONTH(Table1[[#This Row],[Date  (DMY)]])</f>
        <v>1</v>
      </c>
      <c r="G1272" s="2"/>
      <c r="L1272" s="5"/>
      <c r="M1272" s="4">
        <f>M1271-Table1[[#This Row],[Debits]]+Table1[[#This Row],[Income]]</f>
        <v>1900</v>
      </c>
      <c r="N1272" t="str">
        <f>IF(AND(Table1[[#This Row],[Category]]="pay",NOT(Table1[[#This Row],[Debits]]=0)),"bad","good")</f>
        <v>good</v>
      </c>
      <c r="O1272" s="5"/>
    </row>
    <row r="1273" spans="6:15" x14ac:dyDescent="0.3">
      <c r="F1273">
        <f>MONTH(Table1[[#This Row],[Date  (DMY)]])</f>
        <v>1</v>
      </c>
      <c r="G1273" s="2"/>
      <c r="L1273" s="5"/>
      <c r="M1273" s="4">
        <f>M1272-Table1[[#This Row],[Debits]]+Table1[[#This Row],[Income]]</f>
        <v>1900</v>
      </c>
      <c r="N1273" t="str">
        <f>IF(AND(Table1[[#This Row],[Category]]="pay",NOT(Table1[[#This Row],[Debits]]=0)),"bad","good")</f>
        <v>good</v>
      </c>
      <c r="O1273" s="5"/>
    </row>
    <row r="1274" spans="6:15" x14ac:dyDescent="0.3">
      <c r="F1274">
        <f>MONTH(Table1[[#This Row],[Date  (DMY)]])</f>
        <v>1</v>
      </c>
      <c r="G1274" s="2"/>
      <c r="L1274" s="5"/>
      <c r="M1274" s="4">
        <f>M1273-Table1[[#This Row],[Debits]]+Table1[[#This Row],[Income]]</f>
        <v>1900</v>
      </c>
      <c r="N1274" t="str">
        <f>IF(AND(Table1[[#This Row],[Category]]="pay",NOT(Table1[[#This Row],[Debits]]=0)),"bad","good")</f>
        <v>good</v>
      </c>
      <c r="O1274" s="5"/>
    </row>
    <row r="1275" spans="6:15" x14ac:dyDescent="0.3">
      <c r="F1275">
        <f>MONTH(Table1[[#This Row],[Date  (DMY)]])</f>
        <v>1</v>
      </c>
      <c r="G1275" s="2"/>
      <c r="L1275" s="5"/>
      <c r="M1275" s="4">
        <f>M1274-Table1[[#This Row],[Debits]]+Table1[[#This Row],[Income]]</f>
        <v>1900</v>
      </c>
      <c r="N1275" t="str">
        <f>IF(AND(Table1[[#This Row],[Category]]="pay",NOT(Table1[[#This Row],[Debits]]=0)),"bad","good")</f>
        <v>good</v>
      </c>
      <c r="O1275" s="5"/>
    </row>
    <row r="1276" spans="6:15" x14ac:dyDescent="0.3">
      <c r="F1276">
        <f>MONTH(Table1[[#This Row],[Date  (DMY)]])</f>
        <v>1</v>
      </c>
      <c r="G1276" s="2"/>
      <c r="L1276" s="5"/>
      <c r="M1276" s="4">
        <f>M1275-Table1[[#This Row],[Debits]]+Table1[[#This Row],[Income]]</f>
        <v>1900</v>
      </c>
      <c r="N1276" t="str">
        <f>IF(AND(Table1[[#This Row],[Category]]="pay",NOT(Table1[[#This Row],[Debits]]=0)),"bad","good")</f>
        <v>good</v>
      </c>
      <c r="O1276" s="5"/>
    </row>
    <row r="1277" spans="6:15" x14ac:dyDescent="0.3">
      <c r="F1277">
        <f>MONTH(Table1[[#This Row],[Date  (DMY)]])</f>
        <v>1</v>
      </c>
      <c r="G1277" s="2"/>
      <c r="L1277" s="5"/>
      <c r="M1277" s="4">
        <f>M1276-Table1[[#This Row],[Debits]]+Table1[[#This Row],[Income]]</f>
        <v>1900</v>
      </c>
      <c r="N1277" t="str">
        <f>IF(AND(Table1[[#This Row],[Category]]="pay",NOT(Table1[[#This Row],[Debits]]=0)),"bad","good")</f>
        <v>good</v>
      </c>
      <c r="O1277" s="5"/>
    </row>
    <row r="1278" spans="6:15" x14ac:dyDescent="0.3">
      <c r="F1278">
        <f>MONTH(Table1[[#This Row],[Date  (DMY)]])</f>
        <v>1</v>
      </c>
      <c r="G1278" s="2"/>
      <c r="L1278" s="5"/>
      <c r="M1278" s="4">
        <f>M1277-Table1[[#This Row],[Debits]]+Table1[[#This Row],[Income]]</f>
        <v>1900</v>
      </c>
      <c r="N1278" t="str">
        <f>IF(AND(Table1[[#This Row],[Category]]="pay",NOT(Table1[[#This Row],[Debits]]=0)),"bad","good")</f>
        <v>good</v>
      </c>
      <c r="O1278" s="5"/>
    </row>
    <row r="1279" spans="6:15" x14ac:dyDescent="0.3">
      <c r="F1279">
        <f>MONTH(Table1[[#This Row],[Date  (DMY)]])</f>
        <v>1</v>
      </c>
      <c r="G1279" s="2"/>
      <c r="L1279" s="5"/>
      <c r="M1279" s="4">
        <f>M1278-Table1[[#This Row],[Debits]]+Table1[[#This Row],[Income]]</f>
        <v>1900</v>
      </c>
      <c r="N1279" t="str">
        <f>IF(AND(Table1[[#This Row],[Category]]="pay",NOT(Table1[[#This Row],[Debits]]=0)),"bad","good")</f>
        <v>good</v>
      </c>
      <c r="O1279" s="5"/>
    </row>
    <row r="1280" spans="6:15" x14ac:dyDescent="0.3">
      <c r="F1280">
        <f>MONTH(Table1[[#This Row],[Date  (DMY)]])</f>
        <v>1</v>
      </c>
      <c r="G1280" s="2"/>
      <c r="L1280" s="5"/>
      <c r="M1280" s="4">
        <f>M1279-Table1[[#This Row],[Debits]]+Table1[[#This Row],[Income]]</f>
        <v>1900</v>
      </c>
      <c r="N1280" t="str">
        <f>IF(AND(Table1[[#This Row],[Category]]="pay",NOT(Table1[[#This Row],[Debits]]=0)),"bad","good")</f>
        <v>good</v>
      </c>
      <c r="O1280" s="5"/>
    </row>
    <row r="1281" spans="6:15" x14ac:dyDescent="0.3">
      <c r="F1281">
        <f>MONTH(Table1[[#This Row],[Date  (DMY)]])</f>
        <v>1</v>
      </c>
      <c r="G1281" s="2"/>
      <c r="L1281" s="5"/>
      <c r="M1281" s="4">
        <f>M1280-Table1[[#This Row],[Debits]]+Table1[[#This Row],[Income]]</f>
        <v>1900</v>
      </c>
      <c r="N1281" t="str">
        <f>IF(AND(Table1[[#This Row],[Category]]="pay",NOT(Table1[[#This Row],[Debits]]=0)),"bad","good")</f>
        <v>good</v>
      </c>
      <c r="O1281" s="5"/>
    </row>
    <row r="1282" spans="6:15" x14ac:dyDescent="0.3">
      <c r="F1282">
        <f>MONTH(Table1[[#This Row],[Date  (DMY)]])</f>
        <v>1</v>
      </c>
      <c r="G1282" s="2"/>
      <c r="L1282" s="5"/>
      <c r="M1282" s="4">
        <f>M1281-Table1[[#This Row],[Debits]]+Table1[[#This Row],[Income]]</f>
        <v>1900</v>
      </c>
      <c r="N1282" t="str">
        <f>IF(AND(Table1[[#This Row],[Category]]="pay",NOT(Table1[[#This Row],[Debits]]=0)),"bad","good")</f>
        <v>good</v>
      </c>
      <c r="O1282" s="5"/>
    </row>
    <row r="1283" spans="6:15" x14ac:dyDescent="0.3">
      <c r="F1283">
        <f>MONTH(Table1[[#This Row],[Date  (DMY)]])</f>
        <v>1</v>
      </c>
      <c r="G1283" s="2"/>
      <c r="L1283" s="5"/>
      <c r="M1283" s="4">
        <f>M1282-Table1[[#This Row],[Debits]]+Table1[[#This Row],[Income]]</f>
        <v>1900</v>
      </c>
      <c r="N1283" t="str">
        <f>IF(AND(Table1[[#This Row],[Category]]="pay",NOT(Table1[[#This Row],[Debits]]=0)),"bad","good")</f>
        <v>good</v>
      </c>
      <c r="O1283" s="5"/>
    </row>
    <row r="1284" spans="6:15" x14ac:dyDescent="0.3">
      <c r="F1284">
        <f>MONTH(Table1[[#This Row],[Date  (DMY)]])</f>
        <v>1</v>
      </c>
      <c r="G1284" s="2"/>
      <c r="L1284" s="5"/>
      <c r="M1284" s="4">
        <f>M1283-Table1[[#This Row],[Debits]]+Table1[[#This Row],[Income]]</f>
        <v>1900</v>
      </c>
      <c r="N1284" t="str">
        <f>IF(AND(Table1[[#This Row],[Category]]="pay",NOT(Table1[[#This Row],[Debits]]=0)),"bad","good")</f>
        <v>good</v>
      </c>
      <c r="O1284" s="5"/>
    </row>
    <row r="1285" spans="6:15" x14ac:dyDescent="0.3">
      <c r="F1285">
        <f>MONTH(Table1[[#This Row],[Date  (DMY)]])</f>
        <v>1</v>
      </c>
      <c r="G1285" s="2"/>
      <c r="L1285" s="5"/>
      <c r="M1285" s="4">
        <f>M1284-Table1[[#This Row],[Debits]]+Table1[[#This Row],[Income]]</f>
        <v>1900</v>
      </c>
      <c r="N1285" t="str">
        <f>IF(AND(Table1[[#This Row],[Category]]="pay",NOT(Table1[[#This Row],[Debits]]=0)),"bad","good")</f>
        <v>good</v>
      </c>
      <c r="O1285" s="5"/>
    </row>
    <row r="1286" spans="6:15" x14ac:dyDescent="0.3">
      <c r="F1286">
        <f>MONTH(Table1[[#This Row],[Date  (DMY)]])</f>
        <v>1</v>
      </c>
      <c r="G1286" s="2"/>
      <c r="L1286" s="5"/>
      <c r="M1286" s="4">
        <f>M1285-Table1[[#This Row],[Debits]]+Table1[[#This Row],[Income]]</f>
        <v>1900</v>
      </c>
      <c r="N1286" t="str">
        <f>IF(AND(Table1[[#This Row],[Category]]="pay",NOT(Table1[[#This Row],[Debits]]=0)),"bad","good")</f>
        <v>good</v>
      </c>
      <c r="O1286" s="5"/>
    </row>
    <row r="1287" spans="6:15" x14ac:dyDescent="0.3">
      <c r="F1287">
        <f>MONTH(Table1[[#This Row],[Date  (DMY)]])</f>
        <v>1</v>
      </c>
      <c r="G1287" s="2"/>
      <c r="L1287" s="5"/>
      <c r="M1287" s="4">
        <f>M1286-Table1[[#This Row],[Debits]]+Table1[[#This Row],[Income]]</f>
        <v>1900</v>
      </c>
      <c r="N1287" t="str">
        <f>IF(AND(Table1[[#This Row],[Category]]="pay",NOT(Table1[[#This Row],[Debits]]=0)),"bad","good")</f>
        <v>good</v>
      </c>
      <c r="O1287" s="5"/>
    </row>
    <row r="1288" spans="6:15" x14ac:dyDescent="0.3">
      <c r="F1288">
        <f>MONTH(Table1[[#This Row],[Date  (DMY)]])</f>
        <v>1</v>
      </c>
      <c r="G1288" s="2"/>
      <c r="L1288" s="5"/>
      <c r="M1288" s="4">
        <f>M1287-Table1[[#This Row],[Debits]]+Table1[[#This Row],[Income]]</f>
        <v>1900</v>
      </c>
      <c r="N1288" t="str">
        <f>IF(AND(Table1[[#This Row],[Category]]="pay",NOT(Table1[[#This Row],[Debits]]=0)),"bad","good")</f>
        <v>good</v>
      </c>
      <c r="O1288" s="5"/>
    </row>
    <row r="1289" spans="6:15" x14ac:dyDescent="0.3">
      <c r="F1289">
        <f>MONTH(Table1[[#This Row],[Date  (DMY)]])</f>
        <v>1</v>
      </c>
      <c r="G1289" s="2"/>
      <c r="L1289" s="5"/>
      <c r="M1289" s="4">
        <f>M1288-Table1[[#This Row],[Debits]]+Table1[[#This Row],[Income]]</f>
        <v>1900</v>
      </c>
      <c r="N1289" t="str">
        <f>IF(AND(Table1[[#This Row],[Category]]="pay",NOT(Table1[[#This Row],[Debits]]=0)),"bad","good")</f>
        <v>good</v>
      </c>
      <c r="O1289" s="5"/>
    </row>
    <row r="1290" spans="6:15" x14ac:dyDescent="0.3">
      <c r="F1290">
        <f>MONTH(Table1[[#This Row],[Date  (DMY)]])</f>
        <v>1</v>
      </c>
      <c r="G1290" s="2"/>
      <c r="L1290" s="5"/>
      <c r="M1290" s="4">
        <f>M1289-Table1[[#This Row],[Debits]]+Table1[[#This Row],[Income]]</f>
        <v>1900</v>
      </c>
      <c r="N1290" t="str">
        <f>IF(AND(Table1[[#This Row],[Category]]="pay",NOT(Table1[[#This Row],[Debits]]=0)),"bad","good")</f>
        <v>good</v>
      </c>
      <c r="O1290" s="5"/>
    </row>
    <row r="1291" spans="6:15" x14ac:dyDescent="0.3">
      <c r="F1291">
        <f>MONTH(Table1[[#This Row],[Date  (DMY)]])</f>
        <v>1</v>
      </c>
      <c r="G1291" s="2"/>
      <c r="L1291" s="5"/>
      <c r="M1291" s="4">
        <f>M1290-Table1[[#This Row],[Debits]]+Table1[[#This Row],[Income]]</f>
        <v>1900</v>
      </c>
      <c r="N1291" t="str">
        <f>IF(AND(Table1[[#This Row],[Category]]="pay",NOT(Table1[[#This Row],[Debits]]=0)),"bad","good")</f>
        <v>good</v>
      </c>
      <c r="O1291" s="5"/>
    </row>
    <row r="1292" spans="6:15" x14ac:dyDescent="0.3">
      <c r="F1292">
        <f>MONTH(Table1[[#This Row],[Date  (DMY)]])</f>
        <v>1</v>
      </c>
      <c r="G1292" s="2"/>
      <c r="L1292" s="5"/>
      <c r="M1292" s="4">
        <f>M1291-Table1[[#This Row],[Debits]]+Table1[[#This Row],[Income]]</f>
        <v>1900</v>
      </c>
      <c r="N1292" t="str">
        <f>IF(AND(Table1[[#This Row],[Category]]="pay",NOT(Table1[[#This Row],[Debits]]=0)),"bad","good")</f>
        <v>good</v>
      </c>
      <c r="O1292" s="5"/>
    </row>
    <row r="1293" spans="6:15" x14ac:dyDescent="0.3">
      <c r="F1293">
        <f>MONTH(Table1[[#This Row],[Date  (DMY)]])</f>
        <v>1</v>
      </c>
      <c r="G1293" s="2"/>
      <c r="L1293" s="5"/>
      <c r="M1293" s="4">
        <f>M1292-Table1[[#This Row],[Debits]]+Table1[[#This Row],[Income]]</f>
        <v>1900</v>
      </c>
      <c r="N1293" t="str">
        <f>IF(AND(Table1[[#This Row],[Category]]="pay",NOT(Table1[[#This Row],[Debits]]=0)),"bad","good")</f>
        <v>good</v>
      </c>
      <c r="O1293" s="5"/>
    </row>
    <row r="1294" spans="6:15" x14ac:dyDescent="0.3">
      <c r="F1294">
        <f>MONTH(Table1[[#This Row],[Date  (DMY)]])</f>
        <v>1</v>
      </c>
      <c r="G1294" s="2"/>
      <c r="L1294" s="5"/>
      <c r="M1294" s="4">
        <f>M1293-Table1[[#This Row],[Debits]]+Table1[[#This Row],[Income]]</f>
        <v>1900</v>
      </c>
      <c r="N1294" t="str">
        <f>IF(AND(Table1[[#This Row],[Category]]="pay",NOT(Table1[[#This Row],[Debits]]=0)),"bad","good")</f>
        <v>good</v>
      </c>
      <c r="O1294" s="5"/>
    </row>
    <row r="1295" spans="6:15" x14ac:dyDescent="0.3">
      <c r="F1295">
        <f>MONTH(Table1[[#This Row],[Date  (DMY)]])</f>
        <v>1</v>
      </c>
      <c r="G1295" s="2"/>
      <c r="L1295" s="5"/>
      <c r="M1295" s="4">
        <f>M1294-Table1[[#This Row],[Debits]]+Table1[[#This Row],[Income]]</f>
        <v>1900</v>
      </c>
      <c r="N1295" t="str">
        <f>IF(AND(Table1[[#This Row],[Category]]="pay",NOT(Table1[[#This Row],[Debits]]=0)),"bad","good")</f>
        <v>good</v>
      </c>
      <c r="O1295" s="5"/>
    </row>
    <row r="1296" spans="6:15" x14ac:dyDescent="0.3">
      <c r="F1296">
        <f>MONTH(Table1[[#This Row],[Date  (DMY)]])</f>
        <v>1</v>
      </c>
      <c r="G1296" s="2"/>
      <c r="L1296" s="5"/>
      <c r="M1296" s="4">
        <f>M1295-Table1[[#This Row],[Debits]]+Table1[[#This Row],[Income]]</f>
        <v>1900</v>
      </c>
      <c r="N1296" t="str">
        <f>IF(AND(Table1[[#This Row],[Category]]="pay",NOT(Table1[[#This Row],[Debits]]=0)),"bad","good")</f>
        <v>good</v>
      </c>
      <c r="O1296" s="5"/>
    </row>
    <row r="1297" spans="6:15" x14ac:dyDescent="0.3">
      <c r="F1297">
        <f>MONTH(Table1[[#This Row],[Date  (DMY)]])</f>
        <v>1</v>
      </c>
      <c r="G1297" s="2"/>
      <c r="L1297" s="5"/>
      <c r="M1297" s="4">
        <f>M1296-Table1[[#This Row],[Debits]]+Table1[[#This Row],[Income]]</f>
        <v>1900</v>
      </c>
      <c r="N1297" t="str">
        <f>IF(AND(Table1[[#This Row],[Category]]="pay",NOT(Table1[[#This Row],[Debits]]=0)),"bad","good")</f>
        <v>good</v>
      </c>
      <c r="O1297" s="5"/>
    </row>
    <row r="1298" spans="6:15" x14ac:dyDescent="0.3">
      <c r="F1298">
        <f>MONTH(Table1[[#This Row],[Date  (DMY)]])</f>
        <v>1</v>
      </c>
      <c r="G1298" s="2"/>
      <c r="L1298" s="5"/>
      <c r="M1298" s="4">
        <f>M1297-Table1[[#This Row],[Debits]]+Table1[[#This Row],[Income]]</f>
        <v>1900</v>
      </c>
      <c r="N1298" t="str">
        <f>IF(AND(Table1[[#This Row],[Category]]="pay",NOT(Table1[[#This Row],[Debits]]=0)),"bad","good")</f>
        <v>good</v>
      </c>
      <c r="O1298" s="5"/>
    </row>
    <row r="1299" spans="6:15" x14ac:dyDescent="0.3">
      <c r="F1299">
        <f>MONTH(Table1[[#This Row],[Date  (DMY)]])</f>
        <v>1</v>
      </c>
      <c r="G1299" s="2"/>
      <c r="L1299" s="5"/>
      <c r="M1299" s="4">
        <f>M1298-Table1[[#This Row],[Debits]]+Table1[[#This Row],[Income]]</f>
        <v>1900</v>
      </c>
      <c r="N1299" t="str">
        <f>IF(AND(Table1[[#This Row],[Category]]="pay",NOT(Table1[[#This Row],[Debits]]=0)),"bad","good")</f>
        <v>good</v>
      </c>
      <c r="O1299" s="5"/>
    </row>
    <row r="1300" spans="6:15" x14ac:dyDescent="0.3">
      <c r="F1300">
        <f>MONTH(Table1[[#This Row],[Date  (DMY)]])</f>
        <v>1</v>
      </c>
      <c r="G1300" s="2"/>
      <c r="L1300" s="5"/>
      <c r="M1300" s="4">
        <f>M1299-Table1[[#This Row],[Debits]]+Table1[[#This Row],[Income]]</f>
        <v>1900</v>
      </c>
      <c r="N1300" t="str">
        <f>IF(AND(Table1[[#This Row],[Category]]="pay",NOT(Table1[[#This Row],[Debits]]=0)),"bad","good")</f>
        <v>good</v>
      </c>
      <c r="O1300" s="5"/>
    </row>
    <row r="1301" spans="6:15" x14ac:dyDescent="0.3">
      <c r="F1301">
        <f>MONTH(Table1[[#This Row],[Date  (DMY)]])</f>
        <v>1</v>
      </c>
      <c r="G1301" s="2"/>
      <c r="L1301" s="5"/>
      <c r="M1301" s="4">
        <f>M1300-Table1[[#This Row],[Debits]]+Table1[[#This Row],[Income]]</f>
        <v>1900</v>
      </c>
      <c r="N1301" t="str">
        <f>IF(AND(Table1[[#This Row],[Category]]="pay",NOT(Table1[[#This Row],[Debits]]=0)),"bad","good")</f>
        <v>good</v>
      </c>
      <c r="O1301" s="5"/>
    </row>
    <row r="1302" spans="6:15" x14ac:dyDescent="0.3">
      <c r="F1302">
        <f>MONTH(Table1[[#This Row],[Date  (DMY)]])</f>
        <v>1</v>
      </c>
      <c r="G1302" s="2"/>
      <c r="L1302" s="5"/>
      <c r="M1302" s="4">
        <f>M1301-Table1[[#This Row],[Debits]]+Table1[[#This Row],[Income]]</f>
        <v>1900</v>
      </c>
      <c r="N1302" t="str">
        <f>IF(AND(Table1[[#This Row],[Category]]="pay",NOT(Table1[[#This Row],[Debits]]=0)),"bad","good")</f>
        <v>good</v>
      </c>
      <c r="O1302" s="5"/>
    </row>
    <row r="1303" spans="6:15" x14ac:dyDescent="0.3">
      <c r="F1303">
        <f>MONTH(Table1[[#This Row],[Date  (DMY)]])</f>
        <v>1</v>
      </c>
      <c r="G1303" s="2"/>
      <c r="L1303" s="5"/>
      <c r="M1303" s="4">
        <f>M1302-Table1[[#This Row],[Debits]]+Table1[[#This Row],[Income]]</f>
        <v>1900</v>
      </c>
      <c r="N1303" t="str">
        <f>IF(AND(Table1[[#This Row],[Category]]="pay",NOT(Table1[[#This Row],[Debits]]=0)),"bad","good")</f>
        <v>good</v>
      </c>
      <c r="O1303" s="5"/>
    </row>
    <row r="1304" spans="6:15" x14ac:dyDescent="0.3">
      <c r="F1304">
        <f>MONTH(Table1[[#This Row],[Date  (DMY)]])</f>
        <v>1</v>
      </c>
      <c r="G1304" s="2"/>
      <c r="L1304" s="5"/>
      <c r="M1304" s="4">
        <f>M1303-Table1[[#This Row],[Debits]]+Table1[[#This Row],[Income]]</f>
        <v>1900</v>
      </c>
      <c r="N1304" t="str">
        <f>IF(AND(Table1[[#This Row],[Category]]="pay",NOT(Table1[[#This Row],[Debits]]=0)),"bad","good")</f>
        <v>good</v>
      </c>
      <c r="O1304" s="5"/>
    </row>
    <row r="1305" spans="6:15" x14ac:dyDescent="0.3">
      <c r="F1305">
        <f>MONTH(Table1[[#This Row],[Date  (DMY)]])</f>
        <v>1</v>
      </c>
      <c r="G1305" s="2"/>
      <c r="L1305" s="5"/>
      <c r="M1305" s="4">
        <f>M1304-Table1[[#This Row],[Debits]]+Table1[[#This Row],[Income]]</f>
        <v>1900</v>
      </c>
      <c r="N1305" t="str">
        <f>IF(AND(Table1[[#This Row],[Category]]="pay",NOT(Table1[[#This Row],[Debits]]=0)),"bad","good")</f>
        <v>good</v>
      </c>
      <c r="O1305" s="5"/>
    </row>
    <row r="1306" spans="6:15" x14ac:dyDescent="0.3">
      <c r="F1306">
        <f>MONTH(Table1[[#This Row],[Date  (DMY)]])</f>
        <v>1</v>
      </c>
      <c r="G1306" s="2"/>
      <c r="L1306" s="5"/>
      <c r="M1306" s="4">
        <f>M1305-Table1[[#This Row],[Debits]]+Table1[[#This Row],[Income]]</f>
        <v>1900</v>
      </c>
      <c r="N1306" t="str">
        <f>IF(AND(Table1[[#This Row],[Category]]="pay",NOT(Table1[[#This Row],[Debits]]=0)),"bad","good")</f>
        <v>good</v>
      </c>
      <c r="O1306" s="5"/>
    </row>
    <row r="1307" spans="6:15" x14ac:dyDescent="0.3">
      <c r="F1307">
        <f>MONTH(Table1[[#This Row],[Date  (DMY)]])</f>
        <v>1</v>
      </c>
      <c r="G1307" s="2"/>
      <c r="L1307" s="5"/>
      <c r="M1307" s="4">
        <f>M1306-Table1[[#This Row],[Debits]]+Table1[[#This Row],[Income]]</f>
        <v>1900</v>
      </c>
      <c r="N1307" t="str">
        <f>IF(AND(Table1[[#This Row],[Category]]="pay",NOT(Table1[[#This Row],[Debits]]=0)),"bad","good")</f>
        <v>good</v>
      </c>
      <c r="O1307" s="5"/>
    </row>
    <row r="1308" spans="6:15" x14ac:dyDescent="0.3">
      <c r="F1308">
        <f>MONTH(Table1[[#This Row],[Date  (DMY)]])</f>
        <v>1</v>
      </c>
      <c r="G1308" s="2"/>
      <c r="L1308" s="5"/>
      <c r="M1308" s="4">
        <f>M1307-Table1[[#This Row],[Debits]]+Table1[[#This Row],[Income]]</f>
        <v>1900</v>
      </c>
      <c r="N1308" t="str">
        <f>IF(AND(Table1[[#This Row],[Category]]="pay",NOT(Table1[[#This Row],[Debits]]=0)),"bad","good")</f>
        <v>good</v>
      </c>
      <c r="O1308" s="5"/>
    </row>
    <row r="1309" spans="6:15" x14ac:dyDescent="0.3">
      <c r="F1309">
        <f>MONTH(Table1[[#This Row],[Date  (DMY)]])</f>
        <v>1</v>
      </c>
      <c r="G1309" s="2"/>
      <c r="L1309" s="5"/>
      <c r="M1309" s="4">
        <f>M1308-Table1[[#This Row],[Debits]]+Table1[[#This Row],[Income]]</f>
        <v>1900</v>
      </c>
      <c r="N1309" t="str">
        <f>IF(AND(Table1[[#This Row],[Category]]="pay",NOT(Table1[[#This Row],[Debits]]=0)),"bad","good")</f>
        <v>good</v>
      </c>
      <c r="O1309" s="5"/>
    </row>
    <row r="1310" spans="6:15" x14ac:dyDescent="0.3">
      <c r="F1310">
        <f>MONTH(Table1[[#This Row],[Date  (DMY)]])</f>
        <v>1</v>
      </c>
      <c r="G1310" s="2"/>
      <c r="L1310" s="5"/>
      <c r="M1310" s="4">
        <f>M1309-Table1[[#This Row],[Debits]]+Table1[[#This Row],[Income]]</f>
        <v>1900</v>
      </c>
      <c r="N1310" t="str">
        <f>IF(AND(Table1[[#This Row],[Category]]="pay",NOT(Table1[[#This Row],[Debits]]=0)),"bad","good")</f>
        <v>good</v>
      </c>
      <c r="O1310" s="5"/>
    </row>
    <row r="1311" spans="6:15" x14ac:dyDescent="0.3">
      <c r="F1311">
        <f>MONTH(Table1[[#This Row],[Date  (DMY)]])</f>
        <v>1</v>
      </c>
      <c r="G1311" s="2"/>
      <c r="L1311" s="5"/>
      <c r="M1311" s="4">
        <f>M1310-Table1[[#This Row],[Debits]]+Table1[[#This Row],[Income]]</f>
        <v>1900</v>
      </c>
      <c r="N1311" t="str">
        <f>IF(AND(Table1[[#This Row],[Category]]="pay",NOT(Table1[[#This Row],[Debits]]=0)),"bad","good")</f>
        <v>good</v>
      </c>
      <c r="O1311" s="5"/>
    </row>
    <row r="1312" spans="6:15" x14ac:dyDescent="0.3">
      <c r="F1312">
        <f>MONTH(Table1[[#This Row],[Date  (DMY)]])</f>
        <v>1</v>
      </c>
      <c r="G1312" s="2"/>
      <c r="L1312" s="5"/>
      <c r="M1312" s="4">
        <f>M1311-Table1[[#This Row],[Debits]]+Table1[[#This Row],[Income]]</f>
        <v>1900</v>
      </c>
      <c r="N1312" t="str">
        <f>IF(AND(Table1[[#This Row],[Category]]="pay",NOT(Table1[[#This Row],[Debits]]=0)),"bad","good")</f>
        <v>good</v>
      </c>
      <c r="O1312" s="5"/>
    </row>
    <row r="1313" spans="6:15" x14ac:dyDescent="0.3">
      <c r="F1313">
        <f>MONTH(Table1[[#This Row],[Date  (DMY)]])</f>
        <v>1</v>
      </c>
      <c r="G1313" s="2"/>
      <c r="L1313" s="5"/>
      <c r="M1313" s="4">
        <f>M1312-Table1[[#This Row],[Debits]]+Table1[[#This Row],[Income]]</f>
        <v>1900</v>
      </c>
      <c r="N1313" t="str">
        <f>IF(AND(Table1[[#This Row],[Category]]="pay",NOT(Table1[[#This Row],[Debits]]=0)),"bad","good")</f>
        <v>good</v>
      </c>
      <c r="O1313" s="5"/>
    </row>
    <row r="1314" spans="6:15" x14ac:dyDescent="0.3">
      <c r="F1314">
        <f>MONTH(Table1[[#This Row],[Date  (DMY)]])</f>
        <v>1</v>
      </c>
      <c r="G1314" s="2"/>
      <c r="L1314" s="5"/>
      <c r="M1314" s="4">
        <f>M1313-Table1[[#This Row],[Debits]]+Table1[[#This Row],[Income]]</f>
        <v>1900</v>
      </c>
      <c r="N1314" t="str">
        <f>IF(AND(Table1[[#This Row],[Category]]="pay",NOT(Table1[[#This Row],[Debits]]=0)),"bad","good")</f>
        <v>good</v>
      </c>
      <c r="O1314" s="5"/>
    </row>
    <row r="1315" spans="6:15" x14ac:dyDescent="0.3">
      <c r="F1315">
        <f>MONTH(Table1[[#This Row],[Date  (DMY)]])</f>
        <v>1</v>
      </c>
      <c r="G1315" s="2"/>
      <c r="L1315" s="5"/>
      <c r="M1315" s="4">
        <f>M1314-Table1[[#This Row],[Debits]]+Table1[[#This Row],[Income]]</f>
        <v>1900</v>
      </c>
      <c r="N1315" t="str">
        <f>IF(AND(Table1[[#This Row],[Category]]="pay",NOT(Table1[[#This Row],[Debits]]=0)),"bad","good")</f>
        <v>good</v>
      </c>
      <c r="O1315" s="5"/>
    </row>
    <row r="1316" spans="6:15" x14ac:dyDescent="0.3">
      <c r="F1316">
        <f>MONTH(Table1[[#This Row],[Date  (DMY)]])</f>
        <v>1</v>
      </c>
      <c r="G1316" s="2"/>
      <c r="L1316" s="5"/>
      <c r="M1316" s="4">
        <f>M1315-Table1[[#This Row],[Debits]]+Table1[[#This Row],[Income]]</f>
        <v>1900</v>
      </c>
      <c r="N1316" t="str">
        <f>IF(AND(Table1[[#This Row],[Category]]="pay",NOT(Table1[[#This Row],[Debits]]=0)),"bad","good")</f>
        <v>good</v>
      </c>
      <c r="O1316" s="5"/>
    </row>
    <row r="1317" spans="6:15" x14ac:dyDescent="0.3">
      <c r="F1317">
        <f>MONTH(Table1[[#This Row],[Date  (DMY)]])</f>
        <v>1</v>
      </c>
      <c r="G1317" s="2"/>
      <c r="L1317" s="5"/>
      <c r="M1317" s="4">
        <f>M1316-Table1[[#This Row],[Debits]]+Table1[[#This Row],[Income]]</f>
        <v>1900</v>
      </c>
      <c r="N1317" t="str">
        <f>IF(AND(Table1[[#This Row],[Category]]="pay",NOT(Table1[[#This Row],[Debits]]=0)),"bad","good")</f>
        <v>good</v>
      </c>
      <c r="O1317" s="5"/>
    </row>
    <row r="1318" spans="6:15" x14ac:dyDescent="0.3">
      <c r="F1318">
        <f>MONTH(Table1[[#This Row],[Date  (DMY)]])</f>
        <v>1</v>
      </c>
      <c r="G1318" s="2"/>
      <c r="L1318" s="5"/>
      <c r="M1318" s="4">
        <f>M1317-Table1[[#This Row],[Debits]]+Table1[[#This Row],[Income]]</f>
        <v>1900</v>
      </c>
      <c r="N1318" t="str">
        <f>IF(AND(Table1[[#This Row],[Category]]="pay",NOT(Table1[[#This Row],[Debits]]=0)),"bad","good")</f>
        <v>good</v>
      </c>
      <c r="O1318" s="5"/>
    </row>
    <row r="1319" spans="6:15" x14ac:dyDescent="0.3">
      <c r="F1319">
        <f>MONTH(Table1[[#This Row],[Date  (DMY)]])</f>
        <v>1</v>
      </c>
      <c r="G1319" s="2"/>
      <c r="L1319" s="5"/>
      <c r="M1319" s="4">
        <f>M1318-Table1[[#This Row],[Debits]]+Table1[[#This Row],[Income]]</f>
        <v>1900</v>
      </c>
      <c r="N1319" t="str">
        <f>IF(AND(Table1[[#This Row],[Category]]="pay",NOT(Table1[[#This Row],[Debits]]=0)),"bad","good")</f>
        <v>good</v>
      </c>
      <c r="O1319" s="5"/>
    </row>
    <row r="1320" spans="6:15" x14ac:dyDescent="0.3">
      <c r="F1320">
        <f>MONTH(Table1[[#This Row],[Date  (DMY)]])</f>
        <v>1</v>
      </c>
      <c r="G1320" s="2"/>
      <c r="L1320" s="5"/>
      <c r="M1320" s="4">
        <f>M1319-Table1[[#This Row],[Debits]]+Table1[[#This Row],[Income]]</f>
        <v>1900</v>
      </c>
      <c r="N1320" t="str">
        <f>IF(AND(Table1[[#This Row],[Category]]="pay",NOT(Table1[[#This Row],[Debits]]=0)),"bad","good")</f>
        <v>good</v>
      </c>
      <c r="O1320" s="5"/>
    </row>
    <row r="1321" spans="6:15" x14ac:dyDescent="0.3">
      <c r="F1321">
        <f>MONTH(Table1[[#This Row],[Date  (DMY)]])</f>
        <v>1</v>
      </c>
      <c r="G1321" s="2"/>
      <c r="L1321" s="5"/>
      <c r="M1321" s="4">
        <f>M1320-Table1[[#This Row],[Debits]]+Table1[[#This Row],[Income]]</f>
        <v>1900</v>
      </c>
      <c r="N1321" t="str">
        <f>IF(AND(Table1[[#This Row],[Category]]="pay",NOT(Table1[[#This Row],[Debits]]=0)),"bad","good")</f>
        <v>good</v>
      </c>
      <c r="O1321" s="5"/>
    </row>
    <row r="1322" spans="6:15" x14ac:dyDescent="0.3">
      <c r="F1322">
        <f>MONTH(Table1[[#This Row],[Date  (DMY)]])</f>
        <v>1</v>
      </c>
      <c r="G1322" s="2"/>
      <c r="L1322" s="5"/>
      <c r="M1322" s="4">
        <f>M1321-Table1[[#This Row],[Debits]]+Table1[[#This Row],[Income]]</f>
        <v>1900</v>
      </c>
      <c r="N1322" t="str">
        <f>IF(AND(Table1[[#This Row],[Category]]="pay",NOT(Table1[[#This Row],[Debits]]=0)),"bad","good")</f>
        <v>good</v>
      </c>
      <c r="O1322" s="5"/>
    </row>
    <row r="1323" spans="6:15" x14ac:dyDescent="0.3">
      <c r="F1323">
        <f>MONTH(Table1[[#This Row],[Date  (DMY)]])</f>
        <v>1</v>
      </c>
      <c r="G1323" s="2"/>
      <c r="L1323" s="5"/>
      <c r="M1323" s="4">
        <f>M1322-Table1[[#This Row],[Debits]]+Table1[[#This Row],[Income]]</f>
        <v>1900</v>
      </c>
      <c r="N1323" t="str">
        <f>IF(AND(Table1[[#This Row],[Category]]="pay",NOT(Table1[[#This Row],[Debits]]=0)),"bad","good")</f>
        <v>good</v>
      </c>
      <c r="O1323" s="5"/>
    </row>
    <row r="1324" spans="6:15" x14ac:dyDescent="0.3">
      <c r="F1324">
        <f>MONTH(Table1[[#This Row],[Date  (DMY)]])</f>
        <v>1</v>
      </c>
      <c r="G1324" s="2"/>
      <c r="L1324" s="5"/>
      <c r="M1324" s="4">
        <f>M1323-Table1[[#This Row],[Debits]]+Table1[[#This Row],[Income]]</f>
        <v>1900</v>
      </c>
      <c r="N1324" t="str">
        <f>IF(AND(Table1[[#This Row],[Category]]="pay",NOT(Table1[[#This Row],[Debits]]=0)),"bad","good")</f>
        <v>good</v>
      </c>
      <c r="O1324" s="5"/>
    </row>
    <row r="1325" spans="6:15" x14ac:dyDescent="0.3">
      <c r="F1325">
        <f>MONTH(Table1[[#This Row],[Date  (DMY)]])</f>
        <v>1</v>
      </c>
      <c r="G1325" s="2"/>
      <c r="L1325" s="5"/>
      <c r="M1325" s="4">
        <f>M1324-Table1[[#This Row],[Debits]]+Table1[[#This Row],[Income]]</f>
        <v>1900</v>
      </c>
      <c r="N1325" t="str">
        <f>IF(AND(Table1[[#This Row],[Category]]="pay",NOT(Table1[[#This Row],[Debits]]=0)),"bad","good")</f>
        <v>good</v>
      </c>
      <c r="O1325" s="5"/>
    </row>
    <row r="1326" spans="6:15" x14ac:dyDescent="0.3">
      <c r="F1326">
        <f>MONTH(Table1[[#This Row],[Date  (DMY)]])</f>
        <v>1</v>
      </c>
      <c r="G1326" s="2"/>
      <c r="L1326" s="5"/>
      <c r="M1326" s="4">
        <f>M1325-Table1[[#This Row],[Debits]]+Table1[[#This Row],[Income]]</f>
        <v>1900</v>
      </c>
      <c r="N1326" t="str">
        <f>IF(AND(Table1[[#This Row],[Category]]="pay",NOT(Table1[[#This Row],[Debits]]=0)),"bad","good")</f>
        <v>good</v>
      </c>
      <c r="O1326" s="5"/>
    </row>
    <row r="1327" spans="6:15" x14ac:dyDescent="0.3">
      <c r="F1327">
        <f>MONTH(Table1[[#This Row],[Date  (DMY)]])</f>
        <v>1</v>
      </c>
      <c r="G1327" s="2"/>
      <c r="L1327" s="5"/>
      <c r="M1327" s="4">
        <f>M1326-Table1[[#This Row],[Debits]]+Table1[[#This Row],[Income]]</f>
        <v>1900</v>
      </c>
      <c r="N1327" t="str">
        <f>IF(AND(Table1[[#This Row],[Category]]="pay",NOT(Table1[[#This Row],[Debits]]=0)),"bad","good")</f>
        <v>good</v>
      </c>
      <c r="O1327" s="5"/>
    </row>
    <row r="1328" spans="6:15" x14ac:dyDescent="0.3">
      <c r="F1328">
        <f>MONTH(Table1[[#This Row],[Date  (DMY)]])</f>
        <v>1</v>
      </c>
      <c r="G1328" s="2"/>
      <c r="L1328" s="5"/>
      <c r="M1328" s="4">
        <f>M1327-Table1[[#This Row],[Debits]]+Table1[[#This Row],[Income]]</f>
        <v>1900</v>
      </c>
      <c r="N1328" t="str">
        <f>IF(AND(Table1[[#This Row],[Category]]="pay",NOT(Table1[[#This Row],[Debits]]=0)),"bad","good")</f>
        <v>good</v>
      </c>
      <c r="O1328" s="5"/>
    </row>
    <row r="1329" spans="6:15" x14ac:dyDescent="0.3">
      <c r="F1329">
        <f>MONTH(Table1[[#This Row],[Date  (DMY)]])</f>
        <v>1</v>
      </c>
      <c r="G1329" s="2"/>
      <c r="L1329" s="5"/>
      <c r="M1329" s="4">
        <f>M1328-Table1[[#This Row],[Debits]]+Table1[[#This Row],[Income]]</f>
        <v>1900</v>
      </c>
      <c r="N1329" t="str">
        <f>IF(AND(Table1[[#This Row],[Category]]="pay",NOT(Table1[[#This Row],[Debits]]=0)),"bad","good")</f>
        <v>good</v>
      </c>
      <c r="O1329" s="5"/>
    </row>
    <row r="1330" spans="6:15" x14ac:dyDescent="0.3">
      <c r="F1330">
        <f>MONTH(Table1[[#This Row],[Date  (DMY)]])</f>
        <v>1</v>
      </c>
      <c r="G1330" s="2"/>
      <c r="L1330" s="5"/>
      <c r="M1330" s="4">
        <f>M1329-Table1[[#This Row],[Debits]]+Table1[[#This Row],[Income]]</f>
        <v>1900</v>
      </c>
      <c r="N1330" t="str">
        <f>IF(AND(Table1[[#This Row],[Category]]="pay",NOT(Table1[[#This Row],[Debits]]=0)),"bad","good")</f>
        <v>good</v>
      </c>
      <c r="O1330" s="5"/>
    </row>
    <row r="1331" spans="6:15" x14ac:dyDescent="0.3">
      <c r="F1331">
        <f>MONTH(Table1[[#This Row],[Date  (DMY)]])</f>
        <v>1</v>
      </c>
      <c r="G1331" s="2"/>
      <c r="L1331" s="5"/>
      <c r="M1331" s="4">
        <f>M1330-Table1[[#This Row],[Debits]]+Table1[[#This Row],[Income]]</f>
        <v>1900</v>
      </c>
      <c r="N1331" t="str">
        <f>IF(AND(Table1[[#This Row],[Category]]="pay",NOT(Table1[[#This Row],[Debits]]=0)),"bad","good")</f>
        <v>good</v>
      </c>
      <c r="O1331" s="5"/>
    </row>
    <row r="1332" spans="6:15" x14ac:dyDescent="0.3">
      <c r="F1332">
        <f>MONTH(Table1[[#This Row],[Date  (DMY)]])</f>
        <v>1</v>
      </c>
      <c r="G1332" s="2"/>
      <c r="L1332" s="5"/>
      <c r="M1332" s="4">
        <f>M1331-Table1[[#This Row],[Debits]]+Table1[[#This Row],[Income]]</f>
        <v>1900</v>
      </c>
      <c r="N1332" t="str">
        <f>IF(AND(Table1[[#This Row],[Category]]="pay",NOT(Table1[[#This Row],[Debits]]=0)),"bad","good")</f>
        <v>good</v>
      </c>
      <c r="O1332" s="5"/>
    </row>
    <row r="1333" spans="6:15" x14ac:dyDescent="0.3">
      <c r="F1333">
        <f>MONTH(Table1[[#This Row],[Date  (DMY)]])</f>
        <v>1</v>
      </c>
      <c r="G1333" s="2"/>
      <c r="L1333" s="5"/>
      <c r="M1333" s="4">
        <f>M1332-Table1[[#This Row],[Debits]]+Table1[[#This Row],[Income]]</f>
        <v>1900</v>
      </c>
      <c r="N1333" t="str">
        <f>IF(AND(Table1[[#This Row],[Category]]="pay",NOT(Table1[[#This Row],[Debits]]=0)),"bad","good")</f>
        <v>good</v>
      </c>
      <c r="O1333" s="5"/>
    </row>
    <row r="1334" spans="6:15" x14ac:dyDescent="0.3">
      <c r="F1334">
        <f>MONTH(Table1[[#This Row],[Date  (DMY)]])</f>
        <v>1</v>
      </c>
      <c r="G1334" s="2"/>
      <c r="L1334" s="5"/>
      <c r="M1334" s="4">
        <f>M1333-Table1[[#This Row],[Debits]]+Table1[[#This Row],[Income]]</f>
        <v>1900</v>
      </c>
      <c r="N1334" t="str">
        <f>IF(AND(Table1[[#This Row],[Category]]="pay",NOT(Table1[[#This Row],[Debits]]=0)),"bad","good")</f>
        <v>good</v>
      </c>
      <c r="O1334" s="5"/>
    </row>
    <row r="1335" spans="6:15" x14ac:dyDescent="0.3">
      <c r="F1335">
        <f>MONTH(Table1[[#This Row],[Date  (DMY)]])</f>
        <v>1</v>
      </c>
      <c r="G1335" s="2"/>
      <c r="L1335" s="5"/>
      <c r="M1335" s="4">
        <f>M1334-Table1[[#This Row],[Debits]]+Table1[[#This Row],[Income]]</f>
        <v>1900</v>
      </c>
      <c r="N1335" t="str">
        <f>IF(AND(Table1[[#This Row],[Category]]="pay",NOT(Table1[[#This Row],[Debits]]=0)),"bad","good")</f>
        <v>good</v>
      </c>
      <c r="O1335" s="5"/>
    </row>
    <row r="1336" spans="6:15" x14ac:dyDescent="0.3">
      <c r="F1336">
        <f>MONTH(Table1[[#This Row],[Date  (DMY)]])</f>
        <v>1</v>
      </c>
      <c r="G1336" s="2"/>
      <c r="L1336" s="5"/>
      <c r="M1336" s="4">
        <f>M1335-Table1[[#This Row],[Debits]]+Table1[[#This Row],[Income]]</f>
        <v>1900</v>
      </c>
      <c r="N1336" t="str">
        <f>IF(AND(Table1[[#This Row],[Category]]="pay",NOT(Table1[[#This Row],[Debits]]=0)),"bad","good")</f>
        <v>good</v>
      </c>
      <c r="O1336" s="5"/>
    </row>
    <row r="1337" spans="6:15" x14ac:dyDescent="0.3">
      <c r="F1337">
        <f>MONTH(Table1[[#This Row],[Date  (DMY)]])</f>
        <v>1</v>
      </c>
      <c r="G1337" s="2"/>
      <c r="L1337" s="5"/>
      <c r="M1337" s="4">
        <f>M1336-Table1[[#This Row],[Debits]]+Table1[[#This Row],[Income]]</f>
        <v>1900</v>
      </c>
      <c r="N1337" t="str">
        <f>IF(AND(Table1[[#This Row],[Category]]="pay",NOT(Table1[[#This Row],[Debits]]=0)),"bad","good")</f>
        <v>good</v>
      </c>
      <c r="O1337" s="5"/>
    </row>
    <row r="1338" spans="6:15" x14ac:dyDescent="0.3">
      <c r="F1338">
        <f>MONTH(Table1[[#This Row],[Date  (DMY)]])</f>
        <v>1</v>
      </c>
      <c r="G1338" s="2"/>
      <c r="L1338" s="5"/>
      <c r="M1338" s="4">
        <f>M1337-Table1[[#This Row],[Debits]]+Table1[[#This Row],[Income]]</f>
        <v>1900</v>
      </c>
      <c r="N1338" t="str">
        <f>IF(AND(Table1[[#This Row],[Category]]="pay",NOT(Table1[[#This Row],[Debits]]=0)),"bad","good")</f>
        <v>good</v>
      </c>
      <c r="O1338" s="5"/>
    </row>
    <row r="1339" spans="6:15" x14ac:dyDescent="0.3">
      <c r="F1339">
        <f>MONTH(Table1[[#This Row],[Date  (DMY)]])</f>
        <v>1</v>
      </c>
      <c r="G1339" s="2"/>
      <c r="L1339" s="5"/>
      <c r="M1339" s="4">
        <f>M1338-Table1[[#This Row],[Debits]]+Table1[[#This Row],[Income]]</f>
        <v>1900</v>
      </c>
      <c r="N1339" t="str">
        <f>IF(AND(Table1[[#This Row],[Category]]="pay",NOT(Table1[[#This Row],[Debits]]=0)),"bad","good")</f>
        <v>good</v>
      </c>
      <c r="O1339" s="5"/>
    </row>
    <row r="1340" spans="6:15" x14ac:dyDescent="0.3">
      <c r="F1340">
        <f>MONTH(Table1[[#This Row],[Date  (DMY)]])</f>
        <v>1</v>
      </c>
      <c r="G1340" s="2"/>
      <c r="L1340" s="5"/>
      <c r="M1340" s="4">
        <f>M1339-Table1[[#This Row],[Debits]]+Table1[[#This Row],[Income]]</f>
        <v>1900</v>
      </c>
      <c r="N1340" t="str">
        <f>IF(AND(Table1[[#This Row],[Category]]="pay",NOT(Table1[[#This Row],[Debits]]=0)),"bad","good")</f>
        <v>good</v>
      </c>
      <c r="O1340" s="5"/>
    </row>
    <row r="1341" spans="6:15" x14ac:dyDescent="0.3">
      <c r="F1341">
        <f>MONTH(Table1[[#This Row],[Date  (DMY)]])</f>
        <v>1</v>
      </c>
      <c r="G1341" s="2"/>
      <c r="L1341" s="5"/>
      <c r="M1341" s="4">
        <f>M1340-Table1[[#This Row],[Debits]]+Table1[[#This Row],[Income]]</f>
        <v>1900</v>
      </c>
      <c r="N1341" t="str">
        <f>IF(AND(Table1[[#This Row],[Category]]="pay",NOT(Table1[[#This Row],[Debits]]=0)),"bad","good")</f>
        <v>good</v>
      </c>
      <c r="O1341" s="5"/>
    </row>
    <row r="1342" spans="6:15" x14ac:dyDescent="0.3">
      <c r="F1342">
        <f>MONTH(Table1[[#This Row],[Date  (DMY)]])</f>
        <v>1</v>
      </c>
      <c r="G1342" s="2"/>
      <c r="L1342" s="5"/>
      <c r="M1342" s="4">
        <f>M1341-Table1[[#This Row],[Debits]]+Table1[[#This Row],[Income]]</f>
        <v>1900</v>
      </c>
      <c r="N1342" t="str">
        <f>IF(AND(Table1[[#This Row],[Category]]="pay",NOT(Table1[[#This Row],[Debits]]=0)),"bad","good")</f>
        <v>good</v>
      </c>
      <c r="O1342" s="5"/>
    </row>
    <row r="1343" spans="6:15" x14ac:dyDescent="0.3">
      <c r="F1343">
        <f>MONTH(Table1[[#This Row],[Date  (DMY)]])</f>
        <v>1</v>
      </c>
      <c r="G1343" s="2"/>
      <c r="L1343" s="5"/>
      <c r="M1343" s="4">
        <f>M1342-Table1[[#This Row],[Debits]]+Table1[[#This Row],[Income]]</f>
        <v>1900</v>
      </c>
      <c r="N1343" t="str">
        <f>IF(AND(Table1[[#This Row],[Category]]="pay",NOT(Table1[[#This Row],[Debits]]=0)),"bad","good")</f>
        <v>good</v>
      </c>
      <c r="O1343" s="5"/>
    </row>
    <row r="1344" spans="6:15" x14ac:dyDescent="0.3">
      <c r="F1344">
        <f>MONTH(Table1[[#This Row],[Date  (DMY)]])</f>
        <v>1</v>
      </c>
      <c r="G1344" s="2"/>
      <c r="L1344" s="5"/>
      <c r="M1344" s="4">
        <f>M1343-Table1[[#This Row],[Debits]]+Table1[[#This Row],[Income]]</f>
        <v>1900</v>
      </c>
      <c r="N1344" t="str">
        <f>IF(AND(Table1[[#This Row],[Category]]="pay",NOT(Table1[[#This Row],[Debits]]=0)),"bad","good")</f>
        <v>good</v>
      </c>
      <c r="O1344" s="5"/>
    </row>
    <row r="1345" spans="6:15" x14ac:dyDescent="0.3">
      <c r="F1345">
        <f>MONTH(Table1[[#This Row],[Date  (DMY)]])</f>
        <v>1</v>
      </c>
      <c r="G1345" s="2"/>
      <c r="L1345" s="5"/>
      <c r="M1345" s="4">
        <f>M1344-Table1[[#This Row],[Debits]]+Table1[[#This Row],[Income]]</f>
        <v>1900</v>
      </c>
      <c r="N1345" t="str">
        <f>IF(AND(Table1[[#This Row],[Category]]="pay",NOT(Table1[[#This Row],[Debits]]=0)),"bad","good")</f>
        <v>good</v>
      </c>
      <c r="O1345" s="5"/>
    </row>
    <row r="1346" spans="6:15" x14ac:dyDescent="0.3">
      <c r="F1346">
        <f>MONTH(Table1[[#This Row],[Date  (DMY)]])</f>
        <v>1</v>
      </c>
      <c r="G1346" s="2"/>
      <c r="L1346" s="5"/>
      <c r="M1346" s="4">
        <f>M1345-Table1[[#This Row],[Debits]]+Table1[[#This Row],[Income]]</f>
        <v>1900</v>
      </c>
      <c r="N1346" t="str">
        <f>IF(AND(Table1[[#This Row],[Category]]="pay",NOT(Table1[[#This Row],[Debits]]=0)),"bad","good")</f>
        <v>good</v>
      </c>
      <c r="O1346" s="5"/>
    </row>
    <row r="1347" spans="6:15" x14ac:dyDescent="0.3">
      <c r="F1347">
        <f>MONTH(Table1[[#This Row],[Date  (DMY)]])</f>
        <v>1</v>
      </c>
      <c r="G1347" s="2"/>
      <c r="L1347" s="5"/>
      <c r="M1347" s="4">
        <f>M1346-Table1[[#This Row],[Debits]]+Table1[[#This Row],[Income]]</f>
        <v>1900</v>
      </c>
      <c r="N1347" t="str">
        <f>IF(AND(Table1[[#This Row],[Category]]="pay",NOT(Table1[[#This Row],[Debits]]=0)),"bad","good")</f>
        <v>good</v>
      </c>
      <c r="O1347" s="5"/>
    </row>
    <row r="1348" spans="6:15" x14ac:dyDescent="0.3">
      <c r="F1348">
        <f>MONTH(Table1[[#This Row],[Date  (DMY)]])</f>
        <v>1</v>
      </c>
      <c r="G1348" s="2"/>
      <c r="L1348" s="5"/>
      <c r="M1348" s="4">
        <f>M1347-Table1[[#This Row],[Debits]]+Table1[[#This Row],[Income]]</f>
        <v>1900</v>
      </c>
      <c r="N1348" t="str">
        <f>IF(AND(Table1[[#This Row],[Category]]="pay",NOT(Table1[[#This Row],[Debits]]=0)),"bad","good")</f>
        <v>good</v>
      </c>
      <c r="O1348" s="5"/>
    </row>
    <row r="1349" spans="6:15" x14ac:dyDescent="0.3">
      <c r="F1349">
        <f>MONTH(Table1[[#This Row],[Date  (DMY)]])</f>
        <v>1</v>
      </c>
      <c r="G1349" s="2"/>
      <c r="L1349" s="5"/>
      <c r="M1349" s="4">
        <f>M1348-Table1[[#This Row],[Debits]]+Table1[[#This Row],[Income]]</f>
        <v>1900</v>
      </c>
      <c r="N1349" t="str">
        <f>IF(AND(Table1[[#This Row],[Category]]="pay",NOT(Table1[[#This Row],[Debits]]=0)),"bad","good")</f>
        <v>good</v>
      </c>
      <c r="O1349" s="5"/>
    </row>
    <row r="1350" spans="6:15" x14ac:dyDescent="0.3">
      <c r="F1350">
        <f>MONTH(Table1[[#This Row],[Date  (DMY)]])</f>
        <v>1</v>
      </c>
      <c r="G1350" s="2"/>
      <c r="L1350" s="5"/>
      <c r="M1350" s="4">
        <f>M1349-Table1[[#This Row],[Debits]]+Table1[[#This Row],[Income]]</f>
        <v>1900</v>
      </c>
      <c r="N1350" t="str">
        <f>IF(AND(Table1[[#This Row],[Category]]="pay",NOT(Table1[[#This Row],[Debits]]=0)),"bad","good")</f>
        <v>good</v>
      </c>
      <c r="O1350" s="5"/>
    </row>
    <row r="1351" spans="6:15" x14ac:dyDescent="0.3">
      <c r="F1351">
        <f>MONTH(Table1[[#This Row],[Date  (DMY)]])</f>
        <v>1</v>
      </c>
      <c r="G1351" s="2"/>
      <c r="L1351" s="5"/>
      <c r="M1351" s="4">
        <f>M1350-Table1[[#This Row],[Debits]]+Table1[[#This Row],[Income]]</f>
        <v>1900</v>
      </c>
      <c r="N1351" t="str">
        <f>IF(AND(Table1[[#This Row],[Category]]="pay",NOT(Table1[[#This Row],[Debits]]=0)),"bad","good")</f>
        <v>good</v>
      </c>
      <c r="O1351" s="5"/>
    </row>
    <row r="1352" spans="6:15" x14ac:dyDescent="0.3">
      <c r="F1352">
        <f>MONTH(Table1[[#This Row],[Date  (DMY)]])</f>
        <v>1</v>
      </c>
      <c r="G1352" s="2"/>
      <c r="L1352" s="5"/>
      <c r="M1352" s="4">
        <f>M1351-Table1[[#This Row],[Debits]]+Table1[[#This Row],[Income]]</f>
        <v>1900</v>
      </c>
      <c r="N1352" t="str">
        <f>IF(AND(Table1[[#This Row],[Category]]="pay",NOT(Table1[[#This Row],[Debits]]=0)),"bad","good")</f>
        <v>good</v>
      </c>
      <c r="O1352" s="5"/>
    </row>
    <row r="1353" spans="6:15" x14ac:dyDescent="0.3">
      <c r="F1353">
        <f>MONTH(Table1[[#This Row],[Date  (DMY)]])</f>
        <v>1</v>
      </c>
      <c r="G1353" s="2"/>
      <c r="L1353" s="5"/>
      <c r="M1353" s="4">
        <f>M1352-Table1[[#This Row],[Debits]]+Table1[[#This Row],[Income]]</f>
        <v>1900</v>
      </c>
      <c r="N1353" t="str">
        <f>IF(AND(Table1[[#This Row],[Category]]="pay",NOT(Table1[[#This Row],[Debits]]=0)),"bad","good")</f>
        <v>good</v>
      </c>
      <c r="O1353" s="5"/>
    </row>
    <row r="1354" spans="6:15" x14ac:dyDescent="0.3">
      <c r="F1354">
        <f>MONTH(Table1[[#This Row],[Date  (DMY)]])</f>
        <v>1</v>
      </c>
      <c r="G1354" s="2"/>
      <c r="L1354" s="5"/>
      <c r="M1354" s="4">
        <f>M1353-Table1[[#This Row],[Debits]]+Table1[[#This Row],[Income]]</f>
        <v>1900</v>
      </c>
      <c r="N1354" t="str">
        <f>IF(AND(Table1[[#This Row],[Category]]="pay",NOT(Table1[[#This Row],[Debits]]=0)),"bad","good")</f>
        <v>good</v>
      </c>
      <c r="O1354" s="5"/>
    </row>
    <row r="1355" spans="6:15" x14ac:dyDescent="0.3">
      <c r="F1355">
        <f>MONTH(Table1[[#This Row],[Date  (DMY)]])</f>
        <v>1</v>
      </c>
      <c r="G1355" s="2"/>
      <c r="L1355" s="5"/>
      <c r="M1355" s="4">
        <f>M1354-Table1[[#This Row],[Debits]]+Table1[[#This Row],[Income]]</f>
        <v>1900</v>
      </c>
      <c r="N1355" t="str">
        <f>IF(AND(Table1[[#This Row],[Category]]="pay",NOT(Table1[[#This Row],[Debits]]=0)),"bad","good")</f>
        <v>good</v>
      </c>
      <c r="O1355" s="5"/>
    </row>
    <row r="1356" spans="6:15" x14ac:dyDescent="0.3">
      <c r="F1356">
        <f>MONTH(Table1[[#This Row],[Date  (DMY)]])</f>
        <v>1</v>
      </c>
      <c r="G1356" s="2"/>
      <c r="L1356" s="5"/>
      <c r="M1356" s="4">
        <f>M1355-Table1[[#This Row],[Debits]]+Table1[[#This Row],[Income]]</f>
        <v>1900</v>
      </c>
      <c r="N1356" t="str">
        <f>IF(AND(Table1[[#This Row],[Category]]="pay",NOT(Table1[[#This Row],[Debits]]=0)),"bad","good")</f>
        <v>good</v>
      </c>
      <c r="O1356" s="5"/>
    </row>
    <row r="1357" spans="6:15" x14ac:dyDescent="0.3">
      <c r="F1357">
        <f>MONTH(Table1[[#This Row],[Date  (DMY)]])</f>
        <v>1</v>
      </c>
      <c r="G1357" s="2"/>
      <c r="L1357" s="5"/>
      <c r="M1357" s="4">
        <f>M1356-Table1[[#This Row],[Debits]]+Table1[[#This Row],[Income]]</f>
        <v>1900</v>
      </c>
      <c r="N1357" t="str">
        <f>IF(AND(Table1[[#This Row],[Category]]="pay",NOT(Table1[[#This Row],[Debits]]=0)),"bad","good")</f>
        <v>good</v>
      </c>
      <c r="O1357" s="5"/>
    </row>
    <row r="1358" spans="6:15" x14ac:dyDescent="0.3">
      <c r="F1358">
        <f>MONTH(Table1[[#This Row],[Date  (DMY)]])</f>
        <v>1</v>
      </c>
      <c r="G1358" s="2"/>
      <c r="L1358" s="5"/>
      <c r="M1358" s="4">
        <f>M1357-Table1[[#This Row],[Debits]]+Table1[[#This Row],[Income]]</f>
        <v>1900</v>
      </c>
      <c r="N1358" t="str">
        <f>IF(AND(Table1[[#This Row],[Category]]="pay",NOT(Table1[[#This Row],[Debits]]=0)),"bad","good")</f>
        <v>good</v>
      </c>
      <c r="O1358" s="5"/>
    </row>
    <row r="1359" spans="6:15" x14ac:dyDescent="0.3">
      <c r="F1359">
        <f>MONTH(Table1[[#This Row],[Date  (DMY)]])</f>
        <v>1</v>
      </c>
      <c r="G1359" s="2"/>
      <c r="L1359" s="5"/>
      <c r="M1359" s="4">
        <f>M1358-Table1[[#This Row],[Debits]]+Table1[[#This Row],[Income]]</f>
        <v>1900</v>
      </c>
      <c r="N1359" t="str">
        <f>IF(AND(Table1[[#This Row],[Category]]="pay",NOT(Table1[[#This Row],[Debits]]=0)),"bad","good")</f>
        <v>good</v>
      </c>
      <c r="O1359" s="5"/>
    </row>
    <row r="1360" spans="6:15" x14ac:dyDescent="0.3">
      <c r="F1360">
        <f>MONTH(Table1[[#This Row],[Date  (DMY)]])</f>
        <v>1</v>
      </c>
      <c r="G1360" s="2"/>
      <c r="L1360" s="5"/>
      <c r="M1360" s="4">
        <f>M1359-Table1[[#This Row],[Debits]]+Table1[[#This Row],[Income]]</f>
        <v>1900</v>
      </c>
      <c r="N1360" t="str">
        <f>IF(AND(Table1[[#This Row],[Category]]="pay",NOT(Table1[[#This Row],[Debits]]=0)),"bad","good")</f>
        <v>good</v>
      </c>
      <c r="O1360" s="5"/>
    </row>
    <row r="1361" spans="6:15" x14ac:dyDescent="0.3">
      <c r="F1361">
        <f>MONTH(Table1[[#This Row],[Date  (DMY)]])</f>
        <v>1</v>
      </c>
      <c r="G1361" s="2"/>
      <c r="L1361" s="5"/>
      <c r="M1361" s="4">
        <f>M1360-Table1[[#This Row],[Debits]]+Table1[[#This Row],[Income]]</f>
        <v>1900</v>
      </c>
      <c r="N1361" t="str">
        <f>IF(AND(Table1[[#This Row],[Category]]="pay",NOT(Table1[[#This Row],[Debits]]=0)),"bad","good")</f>
        <v>good</v>
      </c>
      <c r="O1361" s="5"/>
    </row>
    <row r="1362" spans="6:15" x14ac:dyDescent="0.3">
      <c r="F1362">
        <f>MONTH(Table1[[#This Row],[Date  (DMY)]])</f>
        <v>1</v>
      </c>
      <c r="G1362" s="2"/>
      <c r="L1362" s="5"/>
      <c r="M1362" s="4">
        <f>M1361-Table1[[#This Row],[Debits]]+Table1[[#This Row],[Income]]</f>
        <v>1900</v>
      </c>
      <c r="N1362" t="str">
        <f>IF(AND(Table1[[#This Row],[Category]]="pay",NOT(Table1[[#This Row],[Debits]]=0)),"bad","good")</f>
        <v>good</v>
      </c>
      <c r="O1362" s="5"/>
    </row>
    <row r="1363" spans="6:15" x14ac:dyDescent="0.3">
      <c r="F1363">
        <f>MONTH(Table1[[#This Row],[Date  (DMY)]])</f>
        <v>1</v>
      </c>
      <c r="G1363" s="2"/>
      <c r="L1363" s="5"/>
      <c r="M1363" s="4">
        <f>M1362-Table1[[#This Row],[Debits]]+Table1[[#This Row],[Income]]</f>
        <v>1900</v>
      </c>
      <c r="N1363" t="str">
        <f>IF(AND(Table1[[#This Row],[Category]]="pay",NOT(Table1[[#This Row],[Debits]]=0)),"bad","good")</f>
        <v>good</v>
      </c>
      <c r="O1363" s="5"/>
    </row>
    <row r="1364" spans="6:15" x14ac:dyDescent="0.3">
      <c r="F1364">
        <f>MONTH(Table1[[#This Row],[Date  (DMY)]])</f>
        <v>1</v>
      </c>
      <c r="G1364" s="2"/>
      <c r="L1364" s="5"/>
      <c r="M1364" s="4">
        <f>M1363-Table1[[#This Row],[Debits]]+Table1[[#This Row],[Income]]</f>
        <v>1900</v>
      </c>
      <c r="N1364" t="str">
        <f>IF(AND(Table1[[#This Row],[Category]]="pay",NOT(Table1[[#This Row],[Debits]]=0)),"bad","good")</f>
        <v>good</v>
      </c>
      <c r="O1364" s="5"/>
    </row>
    <row r="1365" spans="6:15" x14ac:dyDescent="0.3">
      <c r="F1365">
        <f>MONTH(Table1[[#This Row],[Date  (DMY)]])</f>
        <v>1</v>
      </c>
      <c r="G1365" s="2"/>
      <c r="L1365" s="5"/>
      <c r="M1365" s="4">
        <f>M1364-Table1[[#This Row],[Debits]]+Table1[[#This Row],[Income]]</f>
        <v>1900</v>
      </c>
      <c r="N1365" t="str">
        <f>IF(AND(Table1[[#This Row],[Category]]="pay",NOT(Table1[[#This Row],[Debits]]=0)),"bad","good")</f>
        <v>good</v>
      </c>
      <c r="O1365" s="5"/>
    </row>
    <row r="1366" spans="6:15" x14ac:dyDescent="0.3">
      <c r="F1366">
        <f>MONTH(Table1[[#This Row],[Date  (DMY)]])</f>
        <v>1</v>
      </c>
      <c r="G1366" s="2"/>
      <c r="L1366" s="5"/>
      <c r="M1366" s="4">
        <f>M1365-Table1[[#This Row],[Debits]]+Table1[[#This Row],[Income]]</f>
        <v>1900</v>
      </c>
      <c r="N1366" t="str">
        <f>IF(AND(Table1[[#This Row],[Category]]="pay",NOT(Table1[[#This Row],[Debits]]=0)),"bad","good")</f>
        <v>good</v>
      </c>
      <c r="O1366" s="5"/>
    </row>
    <row r="1367" spans="6:15" x14ac:dyDescent="0.3">
      <c r="F1367">
        <f>MONTH(Table1[[#This Row],[Date  (DMY)]])</f>
        <v>1</v>
      </c>
      <c r="G1367" s="2"/>
      <c r="L1367" s="5"/>
      <c r="M1367" s="4">
        <f>M1366-Table1[[#This Row],[Debits]]+Table1[[#This Row],[Income]]</f>
        <v>1900</v>
      </c>
      <c r="N1367" t="str">
        <f>IF(AND(Table1[[#This Row],[Category]]="pay",NOT(Table1[[#This Row],[Debits]]=0)),"bad","good")</f>
        <v>good</v>
      </c>
      <c r="O1367" s="5"/>
    </row>
    <row r="1368" spans="6:15" x14ac:dyDescent="0.3">
      <c r="F1368">
        <f>MONTH(Table1[[#This Row],[Date  (DMY)]])</f>
        <v>1</v>
      </c>
      <c r="G1368" s="2"/>
      <c r="L1368" s="5"/>
      <c r="M1368" s="4">
        <f>M1367-Table1[[#This Row],[Debits]]+Table1[[#This Row],[Income]]</f>
        <v>1900</v>
      </c>
      <c r="N1368" t="str">
        <f>IF(AND(Table1[[#This Row],[Category]]="pay",NOT(Table1[[#This Row],[Debits]]=0)),"bad","good")</f>
        <v>good</v>
      </c>
      <c r="O1368" s="5"/>
    </row>
    <row r="1369" spans="6:15" x14ac:dyDescent="0.3">
      <c r="F1369">
        <f>MONTH(Table1[[#This Row],[Date  (DMY)]])</f>
        <v>1</v>
      </c>
      <c r="G1369" s="2"/>
      <c r="L1369" s="5"/>
      <c r="M1369" s="4">
        <f>M1368-Table1[[#This Row],[Debits]]+Table1[[#This Row],[Income]]</f>
        <v>1900</v>
      </c>
      <c r="N1369" t="str">
        <f>IF(AND(Table1[[#This Row],[Category]]="pay",NOT(Table1[[#This Row],[Debits]]=0)),"bad","good")</f>
        <v>good</v>
      </c>
      <c r="O1369" s="5"/>
    </row>
    <row r="1370" spans="6:15" x14ac:dyDescent="0.3">
      <c r="F1370">
        <f>MONTH(Table1[[#This Row],[Date  (DMY)]])</f>
        <v>1</v>
      </c>
      <c r="G1370" s="2"/>
      <c r="L1370" s="5"/>
      <c r="M1370" s="4">
        <f>M1369-Table1[[#This Row],[Debits]]+Table1[[#This Row],[Income]]</f>
        <v>1900</v>
      </c>
      <c r="N1370" t="str">
        <f>IF(AND(Table1[[#This Row],[Category]]="pay",NOT(Table1[[#This Row],[Debits]]=0)),"bad","good")</f>
        <v>good</v>
      </c>
      <c r="O1370" s="5"/>
    </row>
    <row r="1371" spans="6:15" x14ac:dyDescent="0.3">
      <c r="F1371">
        <f>MONTH(Table1[[#This Row],[Date  (DMY)]])</f>
        <v>1</v>
      </c>
      <c r="G1371" s="2"/>
      <c r="L1371" s="5"/>
      <c r="M1371" s="4">
        <f>M1370-Table1[[#This Row],[Debits]]+Table1[[#This Row],[Income]]</f>
        <v>1900</v>
      </c>
      <c r="N1371" t="str">
        <f>IF(AND(Table1[[#This Row],[Category]]="pay",NOT(Table1[[#This Row],[Debits]]=0)),"bad","good")</f>
        <v>good</v>
      </c>
      <c r="O1371" s="5"/>
    </row>
    <row r="1372" spans="6:15" x14ac:dyDescent="0.3">
      <c r="F1372">
        <f>MONTH(Table1[[#This Row],[Date  (DMY)]])</f>
        <v>1</v>
      </c>
      <c r="G1372" s="2"/>
      <c r="L1372" s="5"/>
      <c r="M1372" s="4">
        <f>M1371-Table1[[#This Row],[Debits]]+Table1[[#This Row],[Income]]</f>
        <v>1900</v>
      </c>
      <c r="N1372" t="str">
        <f>IF(AND(Table1[[#This Row],[Category]]="pay",NOT(Table1[[#This Row],[Debits]]=0)),"bad","good")</f>
        <v>good</v>
      </c>
      <c r="O1372" s="5"/>
    </row>
    <row r="1373" spans="6:15" x14ac:dyDescent="0.3">
      <c r="F1373">
        <f>MONTH(Table1[[#This Row],[Date  (DMY)]])</f>
        <v>1</v>
      </c>
      <c r="G1373" s="2"/>
      <c r="L1373" s="5"/>
      <c r="M1373" s="4">
        <f>M1372-Table1[[#This Row],[Debits]]+Table1[[#This Row],[Income]]</f>
        <v>1900</v>
      </c>
      <c r="N1373" t="str">
        <f>IF(AND(Table1[[#This Row],[Category]]="pay",NOT(Table1[[#This Row],[Debits]]=0)),"bad","good")</f>
        <v>good</v>
      </c>
      <c r="O1373" s="5"/>
    </row>
    <row r="1374" spans="6:15" x14ac:dyDescent="0.3">
      <c r="F1374">
        <f>MONTH(Table1[[#This Row],[Date  (DMY)]])</f>
        <v>1</v>
      </c>
      <c r="G1374" s="2"/>
      <c r="L1374" s="5"/>
      <c r="M1374" s="4">
        <f>M1373-Table1[[#This Row],[Debits]]+Table1[[#This Row],[Income]]</f>
        <v>1900</v>
      </c>
      <c r="N1374" t="str">
        <f>IF(AND(Table1[[#This Row],[Category]]="pay",NOT(Table1[[#This Row],[Debits]]=0)),"bad","good")</f>
        <v>good</v>
      </c>
      <c r="O1374" s="5"/>
    </row>
    <row r="1375" spans="6:15" x14ac:dyDescent="0.3">
      <c r="F1375">
        <f>MONTH(Table1[[#This Row],[Date  (DMY)]])</f>
        <v>1</v>
      </c>
      <c r="G1375" s="2"/>
      <c r="L1375" s="5"/>
      <c r="M1375" s="4">
        <f>M1374-Table1[[#This Row],[Debits]]+Table1[[#This Row],[Income]]</f>
        <v>1900</v>
      </c>
      <c r="N1375" t="str">
        <f>IF(AND(Table1[[#This Row],[Category]]="pay",NOT(Table1[[#This Row],[Debits]]=0)),"bad","good")</f>
        <v>good</v>
      </c>
      <c r="O1375" s="5"/>
    </row>
    <row r="1376" spans="6:15" x14ac:dyDescent="0.3">
      <c r="F1376">
        <f>MONTH(Table1[[#This Row],[Date  (DMY)]])</f>
        <v>1</v>
      </c>
      <c r="G1376" s="2"/>
      <c r="L1376" s="5"/>
      <c r="M1376" s="4">
        <f>M1375-Table1[[#This Row],[Debits]]+Table1[[#This Row],[Income]]</f>
        <v>1900</v>
      </c>
      <c r="N1376" t="str">
        <f>IF(AND(Table1[[#This Row],[Category]]="pay",NOT(Table1[[#This Row],[Debits]]=0)),"bad","good")</f>
        <v>good</v>
      </c>
      <c r="O1376" s="5"/>
    </row>
    <row r="1377" spans="6:15" x14ac:dyDescent="0.3">
      <c r="F1377">
        <f>MONTH(Table1[[#This Row],[Date  (DMY)]])</f>
        <v>1</v>
      </c>
      <c r="G1377" s="2"/>
      <c r="L1377" s="5"/>
      <c r="M1377" s="4">
        <f>M1376-Table1[[#This Row],[Debits]]+Table1[[#This Row],[Income]]</f>
        <v>1900</v>
      </c>
      <c r="N1377" t="str">
        <f>IF(AND(Table1[[#This Row],[Category]]="pay",NOT(Table1[[#This Row],[Debits]]=0)),"bad","good")</f>
        <v>good</v>
      </c>
      <c r="O1377" s="5"/>
    </row>
    <row r="1378" spans="6:15" x14ac:dyDescent="0.3">
      <c r="F1378">
        <f>MONTH(Table1[[#This Row],[Date  (DMY)]])</f>
        <v>1</v>
      </c>
      <c r="G1378" s="2"/>
      <c r="L1378" s="5"/>
      <c r="M1378" s="4">
        <f>M1377-Table1[[#This Row],[Debits]]+Table1[[#This Row],[Income]]</f>
        <v>1900</v>
      </c>
      <c r="N1378" t="str">
        <f>IF(AND(Table1[[#This Row],[Category]]="pay",NOT(Table1[[#This Row],[Debits]]=0)),"bad","good")</f>
        <v>good</v>
      </c>
      <c r="O1378" s="5"/>
    </row>
    <row r="1379" spans="6:15" x14ac:dyDescent="0.3">
      <c r="F1379">
        <f>MONTH(Table1[[#This Row],[Date  (DMY)]])</f>
        <v>1</v>
      </c>
      <c r="G1379" s="2"/>
      <c r="L1379" s="5"/>
      <c r="M1379" s="4">
        <f>M1378-Table1[[#This Row],[Debits]]+Table1[[#This Row],[Income]]</f>
        <v>1900</v>
      </c>
      <c r="N1379" t="str">
        <f>IF(AND(Table1[[#This Row],[Category]]="pay",NOT(Table1[[#This Row],[Debits]]=0)),"bad","good")</f>
        <v>good</v>
      </c>
      <c r="O1379" s="5"/>
    </row>
    <row r="1380" spans="6:15" x14ac:dyDescent="0.3">
      <c r="F1380">
        <f>MONTH(Table1[[#This Row],[Date  (DMY)]])</f>
        <v>1</v>
      </c>
      <c r="G1380" s="2"/>
      <c r="L1380" s="5"/>
      <c r="M1380" s="4">
        <f>M1379-Table1[[#This Row],[Debits]]+Table1[[#This Row],[Income]]</f>
        <v>1900</v>
      </c>
      <c r="N1380" t="str">
        <f>IF(AND(Table1[[#This Row],[Category]]="pay",NOT(Table1[[#This Row],[Debits]]=0)),"bad","good")</f>
        <v>good</v>
      </c>
      <c r="O1380" s="5"/>
    </row>
    <row r="1381" spans="6:15" x14ac:dyDescent="0.3">
      <c r="F1381">
        <f>MONTH(Table1[[#This Row],[Date  (DMY)]])</f>
        <v>1</v>
      </c>
      <c r="G1381" s="2"/>
      <c r="L1381" s="5"/>
      <c r="M1381" s="4">
        <f>M1380-Table1[[#This Row],[Debits]]+Table1[[#This Row],[Income]]</f>
        <v>1900</v>
      </c>
      <c r="N1381" t="str">
        <f>IF(AND(Table1[[#This Row],[Category]]="pay",NOT(Table1[[#This Row],[Debits]]=0)),"bad","good")</f>
        <v>good</v>
      </c>
      <c r="O1381" s="5"/>
    </row>
    <row r="1382" spans="6:15" x14ac:dyDescent="0.3">
      <c r="F1382">
        <f>MONTH(Table1[[#This Row],[Date  (DMY)]])</f>
        <v>1</v>
      </c>
      <c r="G1382" s="2"/>
      <c r="L1382" s="5"/>
      <c r="M1382" s="4">
        <f>M1381-Table1[[#This Row],[Debits]]+Table1[[#This Row],[Income]]</f>
        <v>1900</v>
      </c>
      <c r="N1382" t="str">
        <f>IF(AND(Table1[[#This Row],[Category]]="pay",NOT(Table1[[#This Row],[Debits]]=0)),"bad","good")</f>
        <v>good</v>
      </c>
      <c r="O1382" s="5"/>
    </row>
    <row r="1383" spans="6:15" x14ac:dyDescent="0.3">
      <c r="F1383">
        <f>MONTH(Table1[[#This Row],[Date  (DMY)]])</f>
        <v>1</v>
      </c>
      <c r="G1383" s="2"/>
      <c r="L1383" s="5"/>
      <c r="M1383" s="4">
        <f>M1382-Table1[[#This Row],[Debits]]+Table1[[#This Row],[Income]]</f>
        <v>1900</v>
      </c>
      <c r="N1383" t="str">
        <f>IF(AND(Table1[[#This Row],[Category]]="pay",NOT(Table1[[#This Row],[Debits]]=0)),"bad","good")</f>
        <v>good</v>
      </c>
      <c r="O1383" s="5"/>
    </row>
    <row r="1384" spans="6:15" x14ac:dyDescent="0.3">
      <c r="F1384">
        <f>MONTH(Table1[[#This Row],[Date  (DMY)]])</f>
        <v>1</v>
      </c>
      <c r="G1384" s="2"/>
      <c r="L1384" s="5"/>
      <c r="M1384" s="4">
        <f>M1383-Table1[[#This Row],[Debits]]+Table1[[#This Row],[Income]]</f>
        <v>1900</v>
      </c>
      <c r="N1384" t="str">
        <f>IF(AND(Table1[[#This Row],[Category]]="pay",NOT(Table1[[#This Row],[Debits]]=0)),"bad","good")</f>
        <v>good</v>
      </c>
      <c r="O1384" s="5"/>
    </row>
    <row r="1385" spans="6:15" x14ac:dyDescent="0.3">
      <c r="F1385">
        <f>MONTH(Table1[[#This Row],[Date  (DMY)]])</f>
        <v>1</v>
      </c>
      <c r="G1385" s="2"/>
      <c r="L1385" s="5"/>
      <c r="M1385" s="4">
        <f>M1384-Table1[[#This Row],[Debits]]+Table1[[#This Row],[Income]]</f>
        <v>1900</v>
      </c>
      <c r="N1385" t="str">
        <f>IF(AND(Table1[[#This Row],[Category]]="pay",NOT(Table1[[#This Row],[Debits]]=0)),"bad","good")</f>
        <v>good</v>
      </c>
      <c r="O1385" s="5"/>
    </row>
    <row r="1386" spans="6:15" x14ac:dyDescent="0.3">
      <c r="F1386">
        <f>MONTH(Table1[[#This Row],[Date  (DMY)]])</f>
        <v>1</v>
      </c>
      <c r="G1386" s="2"/>
      <c r="L1386" s="5"/>
      <c r="M1386" s="4">
        <f>M1385-Table1[[#This Row],[Debits]]+Table1[[#This Row],[Income]]</f>
        <v>1900</v>
      </c>
      <c r="N1386" t="str">
        <f>IF(AND(Table1[[#This Row],[Category]]="pay",NOT(Table1[[#This Row],[Debits]]=0)),"bad","good")</f>
        <v>good</v>
      </c>
      <c r="O1386" s="5"/>
    </row>
    <row r="1387" spans="6:15" x14ac:dyDescent="0.3">
      <c r="F1387">
        <f>MONTH(Table1[[#This Row],[Date  (DMY)]])</f>
        <v>1</v>
      </c>
      <c r="G1387" s="2"/>
      <c r="L1387" s="5"/>
      <c r="M1387" s="4">
        <f>M1386-Table1[[#This Row],[Debits]]+Table1[[#This Row],[Income]]</f>
        <v>1900</v>
      </c>
      <c r="N1387" t="str">
        <f>IF(AND(Table1[[#This Row],[Category]]="pay",NOT(Table1[[#This Row],[Debits]]=0)),"bad","good")</f>
        <v>good</v>
      </c>
      <c r="O1387" s="5"/>
    </row>
    <row r="1388" spans="6:15" x14ac:dyDescent="0.3">
      <c r="F1388">
        <f>MONTH(Table1[[#This Row],[Date  (DMY)]])</f>
        <v>1</v>
      </c>
      <c r="G1388" s="2"/>
      <c r="L1388" s="5"/>
      <c r="M1388" s="4">
        <f>M1387-Table1[[#This Row],[Debits]]+Table1[[#This Row],[Income]]</f>
        <v>1900</v>
      </c>
      <c r="N1388" t="str">
        <f>IF(AND(Table1[[#This Row],[Category]]="pay",NOT(Table1[[#This Row],[Debits]]=0)),"bad","good")</f>
        <v>good</v>
      </c>
      <c r="O1388" s="5"/>
    </row>
    <row r="1389" spans="6:15" x14ac:dyDescent="0.3">
      <c r="F1389">
        <f>MONTH(Table1[[#This Row],[Date  (DMY)]])</f>
        <v>1</v>
      </c>
      <c r="G1389" s="2"/>
      <c r="L1389" s="5"/>
      <c r="M1389" s="4">
        <f>M1388-Table1[[#This Row],[Debits]]+Table1[[#This Row],[Income]]</f>
        <v>1900</v>
      </c>
      <c r="N1389" t="str">
        <f>IF(AND(Table1[[#This Row],[Category]]="pay",NOT(Table1[[#This Row],[Debits]]=0)),"bad","good")</f>
        <v>good</v>
      </c>
      <c r="O1389" s="5"/>
    </row>
    <row r="1390" spans="6:15" x14ac:dyDescent="0.3">
      <c r="F1390">
        <f>MONTH(Table1[[#This Row],[Date  (DMY)]])</f>
        <v>1</v>
      </c>
      <c r="G1390" s="2"/>
      <c r="L1390" s="5"/>
      <c r="M1390" s="4">
        <f>M1389-Table1[[#This Row],[Debits]]+Table1[[#This Row],[Income]]</f>
        <v>1900</v>
      </c>
      <c r="N1390" t="str">
        <f>IF(AND(Table1[[#This Row],[Category]]="pay",NOT(Table1[[#This Row],[Debits]]=0)),"bad","good")</f>
        <v>good</v>
      </c>
      <c r="O1390" s="5"/>
    </row>
    <row r="1391" spans="6:15" x14ac:dyDescent="0.3">
      <c r="F1391">
        <f>MONTH(Table1[[#This Row],[Date  (DMY)]])</f>
        <v>1</v>
      </c>
      <c r="G1391" s="2"/>
      <c r="L1391" s="5"/>
      <c r="M1391" s="4">
        <f>M1390-Table1[[#This Row],[Debits]]+Table1[[#This Row],[Income]]</f>
        <v>1900</v>
      </c>
      <c r="N1391" t="str">
        <f>IF(AND(Table1[[#This Row],[Category]]="pay",NOT(Table1[[#This Row],[Debits]]=0)),"bad","good")</f>
        <v>good</v>
      </c>
      <c r="O1391" s="5"/>
    </row>
    <row r="1392" spans="6:15" x14ac:dyDescent="0.3">
      <c r="F1392">
        <f>MONTH(Table1[[#This Row],[Date  (DMY)]])</f>
        <v>1</v>
      </c>
      <c r="G1392" s="2"/>
      <c r="L1392" s="5"/>
      <c r="M1392" s="4">
        <f>M1391-Table1[[#This Row],[Debits]]+Table1[[#This Row],[Income]]</f>
        <v>1900</v>
      </c>
      <c r="N1392" t="str">
        <f>IF(AND(Table1[[#This Row],[Category]]="pay",NOT(Table1[[#This Row],[Debits]]=0)),"bad","good")</f>
        <v>good</v>
      </c>
      <c r="O1392" s="5"/>
    </row>
    <row r="1393" spans="6:15" x14ac:dyDescent="0.3">
      <c r="F1393">
        <f>MONTH(Table1[[#This Row],[Date  (DMY)]])</f>
        <v>1</v>
      </c>
      <c r="G1393" s="2"/>
      <c r="L1393" s="5"/>
      <c r="M1393" s="4">
        <f>M1392-Table1[[#This Row],[Debits]]+Table1[[#This Row],[Income]]</f>
        <v>1900</v>
      </c>
      <c r="N1393" t="str">
        <f>IF(AND(Table1[[#This Row],[Category]]="pay",NOT(Table1[[#This Row],[Debits]]=0)),"bad","good")</f>
        <v>good</v>
      </c>
      <c r="O1393" s="5"/>
    </row>
    <row r="1394" spans="6:15" x14ac:dyDescent="0.3">
      <c r="F1394">
        <f>MONTH(Table1[[#This Row],[Date  (DMY)]])</f>
        <v>1</v>
      </c>
      <c r="G1394" s="2"/>
      <c r="L1394" s="5"/>
      <c r="M1394" s="4">
        <f>M1393-Table1[[#This Row],[Debits]]+Table1[[#This Row],[Income]]</f>
        <v>1900</v>
      </c>
      <c r="N1394" t="str">
        <f>IF(AND(Table1[[#This Row],[Category]]="pay",NOT(Table1[[#This Row],[Debits]]=0)),"bad","good")</f>
        <v>good</v>
      </c>
      <c r="O1394" s="5"/>
    </row>
    <row r="1395" spans="6:15" x14ac:dyDescent="0.3">
      <c r="F1395">
        <f>MONTH(Table1[[#This Row],[Date  (DMY)]])</f>
        <v>1</v>
      </c>
      <c r="G1395" s="2"/>
      <c r="L1395" s="5"/>
      <c r="M1395" s="4">
        <f>M1394-Table1[[#This Row],[Debits]]+Table1[[#This Row],[Income]]</f>
        <v>1900</v>
      </c>
      <c r="N1395" t="str">
        <f>IF(AND(Table1[[#This Row],[Category]]="pay",NOT(Table1[[#This Row],[Debits]]=0)),"bad","good")</f>
        <v>good</v>
      </c>
      <c r="O1395" s="5"/>
    </row>
    <row r="1396" spans="6:15" x14ac:dyDescent="0.3">
      <c r="F1396">
        <f>MONTH(Table1[[#This Row],[Date  (DMY)]])</f>
        <v>1</v>
      </c>
      <c r="G1396" s="2"/>
      <c r="L1396" s="5"/>
      <c r="M1396" s="4">
        <f>M1395-Table1[[#This Row],[Debits]]+Table1[[#This Row],[Income]]</f>
        <v>1900</v>
      </c>
      <c r="N1396" t="str">
        <f>IF(AND(Table1[[#This Row],[Category]]="pay",NOT(Table1[[#This Row],[Debits]]=0)),"bad","good")</f>
        <v>good</v>
      </c>
      <c r="O1396" s="5"/>
    </row>
    <row r="1397" spans="6:15" x14ac:dyDescent="0.3">
      <c r="F1397">
        <f>MONTH(Table1[[#This Row],[Date  (DMY)]])</f>
        <v>1</v>
      </c>
      <c r="G1397" s="2"/>
      <c r="L1397" s="5"/>
      <c r="M1397" s="4">
        <f>M1396-Table1[[#This Row],[Debits]]+Table1[[#This Row],[Income]]</f>
        <v>1900</v>
      </c>
      <c r="N1397" t="str">
        <f>IF(AND(Table1[[#This Row],[Category]]="pay",NOT(Table1[[#This Row],[Debits]]=0)),"bad","good")</f>
        <v>good</v>
      </c>
      <c r="O1397" s="5"/>
    </row>
    <row r="1398" spans="6:15" x14ac:dyDescent="0.3">
      <c r="F1398">
        <f>MONTH(Table1[[#This Row],[Date  (DMY)]])</f>
        <v>1</v>
      </c>
      <c r="G1398" s="2"/>
      <c r="L1398" s="5"/>
      <c r="M1398" s="4">
        <f>M1397-Table1[[#This Row],[Debits]]+Table1[[#This Row],[Income]]</f>
        <v>1900</v>
      </c>
      <c r="N1398" t="str">
        <f>IF(AND(Table1[[#This Row],[Category]]="pay",NOT(Table1[[#This Row],[Debits]]=0)),"bad","good")</f>
        <v>good</v>
      </c>
      <c r="O1398" s="5"/>
    </row>
    <row r="1399" spans="6:15" x14ac:dyDescent="0.3">
      <c r="F1399">
        <f>MONTH(Table1[[#This Row],[Date  (DMY)]])</f>
        <v>1</v>
      </c>
      <c r="G1399" s="2"/>
      <c r="L1399" s="5"/>
      <c r="M1399" s="4">
        <f>M1398-Table1[[#This Row],[Debits]]+Table1[[#This Row],[Income]]</f>
        <v>1900</v>
      </c>
      <c r="N1399" t="str">
        <f>IF(AND(Table1[[#This Row],[Category]]="pay",NOT(Table1[[#This Row],[Debits]]=0)),"bad","good")</f>
        <v>good</v>
      </c>
      <c r="O1399" s="5"/>
    </row>
    <row r="1400" spans="6:15" x14ac:dyDescent="0.3">
      <c r="F1400">
        <f>MONTH(Table1[[#This Row],[Date  (DMY)]])</f>
        <v>1</v>
      </c>
      <c r="G1400" s="2"/>
      <c r="L1400" s="5"/>
      <c r="M1400" s="4">
        <f>M1399-Table1[[#This Row],[Debits]]+Table1[[#This Row],[Income]]</f>
        <v>1900</v>
      </c>
      <c r="N1400" t="str">
        <f>IF(AND(Table1[[#This Row],[Category]]="pay",NOT(Table1[[#This Row],[Debits]]=0)),"bad","good")</f>
        <v>good</v>
      </c>
      <c r="O1400" s="5"/>
    </row>
    <row r="1401" spans="6:15" x14ac:dyDescent="0.3">
      <c r="F1401">
        <f>MONTH(Table1[[#This Row],[Date  (DMY)]])</f>
        <v>1</v>
      </c>
      <c r="G1401" s="2"/>
      <c r="L1401" s="5"/>
      <c r="M1401" s="4">
        <f>M1400-Table1[[#This Row],[Debits]]+Table1[[#This Row],[Income]]</f>
        <v>1900</v>
      </c>
      <c r="N1401" t="str">
        <f>IF(AND(Table1[[#This Row],[Category]]="pay",NOT(Table1[[#This Row],[Debits]]=0)),"bad","good")</f>
        <v>good</v>
      </c>
      <c r="O1401" s="5"/>
    </row>
    <row r="1402" spans="6:15" x14ac:dyDescent="0.3">
      <c r="F1402">
        <f>MONTH(Table1[[#This Row],[Date  (DMY)]])</f>
        <v>1</v>
      </c>
      <c r="G1402" s="2"/>
      <c r="L1402" s="5"/>
      <c r="M1402" s="4">
        <f>M1401-Table1[[#This Row],[Debits]]+Table1[[#This Row],[Income]]</f>
        <v>1900</v>
      </c>
      <c r="N1402" t="str">
        <f>IF(AND(Table1[[#This Row],[Category]]="pay",NOT(Table1[[#This Row],[Debits]]=0)),"bad","good")</f>
        <v>good</v>
      </c>
      <c r="O1402" s="5"/>
    </row>
    <row r="1403" spans="6:15" x14ac:dyDescent="0.3">
      <c r="F1403">
        <f>MONTH(Table1[[#This Row],[Date  (DMY)]])</f>
        <v>1</v>
      </c>
      <c r="G1403" s="2"/>
      <c r="L1403" s="5"/>
      <c r="M1403" s="4">
        <f>M1402-Table1[[#This Row],[Debits]]+Table1[[#This Row],[Income]]</f>
        <v>1900</v>
      </c>
      <c r="N1403" t="str">
        <f>IF(AND(Table1[[#This Row],[Category]]="pay",NOT(Table1[[#This Row],[Debits]]=0)),"bad","good")</f>
        <v>good</v>
      </c>
      <c r="O1403" s="5"/>
    </row>
    <row r="1404" spans="6:15" x14ac:dyDescent="0.3">
      <c r="F1404">
        <f>MONTH(Table1[[#This Row],[Date  (DMY)]])</f>
        <v>1</v>
      </c>
      <c r="G1404" s="2"/>
      <c r="L1404" s="5"/>
      <c r="M1404" s="4">
        <f>M1403-Table1[[#This Row],[Debits]]+Table1[[#This Row],[Income]]</f>
        <v>1900</v>
      </c>
      <c r="N1404" t="str">
        <f>IF(AND(Table1[[#This Row],[Category]]="pay",NOT(Table1[[#This Row],[Debits]]=0)),"bad","good")</f>
        <v>good</v>
      </c>
      <c r="O1404" s="5"/>
    </row>
    <row r="1405" spans="6:15" x14ac:dyDescent="0.3">
      <c r="F1405">
        <f>MONTH(Table1[[#This Row],[Date  (DMY)]])</f>
        <v>1</v>
      </c>
      <c r="G1405" s="2"/>
      <c r="L1405" s="5"/>
      <c r="M1405" s="4">
        <f>M1404-Table1[[#This Row],[Debits]]+Table1[[#This Row],[Income]]</f>
        <v>1900</v>
      </c>
      <c r="N1405" t="str">
        <f>IF(AND(Table1[[#This Row],[Category]]="pay",NOT(Table1[[#This Row],[Debits]]=0)),"bad","good")</f>
        <v>good</v>
      </c>
      <c r="O1405" s="5"/>
    </row>
    <row r="1406" spans="6:15" x14ac:dyDescent="0.3">
      <c r="F1406">
        <f>MONTH(Table1[[#This Row],[Date  (DMY)]])</f>
        <v>1</v>
      </c>
      <c r="G1406" s="2"/>
      <c r="L1406" s="5"/>
      <c r="M1406" s="4">
        <f>M1405-Table1[[#This Row],[Debits]]+Table1[[#This Row],[Income]]</f>
        <v>1900</v>
      </c>
      <c r="N1406" t="str">
        <f>IF(AND(Table1[[#This Row],[Category]]="pay",NOT(Table1[[#This Row],[Debits]]=0)),"bad","good")</f>
        <v>good</v>
      </c>
      <c r="O1406" s="5"/>
    </row>
    <row r="1407" spans="6:15" x14ac:dyDescent="0.3">
      <c r="F1407">
        <f>MONTH(Table1[[#This Row],[Date  (DMY)]])</f>
        <v>1</v>
      </c>
      <c r="G1407" s="2"/>
      <c r="L1407" s="5"/>
      <c r="M1407" s="4">
        <f>M1406-Table1[[#This Row],[Debits]]+Table1[[#This Row],[Income]]</f>
        <v>1900</v>
      </c>
      <c r="N1407" t="str">
        <f>IF(AND(Table1[[#This Row],[Category]]="pay",NOT(Table1[[#This Row],[Debits]]=0)),"bad","good")</f>
        <v>good</v>
      </c>
      <c r="O1407" s="5"/>
    </row>
    <row r="1408" spans="6:15" x14ac:dyDescent="0.3">
      <c r="F1408">
        <f>MONTH(Table1[[#This Row],[Date  (DMY)]])</f>
        <v>1</v>
      </c>
      <c r="G1408" s="2"/>
      <c r="L1408" s="5"/>
      <c r="M1408" s="4">
        <f>M1407-Table1[[#This Row],[Debits]]+Table1[[#This Row],[Income]]</f>
        <v>1900</v>
      </c>
      <c r="N1408" t="str">
        <f>IF(AND(Table1[[#This Row],[Category]]="pay",NOT(Table1[[#This Row],[Debits]]=0)),"bad","good")</f>
        <v>good</v>
      </c>
      <c r="O1408" s="5"/>
    </row>
    <row r="1409" spans="6:15" x14ac:dyDescent="0.3">
      <c r="F1409">
        <f>MONTH(Table1[[#This Row],[Date  (DMY)]])</f>
        <v>1</v>
      </c>
      <c r="G1409" s="2"/>
      <c r="L1409" s="5"/>
      <c r="M1409" s="4">
        <f>M1408-Table1[[#This Row],[Debits]]+Table1[[#This Row],[Income]]</f>
        <v>1900</v>
      </c>
      <c r="N1409" t="str">
        <f>IF(AND(Table1[[#This Row],[Category]]="pay",NOT(Table1[[#This Row],[Debits]]=0)),"bad","good")</f>
        <v>good</v>
      </c>
      <c r="O1409" s="5"/>
    </row>
    <row r="1410" spans="6:15" x14ac:dyDescent="0.3">
      <c r="F1410">
        <f>MONTH(Table1[[#This Row],[Date  (DMY)]])</f>
        <v>1</v>
      </c>
      <c r="G1410" s="2"/>
      <c r="L1410" s="5"/>
      <c r="M1410" s="4">
        <f>M1409-Table1[[#This Row],[Debits]]+Table1[[#This Row],[Income]]</f>
        <v>1900</v>
      </c>
      <c r="N1410" t="str">
        <f>IF(AND(Table1[[#This Row],[Category]]="pay",NOT(Table1[[#This Row],[Debits]]=0)),"bad","good")</f>
        <v>good</v>
      </c>
      <c r="O1410" s="5"/>
    </row>
    <row r="1411" spans="6:15" x14ac:dyDescent="0.3">
      <c r="F1411">
        <f>MONTH(Table1[[#This Row],[Date  (DMY)]])</f>
        <v>1</v>
      </c>
      <c r="G1411" s="2"/>
      <c r="L1411" s="5"/>
      <c r="M1411" s="4">
        <f>M1410-Table1[[#This Row],[Debits]]+Table1[[#This Row],[Income]]</f>
        <v>1900</v>
      </c>
      <c r="N1411" t="str">
        <f>IF(AND(Table1[[#This Row],[Category]]="pay",NOT(Table1[[#This Row],[Debits]]=0)),"bad","good")</f>
        <v>good</v>
      </c>
      <c r="O1411" s="5"/>
    </row>
    <row r="1412" spans="6:15" x14ac:dyDescent="0.3">
      <c r="F1412">
        <f>MONTH(Table1[[#This Row],[Date  (DMY)]])</f>
        <v>1</v>
      </c>
      <c r="G1412" s="2"/>
      <c r="L1412" s="5"/>
      <c r="M1412" s="4">
        <f>M1411-Table1[[#This Row],[Debits]]+Table1[[#This Row],[Income]]</f>
        <v>1900</v>
      </c>
      <c r="N1412" t="str">
        <f>IF(AND(Table1[[#This Row],[Category]]="pay",NOT(Table1[[#This Row],[Debits]]=0)),"bad","good")</f>
        <v>good</v>
      </c>
      <c r="O1412" s="5"/>
    </row>
    <row r="1413" spans="6:15" x14ac:dyDescent="0.3">
      <c r="F1413">
        <f>MONTH(Table1[[#This Row],[Date  (DMY)]])</f>
        <v>1</v>
      </c>
      <c r="G1413" s="2"/>
      <c r="L1413" s="5"/>
      <c r="M1413" s="4">
        <f>M1412-Table1[[#This Row],[Debits]]+Table1[[#This Row],[Income]]</f>
        <v>1900</v>
      </c>
      <c r="N1413" t="str">
        <f>IF(AND(Table1[[#This Row],[Category]]="pay",NOT(Table1[[#This Row],[Debits]]=0)),"bad","good")</f>
        <v>good</v>
      </c>
      <c r="O1413" s="5"/>
    </row>
    <row r="1414" spans="6:15" x14ac:dyDescent="0.3">
      <c r="F1414">
        <f>MONTH(Table1[[#This Row],[Date  (DMY)]])</f>
        <v>1</v>
      </c>
      <c r="G1414" s="2"/>
      <c r="L1414" s="5"/>
      <c r="M1414" s="4">
        <f>M1413-Table1[[#This Row],[Debits]]+Table1[[#This Row],[Income]]</f>
        <v>1900</v>
      </c>
      <c r="N1414" t="str">
        <f>IF(AND(Table1[[#This Row],[Category]]="pay",NOT(Table1[[#This Row],[Debits]]=0)),"bad","good")</f>
        <v>good</v>
      </c>
      <c r="O1414" s="5"/>
    </row>
    <row r="1415" spans="6:15" x14ac:dyDescent="0.3">
      <c r="F1415">
        <f>MONTH(Table1[[#This Row],[Date  (DMY)]])</f>
        <v>1</v>
      </c>
      <c r="G1415" s="2"/>
      <c r="L1415" s="5"/>
      <c r="M1415" s="4">
        <f>M1414-Table1[[#This Row],[Debits]]+Table1[[#This Row],[Income]]</f>
        <v>1900</v>
      </c>
      <c r="N1415" t="str">
        <f>IF(AND(Table1[[#This Row],[Category]]="pay",NOT(Table1[[#This Row],[Debits]]=0)),"bad","good")</f>
        <v>good</v>
      </c>
      <c r="O1415" s="5"/>
    </row>
    <row r="1416" spans="6:15" x14ac:dyDescent="0.3">
      <c r="F1416">
        <f>MONTH(Table1[[#This Row],[Date  (DMY)]])</f>
        <v>1</v>
      </c>
      <c r="G1416" s="2"/>
      <c r="L1416" s="5"/>
      <c r="M1416" s="4">
        <f>M1415-Table1[[#This Row],[Debits]]+Table1[[#This Row],[Income]]</f>
        <v>1900</v>
      </c>
      <c r="N1416" t="str">
        <f>IF(AND(Table1[[#This Row],[Category]]="pay",NOT(Table1[[#This Row],[Debits]]=0)),"bad","good")</f>
        <v>good</v>
      </c>
      <c r="O1416" s="5"/>
    </row>
    <row r="1417" spans="6:15" x14ac:dyDescent="0.3">
      <c r="F1417">
        <f>MONTH(Table1[[#This Row],[Date  (DMY)]])</f>
        <v>1</v>
      </c>
      <c r="G1417" s="2"/>
      <c r="L1417" s="5"/>
      <c r="M1417" s="4">
        <f>M1416-Table1[[#This Row],[Debits]]+Table1[[#This Row],[Income]]</f>
        <v>1900</v>
      </c>
      <c r="N1417" t="str">
        <f>IF(AND(Table1[[#This Row],[Category]]="pay",NOT(Table1[[#This Row],[Debits]]=0)),"bad","good")</f>
        <v>good</v>
      </c>
      <c r="O1417" s="5"/>
    </row>
    <row r="1418" spans="6:15" x14ac:dyDescent="0.3">
      <c r="F1418">
        <f>MONTH(Table1[[#This Row],[Date  (DMY)]])</f>
        <v>1</v>
      </c>
      <c r="G1418" s="2"/>
      <c r="L1418" s="5"/>
      <c r="M1418" s="4">
        <f>M1417-Table1[[#This Row],[Debits]]+Table1[[#This Row],[Income]]</f>
        <v>1900</v>
      </c>
      <c r="N1418" t="str">
        <f>IF(AND(Table1[[#This Row],[Category]]="pay",NOT(Table1[[#This Row],[Debits]]=0)),"bad","good")</f>
        <v>good</v>
      </c>
      <c r="O1418" s="5"/>
    </row>
    <row r="1419" spans="6:15" x14ac:dyDescent="0.3">
      <c r="F1419">
        <f>MONTH(Table1[[#This Row],[Date  (DMY)]])</f>
        <v>1</v>
      </c>
      <c r="G1419" s="2"/>
      <c r="L1419" s="5"/>
      <c r="M1419" s="4">
        <f>M1418-Table1[[#This Row],[Debits]]+Table1[[#This Row],[Income]]</f>
        <v>1900</v>
      </c>
      <c r="N1419" t="str">
        <f>IF(AND(Table1[[#This Row],[Category]]="pay",NOT(Table1[[#This Row],[Debits]]=0)),"bad","good")</f>
        <v>good</v>
      </c>
      <c r="O1419" s="5"/>
    </row>
    <row r="1420" spans="6:15" x14ac:dyDescent="0.3">
      <c r="F1420">
        <f>MONTH(Table1[[#This Row],[Date  (DMY)]])</f>
        <v>1</v>
      </c>
      <c r="G1420" s="2"/>
      <c r="L1420" s="5"/>
      <c r="M1420" s="4">
        <f>M1419-Table1[[#This Row],[Debits]]+Table1[[#This Row],[Income]]</f>
        <v>1900</v>
      </c>
      <c r="N1420" t="str">
        <f>IF(AND(Table1[[#This Row],[Category]]="pay",NOT(Table1[[#This Row],[Debits]]=0)),"bad","good")</f>
        <v>good</v>
      </c>
      <c r="O1420" s="5"/>
    </row>
    <row r="1421" spans="6:15" x14ac:dyDescent="0.3">
      <c r="F1421">
        <f>MONTH(Table1[[#This Row],[Date  (DMY)]])</f>
        <v>1</v>
      </c>
      <c r="G1421" s="2"/>
      <c r="L1421" s="5"/>
      <c r="M1421" s="4">
        <f>M1420-Table1[[#This Row],[Debits]]+Table1[[#This Row],[Income]]</f>
        <v>1900</v>
      </c>
      <c r="N1421" t="str">
        <f>IF(AND(Table1[[#This Row],[Category]]="pay",NOT(Table1[[#This Row],[Debits]]=0)),"bad","good")</f>
        <v>good</v>
      </c>
      <c r="O1421" s="5"/>
    </row>
    <row r="1422" spans="6:15" x14ac:dyDescent="0.3">
      <c r="F1422">
        <f>MONTH(Table1[[#This Row],[Date  (DMY)]])</f>
        <v>1</v>
      </c>
      <c r="G1422" s="2"/>
      <c r="L1422" s="5"/>
      <c r="M1422" s="4">
        <f>M1421-Table1[[#This Row],[Debits]]+Table1[[#This Row],[Income]]</f>
        <v>1900</v>
      </c>
      <c r="N1422" t="str">
        <f>IF(AND(Table1[[#This Row],[Category]]="pay",NOT(Table1[[#This Row],[Debits]]=0)),"bad","good")</f>
        <v>good</v>
      </c>
      <c r="O1422" s="5"/>
    </row>
    <row r="1423" spans="6:15" x14ac:dyDescent="0.3">
      <c r="F1423">
        <f>MONTH(Table1[[#This Row],[Date  (DMY)]])</f>
        <v>1</v>
      </c>
      <c r="G1423" s="2"/>
      <c r="L1423" s="5"/>
      <c r="M1423" s="4">
        <f>M1422-Table1[[#This Row],[Debits]]+Table1[[#This Row],[Income]]</f>
        <v>1900</v>
      </c>
      <c r="N1423" t="str">
        <f>IF(AND(Table1[[#This Row],[Category]]="pay",NOT(Table1[[#This Row],[Debits]]=0)),"bad","good")</f>
        <v>good</v>
      </c>
      <c r="O1423" s="5"/>
    </row>
    <row r="1424" spans="6:15" x14ac:dyDescent="0.3">
      <c r="F1424">
        <f>MONTH(Table1[[#This Row],[Date  (DMY)]])</f>
        <v>1</v>
      </c>
      <c r="G1424" s="2"/>
      <c r="L1424" s="5"/>
      <c r="M1424" s="4">
        <f>M1423-Table1[[#This Row],[Debits]]+Table1[[#This Row],[Income]]</f>
        <v>1900</v>
      </c>
      <c r="N1424" t="str">
        <f>IF(AND(Table1[[#This Row],[Category]]="pay",NOT(Table1[[#This Row],[Debits]]=0)),"bad","good")</f>
        <v>good</v>
      </c>
      <c r="O1424" s="5"/>
    </row>
    <row r="1425" spans="6:15" x14ac:dyDescent="0.3">
      <c r="F1425">
        <f>MONTH(Table1[[#This Row],[Date  (DMY)]])</f>
        <v>1</v>
      </c>
      <c r="G1425" s="2"/>
      <c r="L1425" s="5"/>
      <c r="M1425" s="4">
        <f>M1424-Table1[[#This Row],[Debits]]+Table1[[#This Row],[Income]]</f>
        <v>1900</v>
      </c>
      <c r="N1425" t="str">
        <f>IF(AND(Table1[[#This Row],[Category]]="pay",NOT(Table1[[#This Row],[Debits]]=0)),"bad","good")</f>
        <v>good</v>
      </c>
      <c r="O1425" s="5"/>
    </row>
    <row r="1426" spans="6:15" x14ac:dyDescent="0.3">
      <c r="F1426">
        <f>MONTH(Table1[[#This Row],[Date  (DMY)]])</f>
        <v>1</v>
      </c>
      <c r="G1426" s="2"/>
      <c r="L1426" s="5"/>
      <c r="M1426" s="4">
        <f>M1425-Table1[[#This Row],[Debits]]+Table1[[#This Row],[Income]]</f>
        <v>1900</v>
      </c>
      <c r="N1426" t="str">
        <f>IF(AND(Table1[[#This Row],[Category]]="pay",NOT(Table1[[#This Row],[Debits]]=0)),"bad","good")</f>
        <v>good</v>
      </c>
      <c r="O1426" s="5"/>
    </row>
    <row r="1427" spans="6:15" x14ac:dyDescent="0.3">
      <c r="F1427">
        <f>MONTH(Table1[[#This Row],[Date  (DMY)]])</f>
        <v>1</v>
      </c>
      <c r="G1427" s="2"/>
      <c r="L1427" s="5"/>
      <c r="M1427" s="4">
        <f>M1426-Table1[[#This Row],[Debits]]+Table1[[#This Row],[Income]]</f>
        <v>1900</v>
      </c>
      <c r="N1427" t="str">
        <f>IF(AND(Table1[[#This Row],[Category]]="pay",NOT(Table1[[#This Row],[Debits]]=0)),"bad","good")</f>
        <v>good</v>
      </c>
      <c r="O1427" s="5"/>
    </row>
    <row r="1428" spans="6:15" x14ac:dyDescent="0.3">
      <c r="F1428">
        <f>MONTH(Table1[[#This Row],[Date  (DMY)]])</f>
        <v>1</v>
      </c>
      <c r="G1428" s="2"/>
      <c r="L1428" s="5"/>
      <c r="M1428" s="4">
        <f>M1427-Table1[[#This Row],[Debits]]+Table1[[#This Row],[Income]]</f>
        <v>1900</v>
      </c>
      <c r="N1428" t="str">
        <f>IF(AND(Table1[[#This Row],[Category]]="pay",NOT(Table1[[#This Row],[Debits]]=0)),"bad","good")</f>
        <v>good</v>
      </c>
      <c r="O1428" s="5"/>
    </row>
    <row r="1429" spans="6:15" x14ac:dyDescent="0.3">
      <c r="F1429">
        <f>MONTH(Table1[[#This Row],[Date  (DMY)]])</f>
        <v>1</v>
      </c>
      <c r="G1429" s="2"/>
      <c r="L1429" s="5"/>
      <c r="M1429" s="4">
        <f>M1428-Table1[[#This Row],[Debits]]+Table1[[#This Row],[Income]]</f>
        <v>1900</v>
      </c>
      <c r="N1429" t="str">
        <f>IF(AND(Table1[[#This Row],[Category]]="pay",NOT(Table1[[#This Row],[Debits]]=0)),"bad","good")</f>
        <v>good</v>
      </c>
      <c r="O1429" s="5"/>
    </row>
    <row r="1430" spans="6:15" x14ac:dyDescent="0.3">
      <c r="F1430">
        <f>MONTH(Table1[[#This Row],[Date  (DMY)]])</f>
        <v>1</v>
      </c>
      <c r="G1430" s="2"/>
      <c r="L1430" s="5"/>
      <c r="M1430" s="4">
        <f>M1429-Table1[[#This Row],[Debits]]+Table1[[#This Row],[Income]]</f>
        <v>1900</v>
      </c>
      <c r="N1430" t="str">
        <f>IF(AND(Table1[[#This Row],[Category]]="pay",NOT(Table1[[#This Row],[Debits]]=0)),"bad","good")</f>
        <v>good</v>
      </c>
      <c r="O1430" s="5"/>
    </row>
    <row r="1431" spans="6:15" x14ac:dyDescent="0.3">
      <c r="F1431">
        <f>MONTH(Table1[[#This Row],[Date  (DMY)]])</f>
        <v>1</v>
      </c>
      <c r="G1431" s="2"/>
      <c r="L1431" s="5"/>
      <c r="M1431" s="4">
        <f>M1430-Table1[[#This Row],[Debits]]+Table1[[#This Row],[Income]]</f>
        <v>1900</v>
      </c>
      <c r="N1431" t="str">
        <f>IF(AND(Table1[[#This Row],[Category]]="pay",NOT(Table1[[#This Row],[Debits]]=0)),"bad","good")</f>
        <v>good</v>
      </c>
      <c r="O1431" s="5"/>
    </row>
    <row r="1432" spans="6:15" x14ac:dyDescent="0.3">
      <c r="F1432">
        <f>MONTH(Table1[[#This Row],[Date  (DMY)]])</f>
        <v>1</v>
      </c>
      <c r="G1432" s="2"/>
      <c r="L1432" s="5"/>
      <c r="M1432" s="4">
        <f>M1431-Table1[[#This Row],[Debits]]+Table1[[#This Row],[Income]]</f>
        <v>1900</v>
      </c>
      <c r="N1432" t="str">
        <f>IF(AND(Table1[[#This Row],[Category]]="pay",NOT(Table1[[#This Row],[Debits]]=0)),"bad","good")</f>
        <v>good</v>
      </c>
      <c r="O1432" s="5"/>
    </row>
    <row r="1433" spans="6:15" x14ac:dyDescent="0.3">
      <c r="F1433">
        <f>MONTH(Table1[[#This Row],[Date  (DMY)]])</f>
        <v>1</v>
      </c>
      <c r="G1433" s="2"/>
      <c r="L1433" s="5"/>
      <c r="M1433" s="4">
        <f>M1432-Table1[[#This Row],[Debits]]+Table1[[#This Row],[Income]]</f>
        <v>1900</v>
      </c>
      <c r="N1433" t="str">
        <f>IF(AND(Table1[[#This Row],[Category]]="pay",NOT(Table1[[#This Row],[Debits]]=0)),"bad","good")</f>
        <v>good</v>
      </c>
      <c r="O1433" s="5"/>
    </row>
    <row r="1434" spans="6:15" x14ac:dyDescent="0.3">
      <c r="F1434">
        <f>MONTH(Table1[[#This Row],[Date  (DMY)]])</f>
        <v>1</v>
      </c>
      <c r="G1434" s="2"/>
      <c r="L1434" s="5"/>
      <c r="M1434" s="4">
        <f>M1433-Table1[[#This Row],[Debits]]+Table1[[#This Row],[Income]]</f>
        <v>1900</v>
      </c>
      <c r="N1434" t="str">
        <f>IF(AND(Table1[[#This Row],[Category]]="pay",NOT(Table1[[#This Row],[Debits]]=0)),"bad","good")</f>
        <v>good</v>
      </c>
      <c r="O1434" s="5"/>
    </row>
    <row r="1435" spans="6:15" x14ac:dyDescent="0.3">
      <c r="F1435">
        <f>MONTH(Table1[[#This Row],[Date  (DMY)]])</f>
        <v>1</v>
      </c>
      <c r="G1435" s="2"/>
      <c r="L1435" s="5"/>
      <c r="M1435" s="4">
        <f>M1434-Table1[[#This Row],[Debits]]+Table1[[#This Row],[Income]]</f>
        <v>1900</v>
      </c>
      <c r="N1435" t="str">
        <f>IF(AND(Table1[[#This Row],[Category]]="pay",NOT(Table1[[#This Row],[Debits]]=0)),"bad","good")</f>
        <v>good</v>
      </c>
      <c r="O1435" s="5"/>
    </row>
    <row r="1436" spans="6:15" x14ac:dyDescent="0.3">
      <c r="F1436">
        <f>MONTH(Table1[[#This Row],[Date  (DMY)]])</f>
        <v>1</v>
      </c>
      <c r="G1436" s="2"/>
      <c r="L1436" s="5"/>
      <c r="M1436" s="4">
        <f>M1435-Table1[[#This Row],[Debits]]+Table1[[#This Row],[Income]]</f>
        <v>1900</v>
      </c>
      <c r="N1436" t="str">
        <f>IF(AND(Table1[[#This Row],[Category]]="pay",NOT(Table1[[#This Row],[Debits]]=0)),"bad","good")</f>
        <v>good</v>
      </c>
      <c r="O1436" s="5"/>
    </row>
    <row r="1437" spans="6:15" x14ac:dyDescent="0.3">
      <c r="F1437">
        <f>MONTH(Table1[[#This Row],[Date  (DMY)]])</f>
        <v>1</v>
      </c>
      <c r="G1437" s="2"/>
      <c r="L1437" s="5"/>
      <c r="M1437" s="4">
        <f>M1436-Table1[[#This Row],[Debits]]+Table1[[#This Row],[Income]]</f>
        <v>1900</v>
      </c>
      <c r="N1437" t="str">
        <f>IF(AND(Table1[[#This Row],[Category]]="pay",NOT(Table1[[#This Row],[Debits]]=0)),"bad","good")</f>
        <v>good</v>
      </c>
      <c r="O1437" s="5"/>
    </row>
    <row r="1438" spans="6:15" x14ac:dyDescent="0.3">
      <c r="F1438">
        <f>MONTH(Table1[[#This Row],[Date  (DMY)]])</f>
        <v>1</v>
      </c>
      <c r="G1438" s="2"/>
      <c r="L1438" s="5"/>
      <c r="M1438" s="4">
        <f>M1437-Table1[[#This Row],[Debits]]+Table1[[#This Row],[Income]]</f>
        <v>1900</v>
      </c>
      <c r="N1438" t="str">
        <f>IF(AND(Table1[[#This Row],[Category]]="pay",NOT(Table1[[#This Row],[Debits]]=0)),"bad","good")</f>
        <v>good</v>
      </c>
      <c r="O1438" s="5"/>
    </row>
    <row r="1439" spans="6:15" x14ac:dyDescent="0.3">
      <c r="F1439">
        <f>MONTH(Table1[[#This Row],[Date  (DMY)]])</f>
        <v>1</v>
      </c>
      <c r="G1439" s="2"/>
      <c r="L1439" s="5"/>
      <c r="M1439" s="4">
        <f>M1438-Table1[[#This Row],[Debits]]+Table1[[#This Row],[Income]]</f>
        <v>1900</v>
      </c>
      <c r="N1439" t="str">
        <f>IF(AND(Table1[[#This Row],[Category]]="pay",NOT(Table1[[#This Row],[Debits]]=0)),"bad","good")</f>
        <v>good</v>
      </c>
      <c r="O1439" s="5"/>
    </row>
    <row r="1440" spans="6:15" x14ac:dyDescent="0.3">
      <c r="F1440">
        <f>MONTH(Table1[[#This Row],[Date  (DMY)]])</f>
        <v>1</v>
      </c>
      <c r="G1440" s="2"/>
      <c r="L1440" s="5"/>
      <c r="M1440" s="4">
        <f>M1439-Table1[[#This Row],[Debits]]+Table1[[#This Row],[Income]]</f>
        <v>1900</v>
      </c>
      <c r="N1440" t="str">
        <f>IF(AND(Table1[[#This Row],[Category]]="pay",NOT(Table1[[#This Row],[Debits]]=0)),"bad","good")</f>
        <v>good</v>
      </c>
      <c r="O1440" s="5"/>
    </row>
    <row r="1441" spans="6:15" x14ac:dyDescent="0.3">
      <c r="F1441">
        <f>MONTH(Table1[[#This Row],[Date  (DMY)]])</f>
        <v>1</v>
      </c>
      <c r="G1441" s="2"/>
      <c r="L1441" s="5"/>
      <c r="M1441" s="4">
        <f>M1440-Table1[[#This Row],[Debits]]+Table1[[#This Row],[Income]]</f>
        <v>1900</v>
      </c>
      <c r="N1441" t="str">
        <f>IF(AND(Table1[[#This Row],[Category]]="pay",NOT(Table1[[#This Row],[Debits]]=0)),"bad","good")</f>
        <v>good</v>
      </c>
      <c r="O1441" s="5"/>
    </row>
    <row r="1442" spans="6:15" x14ac:dyDescent="0.3">
      <c r="F1442">
        <f>MONTH(Table1[[#This Row],[Date  (DMY)]])</f>
        <v>1</v>
      </c>
      <c r="G1442" s="2"/>
      <c r="L1442" s="5"/>
      <c r="M1442" s="4">
        <f>M1441-Table1[[#This Row],[Debits]]+Table1[[#This Row],[Income]]</f>
        <v>1900</v>
      </c>
      <c r="N1442" t="str">
        <f>IF(AND(Table1[[#This Row],[Category]]="pay",NOT(Table1[[#This Row],[Debits]]=0)),"bad","good")</f>
        <v>good</v>
      </c>
      <c r="O1442" s="5"/>
    </row>
    <row r="1443" spans="6:15" x14ac:dyDescent="0.3">
      <c r="F1443">
        <f>MONTH(Table1[[#This Row],[Date  (DMY)]])</f>
        <v>1</v>
      </c>
      <c r="G1443" s="2"/>
      <c r="L1443" s="5"/>
      <c r="M1443" s="4">
        <f>M1442-Table1[[#This Row],[Debits]]+Table1[[#This Row],[Income]]</f>
        <v>1900</v>
      </c>
      <c r="N1443" t="str">
        <f>IF(AND(Table1[[#This Row],[Category]]="pay",NOT(Table1[[#This Row],[Debits]]=0)),"bad","good")</f>
        <v>good</v>
      </c>
      <c r="O1443" s="5"/>
    </row>
    <row r="1444" spans="6:15" x14ac:dyDescent="0.3">
      <c r="F1444">
        <f>MONTH(Table1[[#This Row],[Date  (DMY)]])</f>
        <v>1</v>
      </c>
      <c r="G1444" s="2"/>
      <c r="L1444" s="5"/>
      <c r="M1444" s="4">
        <f>M1443-Table1[[#This Row],[Debits]]+Table1[[#This Row],[Income]]</f>
        <v>1900</v>
      </c>
      <c r="N1444" t="str">
        <f>IF(AND(Table1[[#This Row],[Category]]="pay",NOT(Table1[[#This Row],[Debits]]=0)),"bad","good")</f>
        <v>good</v>
      </c>
      <c r="O1444" s="5"/>
    </row>
    <row r="1445" spans="6:15" x14ac:dyDescent="0.3">
      <c r="F1445">
        <f>MONTH(Table1[[#This Row],[Date  (DMY)]])</f>
        <v>1</v>
      </c>
      <c r="G1445" s="2"/>
      <c r="L1445" s="5"/>
      <c r="M1445" s="4">
        <f>M1444-Table1[[#This Row],[Debits]]+Table1[[#This Row],[Income]]</f>
        <v>1900</v>
      </c>
      <c r="N1445" t="str">
        <f>IF(AND(Table1[[#This Row],[Category]]="pay",NOT(Table1[[#This Row],[Debits]]=0)),"bad","good")</f>
        <v>good</v>
      </c>
      <c r="O1445" s="5"/>
    </row>
    <row r="1446" spans="6:15" x14ac:dyDescent="0.3">
      <c r="F1446">
        <f>MONTH(Table1[[#This Row],[Date  (DMY)]])</f>
        <v>1</v>
      </c>
      <c r="G1446" s="2"/>
      <c r="L1446" s="5"/>
      <c r="M1446" s="4">
        <f>M1445-Table1[[#This Row],[Debits]]+Table1[[#This Row],[Income]]</f>
        <v>1900</v>
      </c>
      <c r="N1446" t="str">
        <f>IF(AND(Table1[[#This Row],[Category]]="pay",NOT(Table1[[#This Row],[Debits]]=0)),"bad","good")</f>
        <v>good</v>
      </c>
      <c r="O1446" s="5"/>
    </row>
    <row r="1447" spans="6:15" x14ac:dyDescent="0.3">
      <c r="F1447">
        <f>MONTH(Table1[[#This Row],[Date  (DMY)]])</f>
        <v>1</v>
      </c>
      <c r="G1447" s="2"/>
      <c r="L1447" s="5"/>
      <c r="M1447" s="4">
        <f>M1446-Table1[[#This Row],[Debits]]+Table1[[#This Row],[Income]]</f>
        <v>1900</v>
      </c>
      <c r="N1447" t="str">
        <f>IF(AND(Table1[[#This Row],[Category]]="pay",NOT(Table1[[#This Row],[Debits]]=0)),"bad","good")</f>
        <v>good</v>
      </c>
      <c r="O1447" s="5"/>
    </row>
    <row r="1448" spans="6:15" x14ac:dyDescent="0.3">
      <c r="F1448">
        <f>MONTH(Table1[[#This Row],[Date  (DMY)]])</f>
        <v>1</v>
      </c>
      <c r="G1448" s="2"/>
      <c r="L1448" s="5"/>
      <c r="M1448" s="4">
        <f>M1447-Table1[[#This Row],[Debits]]+Table1[[#This Row],[Income]]</f>
        <v>1900</v>
      </c>
      <c r="N1448" t="str">
        <f>IF(AND(Table1[[#This Row],[Category]]="pay",NOT(Table1[[#This Row],[Debits]]=0)),"bad","good")</f>
        <v>good</v>
      </c>
      <c r="O1448" s="5"/>
    </row>
    <row r="1449" spans="6:15" x14ac:dyDescent="0.3">
      <c r="F1449">
        <f>MONTH(Table1[[#This Row],[Date  (DMY)]])</f>
        <v>1</v>
      </c>
      <c r="G1449" s="2"/>
      <c r="L1449" s="5"/>
      <c r="M1449" s="4">
        <f>M1448-Table1[[#This Row],[Debits]]+Table1[[#This Row],[Income]]</f>
        <v>1900</v>
      </c>
      <c r="N1449" t="str">
        <f>IF(AND(Table1[[#This Row],[Category]]="pay",NOT(Table1[[#This Row],[Debits]]=0)),"bad","good")</f>
        <v>good</v>
      </c>
      <c r="O1449" s="5"/>
    </row>
    <row r="1450" spans="6:15" x14ac:dyDescent="0.3">
      <c r="F1450">
        <f>MONTH(Table1[[#This Row],[Date  (DMY)]])</f>
        <v>1</v>
      </c>
      <c r="G1450" s="2"/>
      <c r="L1450" s="5"/>
      <c r="M1450" s="4">
        <f>M1449-Table1[[#This Row],[Debits]]+Table1[[#This Row],[Income]]</f>
        <v>1900</v>
      </c>
      <c r="N1450" t="str">
        <f>IF(AND(Table1[[#This Row],[Category]]="pay",NOT(Table1[[#This Row],[Debits]]=0)),"bad","good")</f>
        <v>good</v>
      </c>
      <c r="O1450" s="5"/>
    </row>
    <row r="1451" spans="6:15" x14ac:dyDescent="0.3">
      <c r="F1451">
        <f>MONTH(Table1[[#This Row],[Date  (DMY)]])</f>
        <v>1</v>
      </c>
      <c r="G1451" s="2"/>
      <c r="L1451" s="5"/>
      <c r="M1451" s="4">
        <f>M1450-Table1[[#This Row],[Debits]]+Table1[[#This Row],[Income]]</f>
        <v>1900</v>
      </c>
      <c r="N1451" t="str">
        <f>IF(AND(Table1[[#This Row],[Category]]="pay",NOT(Table1[[#This Row],[Debits]]=0)),"bad","good")</f>
        <v>good</v>
      </c>
      <c r="O1451" s="5"/>
    </row>
    <row r="1452" spans="6:15" x14ac:dyDescent="0.3">
      <c r="F1452">
        <f>MONTH(Table1[[#This Row],[Date  (DMY)]])</f>
        <v>1</v>
      </c>
      <c r="G1452" s="2"/>
      <c r="L1452" s="5"/>
      <c r="M1452" s="4">
        <f>M1451-Table1[[#This Row],[Debits]]+Table1[[#This Row],[Income]]</f>
        <v>1900</v>
      </c>
      <c r="N1452" t="str">
        <f>IF(AND(Table1[[#This Row],[Category]]="pay",NOT(Table1[[#This Row],[Debits]]=0)),"bad","good")</f>
        <v>good</v>
      </c>
      <c r="O1452" s="5"/>
    </row>
    <row r="1453" spans="6:15" x14ac:dyDescent="0.3">
      <c r="F1453">
        <f>MONTH(Table1[[#This Row],[Date  (DMY)]])</f>
        <v>1</v>
      </c>
      <c r="G1453" s="2"/>
      <c r="L1453" s="5"/>
      <c r="M1453" s="4">
        <f>M1452-Table1[[#This Row],[Debits]]+Table1[[#This Row],[Income]]</f>
        <v>1900</v>
      </c>
      <c r="N1453" t="str">
        <f>IF(AND(Table1[[#This Row],[Category]]="pay",NOT(Table1[[#This Row],[Debits]]=0)),"bad","good")</f>
        <v>good</v>
      </c>
      <c r="O1453" s="5"/>
    </row>
    <row r="1454" spans="6:15" x14ac:dyDescent="0.3">
      <c r="F1454">
        <f>MONTH(Table1[[#This Row],[Date  (DMY)]])</f>
        <v>1</v>
      </c>
      <c r="G1454" s="2"/>
      <c r="L1454" s="5"/>
      <c r="M1454" s="4">
        <f>M1453-Table1[[#This Row],[Debits]]+Table1[[#This Row],[Income]]</f>
        <v>1900</v>
      </c>
      <c r="N1454" t="str">
        <f>IF(AND(Table1[[#This Row],[Category]]="pay",NOT(Table1[[#This Row],[Debits]]=0)),"bad","good")</f>
        <v>good</v>
      </c>
      <c r="O1454" s="5"/>
    </row>
    <row r="1455" spans="6:15" x14ac:dyDescent="0.3">
      <c r="F1455">
        <f>MONTH(Table1[[#This Row],[Date  (DMY)]])</f>
        <v>1</v>
      </c>
      <c r="G1455" s="2"/>
      <c r="L1455" s="5"/>
      <c r="M1455" s="4">
        <f>M1454-Table1[[#This Row],[Debits]]+Table1[[#This Row],[Income]]</f>
        <v>1900</v>
      </c>
      <c r="N1455" t="str">
        <f>IF(AND(Table1[[#This Row],[Category]]="pay",NOT(Table1[[#This Row],[Debits]]=0)),"bad","good")</f>
        <v>good</v>
      </c>
      <c r="O1455" s="5"/>
    </row>
    <row r="1456" spans="6:15" x14ac:dyDescent="0.3">
      <c r="F1456">
        <f>MONTH(Table1[[#This Row],[Date  (DMY)]])</f>
        <v>1</v>
      </c>
      <c r="G1456" s="2"/>
      <c r="L1456" s="5"/>
      <c r="M1456" s="4">
        <f>M1455-Table1[[#This Row],[Debits]]+Table1[[#This Row],[Income]]</f>
        <v>1900</v>
      </c>
      <c r="N1456" t="str">
        <f>IF(AND(Table1[[#This Row],[Category]]="pay",NOT(Table1[[#This Row],[Debits]]=0)),"bad","good")</f>
        <v>good</v>
      </c>
      <c r="O1456" s="5"/>
    </row>
    <row r="1457" spans="6:15" x14ac:dyDescent="0.3">
      <c r="F1457">
        <f>MONTH(Table1[[#This Row],[Date  (DMY)]])</f>
        <v>1</v>
      </c>
      <c r="G1457" s="2"/>
      <c r="L1457" s="5"/>
      <c r="M1457" s="4">
        <f>M1456-Table1[[#This Row],[Debits]]+Table1[[#This Row],[Income]]</f>
        <v>1900</v>
      </c>
      <c r="N1457" t="str">
        <f>IF(AND(Table1[[#This Row],[Category]]="pay",NOT(Table1[[#This Row],[Debits]]=0)),"bad","good")</f>
        <v>good</v>
      </c>
      <c r="O1457" s="5"/>
    </row>
    <row r="1458" spans="6:15" x14ac:dyDescent="0.3">
      <c r="F1458">
        <f>MONTH(Table1[[#This Row],[Date  (DMY)]])</f>
        <v>1</v>
      </c>
      <c r="G1458" s="2"/>
      <c r="L1458" s="5"/>
      <c r="M1458" s="4">
        <f>M1457-Table1[[#This Row],[Debits]]+Table1[[#This Row],[Income]]</f>
        <v>1900</v>
      </c>
      <c r="N1458" t="str">
        <f>IF(AND(Table1[[#This Row],[Category]]="pay",NOT(Table1[[#This Row],[Debits]]=0)),"bad","good")</f>
        <v>good</v>
      </c>
      <c r="O1458" s="5"/>
    </row>
    <row r="1459" spans="6:15" x14ac:dyDescent="0.3">
      <c r="F1459">
        <f>MONTH(Table1[[#This Row],[Date  (DMY)]])</f>
        <v>1</v>
      </c>
      <c r="G1459" s="2"/>
      <c r="L1459" s="5"/>
      <c r="M1459" s="4">
        <f>M1458-Table1[[#This Row],[Debits]]+Table1[[#This Row],[Income]]</f>
        <v>1900</v>
      </c>
      <c r="N1459" t="str">
        <f>IF(AND(Table1[[#This Row],[Category]]="pay",NOT(Table1[[#This Row],[Debits]]=0)),"bad","good")</f>
        <v>good</v>
      </c>
      <c r="O1459" s="5"/>
    </row>
    <row r="1460" spans="6:15" x14ac:dyDescent="0.3">
      <c r="F1460">
        <f>MONTH(Table1[[#This Row],[Date  (DMY)]])</f>
        <v>1</v>
      </c>
      <c r="G1460" s="2"/>
      <c r="L1460" s="5"/>
      <c r="M1460" s="4">
        <f>M1459-Table1[[#This Row],[Debits]]+Table1[[#This Row],[Income]]</f>
        <v>1900</v>
      </c>
      <c r="N1460" t="str">
        <f>IF(AND(Table1[[#This Row],[Category]]="pay",NOT(Table1[[#This Row],[Debits]]=0)),"bad","good")</f>
        <v>good</v>
      </c>
      <c r="O1460" s="5"/>
    </row>
    <row r="1461" spans="6:15" x14ac:dyDescent="0.3">
      <c r="F1461">
        <f>MONTH(Table1[[#This Row],[Date  (DMY)]])</f>
        <v>1</v>
      </c>
      <c r="G1461" s="2"/>
      <c r="L1461" s="5"/>
      <c r="M1461" s="4">
        <f>M1460-Table1[[#This Row],[Debits]]+Table1[[#This Row],[Income]]</f>
        <v>1900</v>
      </c>
      <c r="N1461" t="str">
        <f>IF(AND(Table1[[#This Row],[Category]]="pay",NOT(Table1[[#This Row],[Debits]]=0)),"bad","good")</f>
        <v>good</v>
      </c>
      <c r="O1461" s="5"/>
    </row>
    <row r="1462" spans="6:15" x14ac:dyDescent="0.3">
      <c r="F1462">
        <f>MONTH(Table1[[#This Row],[Date  (DMY)]])</f>
        <v>1</v>
      </c>
      <c r="G1462" s="2"/>
      <c r="L1462" s="5"/>
      <c r="M1462" s="4">
        <f>M1461-Table1[[#This Row],[Debits]]+Table1[[#This Row],[Income]]</f>
        <v>1900</v>
      </c>
      <c r="N1462" t="str">
        <f>IF(AND(Table1[[#This Row],[Category]]="pay",NOT(Table1[[#This Row],[Debits]]=0)),"bad","good")</f>
        <v>good</v>
      </c>
      <c r="O1462" s="5"/>
    </row>
    <row r="1463" spans="6:15" x14ac:dyDescent="0.3">
      <c r="F1463">
        <f>MONTH(Table1[[#This Row],[Date  (DMY)]])</f>
        <v>1</v>
      </c>
      <c r="G1463" s="2"/>
      <c r="L1463" s="5"/>
      <c r="M1463" s="4">
        <f>M1462-Table1[[#This Row],[Debits]]+Table1[[#This Row],[Income]]</f>
        <v>1900</v>
      </c>
      <c r="N1463" t="str">
        <f>IF(AND(Table1[[#This Row],[Category]]="pay",NOT(Table1[[#This Row],[Debits]]=0)),"bad","good")</f>
        <v>good</v>
      </c>
      <c r="O1463" s="5"/>
    </row>
    <row r="1464" spans="6:15" x14ac:dyDescent="0.3">
      <c r="F1464">
        <f>MONTH(Table1[[#This Row],[Date  (DMY)]])</f>
        <v>1</v>
      </c>
      <c r="G1464" s="2"/>
      <c r="L1464" s="5"/>
      <c r="M1464" s="4">
        <f>M1463-Table1[[#This Row],[Debits]]+Table1[[#This Row],[Income]]</f>
        <v>1900</v>
      </c>
      <c r="N1464" t="str">
        <f>IF(AND(Table1[[#This Row],[Category]]="pay",NOT(Table1[[#This Row],[Debits]]=0)),"bad","good")</f>
        <v>good</v>
      </c>
      <c r="O1464" s="5"/>
    </row>
    <row r="1465" spans="6:15" x14ac:dyDescent="0.3">
      <c r="F1465">
        <f>MONTH(Table1[[#This Row],[Date  (DMY)]])</f>
        <v>1</v>
      </c>
      <c r="G1465" s="2"/>
      <c r="L1465" s="5"/>
      <c r="M1465" s="4">
        <f>M1464-Table1[[#This Row],[Debits]]+Table1[[#This Row],[Income]]</f>
        <v>1900</v>
      </c>
      <c r="N1465" t="str">
        <f>IF(AND(Table1[[#This Row],[Category]]="pay",NOT(Table1[[#This Row],[Debits]]=0)),"bad","good")</f>
        <v>good</v>
      </c>
      <c r="O1465" s="5"/>
    </row>
    <row r="1466" spans="6:15" x14ac:dyDescent="0.3">
      <c r="F1466">
        <f>MONTH(Table1[[#This Row],[Date  (DMY)]])</f>
        <v>1</v>
      </c>
      <c r="G1466" s="2"/>
      <c r="L1466" s="5"/>
      <c r="M1466" s="4">
        <f>M1465-Table1[[#This Row],[Debits]]+Table1[[#This Row],[Income]]</f>
        <v>1900</v>
      </c>
      <c r="N1466" t="str">
        <f>IF(AND(Table1[[#This Row],[Category]]="pay",NOT(Table1[[#This Row],[Debits]]=0)),"bad","good")</f>
        <v>good</v>
      </c>
      <c r="O1466" s="5"/>
    </row>
    <row r="1467" spans="6:15" x14ac:dyDescent="0.3">
      <c r="F1467">
        <f>MONTH(Table1[[#This Row],[Date  (DMY)]])</f>
        <v>1</v>
      </c>
      <c r="G1467" s="2"/>
      <c r="L1467" s="5"/>
      <c r="M1467" s="4">
        <f>M1466-Table1[[#This Row],[Debits]]+Table1[[#This Row],[Income]]</f>
        <v>1900</v>
      </c>
      <c r="N1467" t="str">
        <f>IF(AND(Table1[[#This Row],[Category]]="pay",NOT(Table1[[#This Row],[Debits]]=0)),"bad","good")</f>
        <v>good</v>
      </c>
      <c r="O1467" s="5"/>
    </row>
    <row r="1468" spans="6:15" x14ac:dyDescent="0.3">
      <c r="F1468">
        <f>MONTH(Table1[[#This Row],[Date  (DMY)]])</f>
        <v>1</v>
      </c>
      <c r="G1468" s="2"/>
      <c r="L1468" s="5"/>
      <c r="M1468" s="4">
        <f>M1467-Table1[[#This Row],[Debits]]+Table1[[#This Row],[Income]]</f>
        <v>1900</v>
      </c>
      <c r="N1468" t="str">
        <f>IF(AND(Table1[[#This Row],[Category]]="pay",NOT(Table1[[#This Row],[Debits]]=0)),"bad","good")</f>
        <v>good</v>
      </c>
      <c r="O1468" s="5"/>
    </row>
    <row r="1469" spans="6:15" x14ac:dyDescent="0.3">
      <c r="F1469">
        <f>MONTH(Table1[[#This Row],[Date  (DMY)]])</f>
        <v>1</v>
      </c>
      <c r="G1469" s="2"/>
      <c r="L1469" s="5"/>
      <c r="M1469" s="4">
        <f>M1468-Table1[[#This Row],[Debits]]+Table1[[#This Row],[Income]]</f>
        <v>1900</v>
      </c>
      <c r="N1469" t="str">
        <f>IF(AND(Table1[[#This Row],[Category]]="pay",NOT(Table1[[#This Row],[Debits]]=0)),"bad","good")</f>
        <v>good</v>
      </c>
      <c r="O1469" s="5"/>
    </row>
    <row r="1470" spans="6:15" x14ac:dyDescent="0.3">
      <c r="F1470">
        <f>MONTH(Table1[[#This Row],[Date  (DMY)]])</f>
        <v>1</v>
      </c>
      <c r="G1470" s="2"/>
      <c r="L1470" s="5"/>
      <c r="M1470" s="4">
        <f>M1469-Table1[[#This Row],[Debits]]+Table1[[#This Row],[Income]]</f>
        <v>1900</v>
      </c>
      <c r="N1470" t="str">
        <f>IF(AND(Table1[[#This Row],[Category]]="pay",NOT(Table1[[#This Row],[Debits]]=0)),"bad","good")</f>
        <v>good</v>
      </c>
      <c r="O1470" s="5"/>
    </row>
    <row r="1471" spans="6:15" x14ac:dyDescent="0.3">
      <c r="F1471">
        <f>MONTH(Table1[[#This Row],[Date  (DMY)]])</f>
        <v>1</v>
      </c>
      <c r="G1471" s="2"/>
      <c r="L1471" s="5"/>
      <c r="M1471" s="4">
        <f>M1470-Table1[[#This Row],[Debits]]+Table1[[#This Row],[Income]]</f>
        <v>1900</v>
      </c>
      <c r="N1471" t="str">
        <f>IF(AND(Table1[[#This Row],[Category]]="pay",NOT(Table1[[#This Row],[Debits]]=0)),"bad","good")</f>
        <v>good</v>
      </c>
      <c r="O1471" s="5"/>
    </row>
    <row r="1472" spans="6:15" x14ac:dyDescent="0.3">
      <c r="F1472">
        <f>MONTH(Table1[[#This Row],[Date  (DMY)]])</f>
        <v>1</v>
      </c>
      <c r="G1472" s="2"/>
      <c r="L1472" s="5"/>
      <c r="M1472" s="4">
        <f>M1471-Table1[[#This Row],[Debits]]+Table1[[#This Row],[Income]]</f>
        <v>1900</v>
      </c>
      <c r="N1472" t="str">
        <f>IF(AND(Table1[[#This Row],[Category]]="pay",NOT(Table1[[#This Row],[Debits]]=0)),"bad","good")</f>
        <v>good</v>
      </c>
      <c r="O1472" s="5"/>
    </row>
    <row r="1473" spans="6:15" x14ac:dyDescent="0.3">
      <c r="F1473">
        <f>MONTH(Table1[[#This Row],[Date  (DMY)]])</f>
        <v>1</v>
      </c>
      <c r="G1473" s="2"/>
      <c r="L1473" s="5"/>
      <c r="M1473" s="4">
        <f>M1472-Table1[[#This Row],[Debits]]+Table1[[#This Row],[Income]]</f>
        <v>1900</v>
      </c>
      <c r="N1473" t="str">
        <f>IF(AND(Table1[[#This Row],[Category]]="pay",NOT(Table1[[#This Row],[Debits]]=0)),"bad","good")</f>
        <v>good</v>
      </c>
      <c r="O1473" s="5"/>
    </row>
    <row r="1474" spans="6:15" x14ac:dyDescent="0.3">
      <c r="F1474">
        <f>MONTH(Table1[[#This Row],[Date  (DMY)]])</f>
        <v>1</v>
      </c>
      <c r="G1474" s="2"/>
      <c r="L1474" s="5"/>
      <c r="M1474" s="4">
        <f>M1473-Table1[[#This Row],[Debits]]+Table1[[#This Row],[Income]]</f>
        <v>1900</v>
      </c>
      <c r="N1474" t="str">
        <f>IF(AND(Table1[[#This Row],[Category]]="pay",NOT(Table1[[#This Row],[Debits]]=0)),"bad","good")</f>
        <v>good</v>
      </c>
      <c r="O1474" s="5"/>
    </row>
    <row r="1475" spans="6:15" x14ac:dyDescent="0.3">
      <c r="F1475">
        <f>MONTH(Table1[[#This Row],[Date  (DMY)]])</f>
        <v>1</v>
      </c>
      <c r="G1475" s="2"/>
      <c r="L1475" s="5"/>
      <c r="M1475" s="4">
        <f>M1474-Table1[[#This Row],[Debits]]+Table1[[#This Row],[Income]]</f>
        <v>1900</v>
      </c>
      <c r="N1475" t="str">
        <f>IF(AND(Table1[[#This Row],[Category]]="pay",NOT(Table1[[#This Row],[Debits]]=0)),"bad","good")</f>
        <v>good</v>
      </c>
      <c r="O1475" s="5"/>
    </row>
    <row r="1476" spans="6:15" x14ac:dyDescent="0.3">
      <c r="F1476">
        <f>MONTH(Table1[[#This Row],[Date  (DMY)]])</f>
        <v>1</v>
      </c>
      <c r="G1476" s="2"/>
      <c r="L1476" s="5"/>
      <c r="M1476" s="4">
        <f>M1475-Table1[[#This Row],[Debits]]+Table1[[#This Row],[Income]]</f>
        <v>1900</v>
      </c>
      <c r="N1476" t="str">
        <f>IF(AND(Table1[[#This Row],[Category]]="pay",NOT(Table1[[#This Row],[Debits]]=0)),"bad","good")</f>
        <v>good</v>
      </c>
      <c r="O1476" s="5"/>
    </row>
    <row r="1477" spans="6:15" x14ac:dyDescent="0.3">
      <c r="F1477">
        <f>MONTH(Table1[[#This Row],[Date  (DMY)]])</f>
        <v>1</v>
      </c>
      <c r="G1477" s="2"/>
      <c r="L1477" s="5"/>
      <c r="M1477" s="4">
        <f>M1476-Table1[[#This Row],[Debits]]+Table1[[#This Row],[Income]]</f>
        <v>1900</v>
      </c>
      <c r="N1477" t="str">
        <f>IF(AND(Table1[[#This Row],[Category]]="pay",NOT(Table1[[#This Row],[Debits]]=0)),"bad","good")</f>
        <v>good</v>
      </c>
      <c r="O1477" s="5"/>
    </row>
    <row r="1478" spans="6:15" x14ac:dyDescent="0.3">
      <c r="F1478">
        <f>MONTH(Table1[[#This Row],[Date  (DMY)]])</f>
        <v>1</v>
      </c>
      <c r="G1478" s="2"/>
      <c r="L1478" s="5"/>
      <c r="M1478" s="4">
        <f>M1477-Table1[[#This Row],[Debits]]+Table1[[#This Row],[Income]]</f>
        <v>1900</v>
      </c>
      <c r="N1478" t="str">
        <f>IF(AND(Table1[[#This Row],[Category]]="pay",NOT(Table1[[#This Row],[Debits]]=0)),"bad","good")</f>
        <v>good</v>
      </c>
      <c r="O1478" s="5"/>
    </row>
    <row r="1479" spans="6:15" x14ac:dyDescent="0.3">
      <c r="F1479">
        <f>MONTH(Table1[[#This Row],[Date  (DMY)]])</f>
        <v>1</v>
      </c>
      <c r="G1479" s="2"/>
      <c r="L1479" s="5"/>
      <c r="M1479" s="4">
        <f>M1478-Table1[[#This Row],[Debits]]+Table1[[#This Row],[Income]]</f>
        <v>1900</v>
      </c>
      <c r="N1479" t="str">
        <f>IF(AND(Table1[[#This Row],[Category]]="pay",NOT(Table1[[#This Row],[Debits]]=0)),"bad","good")</f>
        <v>good</v>
      </c>
      <c r="O1479" s="5"/>
    </row>
    <row r="1480" spans="6:15" x14ac:dyDescent="0.3">
      <c r="F1480">
        <f>MONTH(Table1[[#This Row],[Date  (DMY)]])</f>
        <v>1</v>
      </c>
      <c r="G1480" s="2"/>
      <c r="L1480" s="5"/>
      <c r="M1480" s="4">
        <f>M1479-Table1[[#This Row],[Debits]]+Table1[[#This Row],[Income]]</f>
        <v>1900</v>
      </c>
      <c r="N1480" t="str">
        <f>IF(AND(Table1[[#This Row],[Category]]="pay",NOT(Table1[[#This Row],[Debits]]=0)),"bad","good")</f>
        <v>good</v>
      </c>
      <c r="O1480" s="5"/>
    </row>
    <row r="1481" spans="6:15" x14ac:dyDescent="0.3">
      <c r="F1481">
        <f>MONTH(Table1[[#This Row],[Date  (DMY)]])</f>
        <v>1</v>
      </c>
      <c r="G1481" s="2"/>
      <c r="L1481" s="5"/>
      <c r="M1481" s="4">
        <f>M1480-Table1[[#This Row],[Debits]]+Table1[[#This Row],[Income]]</f>
        <v>1900</v>
      </c>
      <c r="N1481" t="str">
        <f>IF(AND(Table1[[#This Row],[Category]]="pay",NOT(Table1[[#This Row],[Debits]]=0)),"bad","good")</f>
        <v>good</v>
      </c>
      <c r="O1481" s="5"/>
    </row>
    <row r="1482" spans="6:15" x14ac:dyDescent="0.3">
      <c r="F1482">
        <f>MONTH(Table1[[#This Row],[Date  (DMY)]])</f>
        <v>1</v>
      </c>
      <c r="G1482" s="2"/>
      <c r="L1482" s="5"/>
      <c r="M1482" s="4">
        <f>M1481-Table1[[#This Row],[Debits]]+Table1[[#This Row],[Income]]</f>
        <v>1900</v>
      </c>
      <c r="N1482" t="str">
        <f>IF(AND(Table1[[#This Row],[Category]]="pay",NOT(Table1[[#This Row],[Debits]]=0)),"bad","good")</f>
        <v>good</v>
      </c>
      <c r="O1482" s="5"/>
    </row>
    <row r="1483" spans="6:15" x14ac:dyDescent="0.3">
      <c r="F1483">
        <f>MONTH(Table1[[#This Row],[Date  (DMY)]])</f>
        <v>1</v>
      </c>
      <c r="G1483" s="2"/>
      <c r="L1483" s="5"/>
      <c r="M1483" s="4">
        <f>M1482-Table1[[#This Row],[Debits]]+Table1[[#This Row],[Income]]</f>
        <v>1900</v>
      </c>
      <c r="N1483" t="str">
        <f>IF(AND(Table1[[#This Row],[Category]]="pay",NOT(Table1[[#This Row],[Debits]]=0)),"bad","good")</f>
        <v>good</v>
      </c>
      <c r="O1483" s="5"/>
    </row>
    <row r="1484" spans="6:15" x14ac:dyDescent="0.3">
      <c r="F1484">
        <f>MONTH(Table1[[#This Row],[Date  (DMY)]])</f>
        <v>1</v>
      </c>
      <c r="G1484" s="2"/>
      <c r="L1484" s="5"/>
      <c r="M1484" s="4">
        <f>M1483-Table1[[#This Row],[Debits]]+Table1[[#This Row],[Income]]</f>
        <v>1900</v>
      </c>
      <c r="N1484" t="str">
        <f>IF(AND(Table1[[#This Row],[Category]]="pay",NOT(Table1[[#This Row],[Debits]]=0)),"bad","good")</f>
        <v>good</v>
      </c>
      <c r="O1484" s="5"/>
    </row>
    <row r="1485" spans="6:15" x14ac:dyDescent="0.3">
      <c r="F1485">
        <f>MONTH(Table1[[#This Row],[Date  (DMY)]])</f>
        <v>1</v>
      </c>
      <c r="G1485" s="2"/>
      <c r="L1485" s="5"/>
      <c r="M1485" s="4">
        <f>M1484-Table1[[#This Row],[Debits]]+Table1[[#This Row],[Income]]</f>
        <v>1900</v>
      </c>
      <c r="N1485" t="str">
        <f>IF(AND(Table1[[#This Row],[Category]]="pay",NOT(Table1[[#This Row],[Debits]]=0)),"bad","good")</f>
        <v>good</v>
      </c>
      <c r="O1485" s="5"/>
    </row>
    <row r="1486" spans="6:15" x14ac:dyDescent="0.3">
      <c r="F1486">
        <f>MONTH(Table1[[#This Row],[Date  (DMY)]])</f>
        <v>1</v>
      </c>
      <c r="G1486" s="2"/>
      <c r="L1486" s="5"/>
      <c r="M1486" s="4">
        <f>M1485-Table1[[#This Row],[Debits]]+Table1[[#This Row],[Income]]</f>
        <v>1900</v>
      </c>
      <c r="N1486" t="str">
        <f>IF(AND(Table1[[#This Row],[Category]]="pay",NOT(Table1[[#This Row],[Debits]]=0)),"bad","good")</f>
        <v>good</v>
      </c>
      <c r="O1486" s="5"/>
    </row>
    <row r="1487" spans="6:15" x14ac:dyDescent="0.3">
      <c r="F1487">
        <f>MONTH(Table1[[#This Row],[Date  (DMY)]])</f>
        <v>1</v>
      </c>
      <c r="G1487" s="2"/>
      <c r="L1487" s="5"/>
      <c r="M1487" s="4">
        <f>M1486-Table1[[#This Row],[Debits]]+Table1[[#This Row],[Income]]</f>
        <v>1900</v>
      </c>
      <c r="N1487" t="str">
        <f>IF(AND(Table1[[#This Row],[Category]]="pay",NOT(Table1[[#This Row],[Debits]]=0)),"bad","good")</f>
        <v>good</v>
      </c>
      <c r="O1487" s="5"/>
    </row>
    <row r="1488" spans="6:15" x14ac:dyDescent="0.3">
      <c r="F1488">
        <f>MONTH(Table1[[#This Row],[Date  (DMY)]])</f>
        <v>1</v>
      </c>
      <c r="G1488" s="2"/>
      <c r="L1488" s="5"/>
      <c r="M1488" s="4">
        <f>M1487-Table1[[#This Row],[Debits]]+Table1[[#This Row],[Income]]</f>
        <v>1900</v>
      </c>
      <c r="N1488" t="str">
        <f>IF(AND(Table1[[#This Row],[Category]]="pay",NOT(Table1[[#This Row],[Debits]]=0)),"bad","good")</f>
        <v>good</v>
      </c>
      <c r="O1488" s="5"/>
    </row>
    <row r="1489" spans="6:15" x14ac:dyDescent="0.3">
      <c r="F1489">
        <f>MONTH(Table1[[#This Row],[Date  (DMY)]])</f>
        <v>1</v>
      </c>
      <c r="G1489" s="2"/>
      <c r="L1489" s="5"/>
      <c r="M1489" s="4">
        <f>M1488-Table1[[#This Row],[Debits]]+Table1[[#This Row],[Income]]</f>
        <v>1900</v>
      </c>
      <c r="N1489" t="str">
        <f>IF(AND(Table1[[#This Row],[Category]]="pay",NOT(Table1[[#This Row],[Debits]]=0)),"bad","good")</f>
        <v>good</v>
      </c>
      <c r="O1489" s="5"/>
    </row>
    <row r="1490" spans="6:15" x14ac:dyDescent="0.3">
      <c r="F1490">
        <f>MONTH(Table1[[#This Row],[Date  (DMY)]])</f>
        <v>1</v>
      </c>
      <c r="G1490" s="2"/>
      <c r="L1490" s="5"/>
      <c r="M1490" s="4">
        <f>M1489-Table1[[#This Row],[Debits]]+Table1[[#This Row],[Income]]</f>
        <v>1900</v>
      </c>
      <c r="N1490" t="str">
        <f>IF(AND(Table1[[#This Row],[Category]]="pay",NOT(Table1[[#This Row],[Debits]]=0)),"bad","good")</f>
        <v>good</v>
      </c>
      <c r="O1490" s="5"/>
    </row>
    <row r="1491" spans="6:15" x14ac:dyDescent="0.3">
      <c r="F1491">
        <f>MONTH(Table1[[#This Row],[Date  (DMY)]])</f>
        <v>1</v>
      </c>
      <c r="G1491" s="2"/>
      <c r="L1491" s="5"/>
      <c r="M1491" s="4">
        <f>M1490-Table1[[#This Row],[Debits]]+Table1[[#This Row],[Income]]</f>
        <v>1900</v>
      </c>
      <c r="N1491" t="str">
        <f>IF(AND(Table1[[#This Row],[Category]]="pay",NOT(Table1[[#This Row],[Debits]]=0)),"bad","good")</f>
        <v>good</v>
      </c>
      <c r="O1491" s="5"/>
    </row>
    <row r="1492" spans="6:15" x14ac:dyDescent="0.3">
      <c r="F1492">
        <f>MONTH(Table1[[#This Row],[Date  (DMY)]])</f>
        <v>1</v>
      </c>
      <c r="G1492" s="2"/>
      <c r="L1492" s="5"/>
      <c r="M1492" s="4">
        <f>M1491-Table1[[#This Row],[Debits]]+Table1[[#This Row],[Income]]</f>
        <v>1900</v>
      </c>
      <c r="N1492" t="str">
        <f>IF(AND(Table1[[#This Row],[Category]]="pay",NOT(Table1[[#This Row],[Debits]]=0)),"bad","good")</f>
        <v>good</v>
      </c>
      <c r="O1492" s="5"/>
    </row>
    <row r="1493" spans="6:15" x14ac:dyDescent="0.3">
      <c r="F1493">
        <f>MONTH(Table1[[#This Row],[Date  (DMY)]])</f>
        <v>1</v>
      </c>
      <c r="G1493" s="2"/>
      <c r="L1493" s="5"/>
      <c r="M1493" s="4">
        <f>M1492-Table1[[#This Row],[Debits]]+Table1[[#This Row],[Income]]</f>
        <v>1900</v>
      </c>
      <c r="N1493" t="str">
        <f>IF(AND(Table1[[#This Row],[Category]]="pay",NOT(Table1[[#This Row],[Debits]]=0)),"bad","good")</f>
        <v>good</v>
      </c>
      <c r="O1493" s="5"/>
    </row>
    <row r="1494" spans="6:15" x14ac:dyDescent="0.3">
      <c r="F1494">
        <f>MONTH(Table1[[#This Row],[Date  (DMY)]])</f>
        <v>1</v>
      </c>
      <c r="G1494" s="2"/>
      <c r="L1494" s="5"/>
      <c r="M1494" s="4">
        <f>M1493-Table1[[#This Row],[Debits]]+Table1[[#This Row],[Income]]</f>
        <v>1900</v>
      </c>
      <c r="N1494" t="str">
        <f>IF(AND(Table1[[#This Row],[Category]]="pay",NOT(Table1[[#This Row],[Debits]]=0)),"bad","good")</f>
        <v>good</v>
      </c>
      <c r="O1494" s="5"/>
    </row>
    <row r="1495" spans="6:15" x14ac:dyDescent="0.3">
      <c r="F1495">
        <f>MONTH(Table1[[#This Row],[Date  (DMY)]])</f>
        <v>1</v>
      </c>
      <c r="G1495" s="2"/>
      <c r="L1495" s="5"/>
      <c r="M1495" s="4">
        <f>M1494-Table1[[#This Row],[Debits]]+Table1[[#This Row],[Income]]</f>
        <v>1900</v>
      </c>
      <c r="N1495" t="str">
        <f>IF(AND(Table1[[#This Row],[Category]]="pay",NOT(Table1[[#This Row],[Debits]]=0)),"bad","good")</f>
        <v>good</v>
      </c>
      <c r="O1495" s="5"/>
    </row>
    <row r="1496" spans="6:15" x14ac:dyDescent="0.3">
      <c r="F1496">
        <f>MONTH(Table1[[#This Row],[Date  (DMY)]])</f>
        <v>1</v>
      </c>
      <c r="G1496" s="2"/>
      <c r="L1496" s="5"/>
      <c r="M1496" s="4">
        <f>M1495-Table1[[#This Row],[Debits]]+Table1[[#This Row],[Income]]</f>
        <v>1900</v>
      </c>
      <c r="N1496" t="str">
        <f>IF(AND(Table1[[#This Row],[Category]]="pay",NOT(Table1[[#This Row],[Debits]]=0)),"bad","good")</f>
        <v>good</v>
      </c>
      <c r="O1496" s="5"/>
    </row>
    <row r="1497" spans="6:15" x14ac:dyDescent="0.3">
      <c r="F1497">
        <f>MONTH(Table1[[#This Row],[Date  (DMY)]])</f>
        <v>1</v>
      </c>
      <c r="G1497" s="2"/>
      <c r="L1497" s="5"/>
      <c r="M1497" s="4">
        <f>M1496-Table1[[#This Row],[Debits]]+Table1[[#This Row],[Income]]</f>
        <v>1900</v>
      </c>
      <c r="N1497" t="str">
        <f>IF(AND(Table1[[#This Row],[Category]]="pay",NOT(Table1[[#This Row],[Debits]]=0)),"bad","good")</f>
        <v>good</v>
      </c>
      <c r="O1497" s="5"/>
    </row>
    <row r="1498" spans="6:15" x14ac:dyDescent="0.3">
      <c r="F1498">
        <f>MONTH(Table1[[#This Row],[Date  (DMY)]])</f>
        <v>1</v>
      </c>
      <c r="G1498" s="2"/>
      <c r="L1498" s="5"/>
      <c r="M1498" s="4">
        <f>M1497-Table1[[#This Row],[Debits]]+Table1[[#This Row],[Income]]</f>
        <v>1900</v>
      </c>
      <c r="N1498" t="str">
        <f>IF(AND(Table1[[#This Row],[Category]]="pay",NOT(Table1[[#This Row],[Debits]]=0)),"bad","good")</f>
        <v>good</v>
      </c>
      <c r="O1498" s="5"/>
    </row>
    <row r="1499" spans="6:15" x14ac:dyDescent="0.3">
      <c r="F1499">
        <f>MONTH(Table1[[#This Row],[Date  (DMY)]])</f>
        <v>1</v>
      </c>
      <c r="G1499" s="2"/>
      <c r="L1499" s="5"/>
      <c r="M1499" s="4">
        <f>M1498-Table1[[#This Row],[Debits]]+Table1[[#This Row],[Income]]</f>
        <v>1900</v>
      </c>
      <c r="N1499" t="str">
        <f>IF(AND(Table1[[#This Row],[Category]]="pay",NOT(Table1[[#This Row],[Debits]]=0)),"bad","good")</f>
        <v>good</v>
      </c>
      <c r="O1499" s="5"/>
    </row>
    <row r="1500" spans="6:15" x14ac:dyDescent="0.3">
      <c r="F1500">
        <f>MONTH(Table1[[#This Row],[Date  (DMY)]])</f>
        <v>1</v>
      </c>
      <c r="G1500" s="2"/>
      <c r="L1500" s="5"/>
      <c r="M1500" s="4">
        <f>M1499-Table1[[#This Row],[Debits]]+Table1[[#This Row],[Income]]</f>
        <v>1900</v>
      </c>
      <c r="N1500" t="str">
        <f>IF(AND(Table1[[#This Row],[Category]]="pay",NOT(Table1[[#This Row],[Debits]]=0)),"bad","good")</f>
        <v>good</v>
      </c>
      <c r="O1500" s="5"/>
    </row>
    <row r="1501" spans="6:15" x14ac:dyDescent="0.3">
      <c r="F1501">
        <f>MONTH(Table1[[#This Row],[Date  (DMY)]])</f>
        <v>1</v>
      </c>
      <c r="G1501" s="2"/>
      <c r="L1501" s="5"/>
      <c r="M1501" s="4">
        <f>M1500-Table1[[#This Row],[Debits]]+Table1[[#This Row],[Income]]</f>
        <v>1900</v>
      </c>
      <c r="N1501" t="str">
        <f>IF(AND(Table1[[#This Row],[Category]]="pay",NOT(Table1[[#This Row],[Debits]]=0)),"bad","good")</f>
        <v>good</v>
      </c>
      <c r="O1501" s="5"/>
    </row>
    <row r="1502" spans="6:15" x14ac:dyDescent="0.3">
      <c r="F1502">
        <f>MONTH(Table1[[#This Row],[Date  (DMY)]])</f>
        <v>1</v>
      </c>
      <c r="G1502" s="2"/>
      <c r="L1502" s="5"/>
      <c r="M1502" s="4">
        <f>M1501-Table1[[#This Row],[Debits]]+Table1[[#This Row],[Income]]</f>
        <v>1900</v>
      </c>
      <c r="N1502" t="str">
        <f>IF(AND(Table1[[#This Row],[Category]]="pay",NOT(Table1[[#This Row],[Debits]]=0)),"bad","good")</f>
        <v>good</v>
      </c>
      <c r="O1502" s="5"/>
    </row>
    <row r="1503" spans="6:15" x14ac:dyDescent="0.3">
      <c r="F1503">
        <f>MONTH(Table1[[#This Row],[Date  (DMY)]])</f>
        <v>1</v>
      </c>
      <c r="G1503" s="2"/>
      <c r="L1503" s="5"/>
      <c r="M1503" s="4">
        <f>M1502-Table1[[#This Row],[Debits]]+Table1[[#This Row],[Income]]</f>
        <v>1900</v>
      </c>
      <c r="N1503" t="str">
        <f>IF(AND(Table1[[#This Row],[Category]]="pay",NOT(Table1[[#This Row],[Debits]]=0)),"bad","good")</f>
        <v>good</v>
      </c>
      <c r="O1503" s="5"/>
    </row>
    <row r="1504" spans="6:15" x14ac:dyDescent="0.3">
      <c r="F1504">
        <f>MONTH(Table1[[#This Row],[Date  (DMY)]])</f>
        <v>1</v>
      </c>
      <c r="G1504" s="2"/>
      <c r="L1504" s="5"/>
      <c r="M1504" s="4">
        <f>M1503-Table1[[#This Row],[Debits]]+Table1[[#This Row],[Income]]</f>
        <v>1900</v>
      </c>
      <c r="N1504" t="str">
        <f>IF(AND(Table1[[#This Row],[Category]]="pay",NOT(Table1[[#This Row],[Debits]]=0)),"bad","good")</f>
        <v>good</v>
      </c>
      <c r="O1504" s="5"/>
    </row>
    <row r="1505" spans="6:15" x14ac:dyDescent="0.3">
      <c r="F1505">
        <f>MONTH(Table1[[#This Row],[Date  (DMY)]])</f>
        <v>1</v>
      </c>
      <c r="G1505" s="2"/>
      <c r="L1505" s="5"/>
      <c r="M1505" s="4">
        <f>M1504-Table1[[#This Row],[Debits]]+Table1[[#This Row],[Income]]</f>
        <v>1900</v>
      </c>
      <c r="N1505" t="str">
        <f>IF(AND(Table1[[#This Row],[Category]]="pay",NOT(Table1[[#This Row],[Debits]]=0)),"bad","good")</f>
        <v>good</v>
      </c>
      <c r="O1505" s="5"/>
    </row>
    <row r="1506" spans="6:15" x14ac:dyDescent="0.3">
      <c r="F1506">
        <f>MONTH(Table1[[#This Row],[Date  (DMY)]])</f>
        <v>1</v>
      </c>
      <c r="G1506" s="2"/>
      <c r="L1506" s="5"/>
      <c r="M1506" s="4">
        <f>M1505-Table1[[#This Row],[Debits]]+Table1[[#This Row],[Income]]</f>
        <v>1900</v>
      </c>
      <c r="N1506" t="str">
        <f>IF(AND(Table1[[#This Row],[Category]]="pay",NOT(Table1[[#This Row],[Debits]]=0)),"bad","good")</f>
        <v>good</v>
      </c>
      <c r="O1506" s="5"/>
    </row>
    <row r="1507" spans="6:15" x14ac:dyDescent="0.3">
      <c r="F1507">
        <f>MONTH(Table1[[#This Row],[Date  (DMY)]])</f>
        <v>1</v>
      </c>
      <c r="G1507" s="2"/>
      <c r="L1507" s="5"/>
      <c r="M1507" s="4">
        <f>M1506-Table1[[#This Row],[Debits]]+Table1[[#This Row],[Income]]</f>
        <v>1900</v>
      </c>
      <c r="N1507" t="str">
        <f>IF(AND(Table1[[#This Row],[Category]]="pay",NOT(Table1[[#This Row],[Debits]]=0)),"bad","good")</f>
        <v>good</v>
      </c>
      <c r="O1507" s="5"/>
    </row>
    <row r="1508" spans="6:15" x14ac:dyDescent="0.3">
      <c r="F1508">
        <f>MONTH(Table1[[#This Row],[Date  (DMY)]])</f>
        <v>1</v>
      </c>
      <c r="G1508" s="2"/>
      <c r="L1508" s="5"/>
      <c r="M1508" s="4">
        <f>M1507-Table1[[#This Row],[Debits]]+Table1[[#This Row],[Income]]</f>
        <v>1900</v>
      </c>
      <c r="N1508" t="str">
        <f>IF(AND(Table1[[#This Row],[Category]]="pay",NOT(Table1[[#This Row],[Debits]]=0)),"bad","good")</f>
        <v>good</v>
      </c>
      <c r="O1508" s="5"/>
    </row>
    <row r="1509" spans="6:15" x14ac:dyDescent="0.3">
      <c r="F1509">
        <f>MONTH(Table1[[#This Row],[Date  (DMY)]])</f>
        <v>1</v>
      </c>
      <c r="G1509" s="2"/>
      <c r="L1509" s="5"/>
      <c r="M1509" s="4">
        <f>M1508-Table1[[#This Row],[Debits]]+Table1[[#This Row],[Income]]</f>
        <v>1900</v>
      </c>
      <c r="N1509" t="str">
        <f>IF(AND(Table1[[#This Row],[Category]]="pay",NOT(Table1[[#This Row],[Debits]]=0)),"bad","good")</f>
        <v>good</v>
      </c>
      <c r="O1509" s="5"/>
    </row>
    <row r="1510" spans="6:15" x14ac:dyDescent="0.3">
      <c r="F1510">
        <f>MONTH(Table1[[#This Row],[Date  (DMY)]])</f>
        <v>1</v>
      </c>
      <c r="G1510" s="2"/>
      <c r="L1510" s="5"/>
      <c r="M1510" s="4">
        <f>M1509-Table1[[#This Row],[Debits]]+Table1[[#This Row],[Income]]</f>
        <v>1900</v>
      </c>
      <c r="N1510" t="str">
        <f>IF(AND(Table1[[#This Row],[Category]]="pay",NOT(Table1[[#This Row],[Debits]]=0)),"bad","good")</f>
        <v>good</v>
      </c>
      <c r="O1510" s="5"/>
    </row>
    <row r="1511" spans="6:15" x14ac:dyDescent="0.3">
      <c r="F1511">
        <f>MONTH(Table1[[#This Row],[Date  (DMY)]])</f>
        <v>1</v>
      </c>
      <c r="G1511" s="2"/>
      <c r="L1511" s="5"/>
      <c r="M1511" s="4">
        <f>M1510-Table1[[#This Row],[Debits]]+Table1[[#This Row],[Income]]</f>
        <v>1900</v>
      </c>
      <c r="N1511" t="str">
        <f>IF(AND(Table1[[#This Row],[Category]]="pay",NOT(Table1[[#This Row],[Debits]]=0)),"bad","good")</f>
        <v>good</v>
      </c>
      <c r="O1511" s="5"/>
    </row>
    <row r="1512" spans="6:15" x14ac:dyDescent="0.3">
      <c r="F1512">
        <f>MONTH(Table1[[#This Row],[Date  (DMY)]])</f>
        <v>1</v>
      </c>
      <c r="G1512" s="2"/>
      <c r="L1512" s="5"/>
      <c r="M1512" s="4">
        <f>M1511-Table1[[#This Row],[Debits]]+Table1[[#This Row],[Income]]</f>
        <v>1900</v>
      </c>
      <c r="N1512" t="str">
        <f>IF(AND(Table1[[#This Row],[Category]]="pay",NOT(Table1[[#This Row],[Debits]]=0)),"bad","good")</f>
        <v>good</v>
      </c>
      <c r="O1512" s="5"/>
    </row>
    <row r="1513" spans="6:15" x14ac:dyDescent="0.3">
      <c r="F1513">
        <f>MONTH(Table1[[#This Row],[Date  (DMY)]])</f>
        <v>1</v>
      </c>
      <c r="G1513" s="2"/>
      <c r="L1513" s="5"/>
      <c r="M1513" s="4">
        <f>M1512-Table1[[#This Row],[Debits]]+Table1[[#This Row],[Income]]</f>
        <v>1900</v>
      </c>
      <c r="N1513" t="str">
        <f>IF(AND(Table1[[#This Row],[Category]]="pay",NOT(Table1[[#This Row],[Debits]]=0)),"bad","good")</f>
        <v>good</v>
      </c>
      <c r="O1513" s="5"/>
    </row>
    <row r="1514" spans="6:15" x14ac:dyDescent="0.3">
      <c r="F1514">
        <f>MONTH(Table1[[#This Row],[Date  (DMY)]])</f>
        <v>1</v>
      </c>
      <c r="G1514" s="2"/>
      <c r="L1514" s="5"/>
      <c r="M1514" s="4">
        <f>M1513-Table1[[#This Row],[Debits]]+Table1[[#This Row],[Income]]</f>
        <v>1900</v>
      </c>
      <c r="N1514" t="str">
        <f>IF(AND(Table1[[#This Row],[Category]]="pay",NOT(Table1[[#This Row],[Debits]]=0)),"bad","good")</f>
        <v>good</v>
      </c>
      <c r="O1514" s="5"/>
    </row>
    <row r="1515" spans="6:15" x14ac:dyDescent="0.3">
      <c r="F1515">
        <f>MONTH(Table1[[#This Row],[Date  (DMY)]])</f>
        <v>1</v>
      </c>
      <c r="G1515" s="2"/>
      <c r="L1515" s="5"/>
      <c r="M1515" s="4">
        <f>M1514-Table1[[#This Row],[Debits]]+Table1[[#This Row],[Income]]</f>
        <v>1900</v>
      </c>
      <c r="N1515" t="str">
        <f>IF(AND(Table1[[#This Row],[Category]]="pay",NOT(Table1[[#This Row],[Debits]]=0)),"bad","good")</f>
        <v>good</v>
      </c>
      <c r="O1515" s="5"/>
    </row>
    <row r="1516" spans="6:15" x14ac:dyDescent="0.3">
      <c r="F1516">
        <f>MONTH(Table1[[#This Row],[Date  (DMY)]])</f>
        <v>1</v>
      </c>
      <c r="G1516" s="2"/>
      <c r="L1516" s="5"/>
      <c r="M1516" s="4">
        <f>M1515-Table1[[#This Row],[Debits]]+Table1[[#This Row],[Income]]</f>
        <v>1900</v>
      </c>
      <c r="N1516" t="str">
        <f>IF(AND(Table1[[#This Row],[Category]]="pay",NOT(Table1[[#This Row],[Debits]]=0)),"bad","good")</f>
        <v>good</v>
      </c>
      <c r="O1516" s="5"/>
    </row>
    <row r="1517" spans="6:15" x14ac:dyDescent="0.3">
      <c r="F1517">
        <f>MONTH(Table1[[#This Row],[Date  (DMY)]])</f>
        <v>1</v>
      </c>
      <c r="G1517" s="2"/>
      <c r="L1517" s="5"/>
      <c r="M1517" s="4">
        <f>M1516-Table1[[#This Row],[Debits]]+Table1[[#This Row],[Income]]</f>
        <v>1900</v>
      </c>
      <c r="N1517" t="str">
        <f>IF(AND(Table1[[#This Row],[Category]]="pay",NOT(Table1[[#This Row],[Debits]]=0)),"bad","good")</f>
        <v>good</v>
      </c>
      <c r="O1517" s="5"/>
    </row>
    <row r="1518" spans="6:15" x14ac:dyDescent="0.3">
      <c r="F1518">
        <f>MONTH(Table1[[#This Row],[Date  (DMY)]])</f>
        <v>1</v>
      </c>
      <c r="G1518" s="2"/>
      <c r="L1518" s="5"/>
      <c r="M1518" s="4">
        <f>M1517-Table1[[#This Row],[Debits]]+Table1[[#This Row],[Income]]</f>
        <v>1900</v>
      </c>
      <c r="N1518" t="str">
        <f>IF(AND(Table1[[#This Row],[Category]]="pay",NOT(Table1[[#This Row],[Debits]]=0)),"bad","good")</f>
        <v>good</v>
      </c>
      <c r="O1518" s="5"/>
    </row>
    <row r="1519" spans="6:15" x14ac:dyDescent="0.3">
      <c r="F1519">
        <f>MONTH(Table1[[#This Row],[Date  (DMY)]])</f>
        <v>1</v>
      </c>
      <c r="G1519" s="2"/>
      <c r="L1519" s="5"/>
      <c r="M1519" s="4">
        <f>M1518-Table1[[#This Row],[Debits]]+Table1[[#This Row],[Income]]</f>
        <v>1900</v>
      </c>
      <c r="N1519" t="str">
        <f>IF(AND(Table1[[#This Row],[Category]]="pay",NOT(Table1[[#This Row],[Debits]]=0)),"bad","good")</f>
        <v>good</v>
      </c>
      <c r="O1519" s="5"/>
    </row>
    <row r="1520" spans="6:15" x14ac:dyDescent="0.3">
      <c r="F1520">
        <f>MONTH(Table1[[#This Row],[Date  (DMY)]])</f>
        <v>1</v>
      </c>
      <c r="G1520" s="2"/>
      <c r="L1520" s="5"/>
      <c r="M1520" s="4">
        <f>M1519-Table1[[#This Row],[Debits]]+Table1[[#This Row],[Income]]</f>
        <v>1900</v>
      </c>
      <c r="N1520" t="str">
        <f>IF(AND(Table1[[#This Row],[Category]]="pay",NOT(Table1[[#This Row],[Debits]]=0)),"bad","good")</f>
        <v>good</v>
      </c>
      <c r="O1520" s="5"/>
    </row>
    <row r="1521" spans="6:15" x14ac:dyDescent="0.3">
      <c r="F1521">
        <f>MONTH(Table1[[#This Row],[Date  (DMY)]])</f>
        <v>1</v>
      </c>
      <c r="G1521" s="2"/>
      <c r="L1521" s="5"/>
      <c r="M1521" s="4">
        <f>M1520-Table1[[#This Row],[Debits]]+Table1[[#This Row],[Income]]</f>
        <v>1900</v>
      </c>
      <c r="N1521" t="str">
        <f>IF(AND(Table1[[#This Row],[Category]]="pay",NOT(Table1[[#This Row],[Debits]]=0)),"bad","good")</f>
        <v>good</v>
      </c>
      <c r="O1521" s="5"/>
    </row>
    <row r="1522" spans="6:15" x14ac:dyDescent="0.3">
      <c r="F1522">
        <f>MONTH(Table1[[#This Row],[Date  (DMY)]])</f>
        <v>1</v>
      </c>
      <c r="G1522" s="2"/>
      <c r="L1522" s="5"/>
      <c r="M1522" s="4">
        <f>M1521-Table1[[#This Row],[Debits]]+Table1[[#This Row],[Income]]</f>
        <v>1900</v>
      </c>
      <c r="N1522" t="str">
        <f>IF(AND(Table1[[#This Row],[Category]]="pay",NOT(Table1[[#This Row],[Debits]]=0)),"bad","good")</f>
        <v>good</v>
      </c>
      <c r="O1522" s="5"/>
    </row>
    <row r="1523" spans="6:15" x14ac:dyDescent="0.3">
      <c r="F1523">
        <f>MONTH(Table1[[#This Row],[Date  (DMY)]])</f>
        <v>1</v>
      </c>
      <c r="G1523" s="2"/>
      <c r="L1523" s="5"/>
      <c r="M1523" s="4">
        <f>M1522-Table1[[#This Row],[Debits]]+Table1[[#This Row],[Income]]</f>
        <v>1900</v>
      </c>
      <c r="N1523" t="str">
        <f>IF(AND(Table1[[#This Row],[Category]]="pay",NOT(Table1[[#This Row],[Debits]]=0)),"bad","good")</f>
        <v>good</v>
      </c>
      <c r="O1523" s="5"/>
    </row>
    <row r="1524" spans="6:15" x14ac:dyDescent="0.3">
      <c r="F1524">
        <f>MONTH(Table1[[#This Row],[Date  (DMY)]])</f>
        <v>1</v>
      </c>
      <c r="G1524" s="2"/>
      <c r="L1524" s="5"/>
      <c r="M1524" s="4">
        <f>M1523-Table1[[#This Row],[Debits]]+Table1[[#This Row],[Income]]</f>
        <v>1900</v>
      </c>
      <c r="N1524" t="str">
        <f>IF(AND(Table1[[#This Row],[Category]]="pay",NOT(Table1[[#This Row],[Debits]]=0)),"bad","good")</f>
        <v>good</v>
      </c>
      <c r="O1524" s="5"/>
    </row>
    <row r="1525" spans="6:15" x14ac:dyDescent="0.3">
      <c r="F1525">
        <f>MONTH(Table1[[#This Row],[Date  (DMY)]])</f>
        <v>1</v>
      </c>
      <c r="G1525" s="2"/>
      <c r="L1525" s="5"/>
      <c r="M1525" s="4">
        <f>M1524-Table1[[#This Row],[Debits]]+Table1[[#This Row],[Income]]</f>
        <v>1900</v>
      </c>
      <c r="N1525" t="str">
        <f>IF(AND(Table1[[#This Row],[Category]]="pay",NOT(Table1[[#This Row],[Debits]]=0)),"bad","good")</f>
        <v>good</v>
      </c>
      <c r="O1525" s="5"/>
    </row>
    <row r="1526" spans="6:15" x14ac:dyDescent="0.3">
      <c r="F1526">
        <f>MONTH(Table1[[#This Row],[Date  (DMY)]])</f>
        <v>1</v>
      </c>
      <c r="G1526" s="2"/>
      <c r="L1526" s="5"/>
      <c r="M1526" s="4">
        <f>M1525-Table1[[#This Row],[Debits]]+Table1[[#This Row],[Income]]</f>
        <v>1900</v>
      </c>
      <c r="N1526" t="str">
        <f>IF(AND(Table1[[#This Row],[Category]]="pay",NOT(Table1[[#This Row],[Debits]]=0)),"bad","good")</f>
        <v>good</v>
      </c>
      <c r="O1526" s="5"/>
    </row>
    <row r="1527" spans="6:15" x14ac:dyDescent="0.3">
      <c r="F1527">
        <f>MONTH(Table1[[#This Row],[Date  (DMY)]])</f>
        <v>1</v>
      </c>
      <c r="G1527" s="2"/>
      <c r="L1527" s="5"/>
      <c r="M1527" s="4">
        <f>M1526-Table1[[#This Row],[Debits]]+Table1[[#This Row],[Income]]</f>
        <v>1900</v>
      </c>
      <c r="N1527" t="str">
        <f>IF(AND(Table1[[#This Row],[Category]]="pay",NOT(Table1[[#This Row],[Debits]]=0)),"bad","good")</f>
        <v>good</v>
      </c>
      <c r="O1527" s="5"/>
    </row>
    <row r="1528" spans="6:15" x14ac:dyDescent="0.3">
      <c r="F1528">
        <f>MONTH(Table1[[#This Row],[Date  (DMY)]])</f>
        <v>1</v>
      </c>
      <c r="G1528" s="2"/>
      <c r="L1528" s="5"/>
      <c r="M1528" s="4">
        <f>M1527-Table1[[#This Row],[Debits]]+Table1[[#This Row],[Income]]</f>
        <v>1900</v>
      </c>
      <c r="N1528" t="str">
        <f>IF(AND(Table1[[#This Row],[Category]]="pay",NOT(Table1[[#This Row],[Debits]]=0)),"bad","good")</f>
        <v>good</v>
      </c>
      <c r="O1528" s="5"/>
    </row>
    <row r="1529" spans="6:15" x14ac:dyDescent="0.3">
      <c r="F1529">
        <f>MONTH(Table1[[#This Row],[Date  (DMY)]])</f>
        <v>1</v>
      </c>
      <c r="G1529" s="2"/>
      <c r="L1529" s="5"/>
      <c r="M1529" s="4">
        <f>M1528-Table1[[#This Row],[Debits]]+Table1[[#This Row],[Income]]</f>
        <v>1900</v>
      </c>
      <c r="N1529" t="str">
        <f>IF(AND(Table1[[#This Row],[Category]]="pay",NOT(Table1[[#This Row],[Debits]]=0)),"bad","good")</f>
        <v>good</v>
      </c>
      <c r="O1529" s="5"/>
    </row>
    <row r="1530" spans="6:15" x14ac:dyDescent="0.3">
      <c r="F1530">
        <f>MONTH(Table1[[#This Row],[Date  (DMY)]])</f>
        <v>1</v>
      </c>
      <c r="G1530" s="2"/>
      <c r="L1530" s="5"/>
      <c r="M1530" s="4">
        <f>M1529-Table1[[#This Row],[Debits]]+Table1[[#This Row],[Income]]</f>
        <v>1900</v>
      </c>
      <c r="N1530" t="str">
        <f>IF(AND(Table1[[#This Row],[Category]]="pay",NOT(Table1[[#This Row],[Debits]]=0)),"bad","good")</f>
        <v>good</v>
      </c>
      <c r="O1530" s="5"/>
    </row>
    <row r="1531" spans="6:15" x14ac:dyDescent="0.3">
      <c r="F1531">
        <f>MONTH(Table1[[#This Row],[Date  (DMY)]])</f>
        <v>1</v>
      </c>
      <c r="G1531" s="2"/>
      <c r="L1531" s="5"/>
      <c r="M1531" s="4">
        <f>M1530-Table1[[#This Row],[Debits]]+Table1[[#This Row],[Income]]</f>
        <v>1900</v>
      </c>
      <c r="N1531" t="str">
        <f>IF(AND(Table1[[#This Row],[Category]]="pay",NOT(Table1[[#This Row],[Debits]]=0)),"bad","good")</f>
        <v>good</v>
      </c>
      <c r="O1531" s="5"/>
    </row>
    <row r="1532" spans="6:15" x14ac:dyDescent="0.3">
      <c r="F1532">
        <f>MONTH(Table1[[#This Row],[Date  (DMY)]])</f>
        <v>1</v>
      </c>
      <c r="G1532" s="2"/>
      <c r="L1532" s="5"/>
      <c r="M1532" s="4">
        <f>M1531-Table1[[#This Row],[Debits]]+Table1[[#This Row],[Income]]</f>
        <v>1900</v>
      </c>
      <c r="N1532" t="str">
        <f>IF(AND(Table1[[#This Row],[Category]]="pay",NOT(Table1[[#This Row],[Debits]]=0)),"bad","good")</f>
        <v>good</v>
      </c>
      <c r="O1532" s="5"/>
    </row>
    <row r="1533" spans="6:15" x14ac:dyDescent="0.3">
      <c r="F1533">
        <f>MONTH(Table1[[#This Row],[Date  (DMY)]])</f>
        <v>1</v>
      </c>
      <c r="G1533" s="2"/>
      <c r="L1533" s="5"/>
      <c r="M1533" s="4">
        <f>M1532-Table1[[#This Row],[Debits]]+Table1[[#This Row],[Income]]</f>
        <v>1900</v>
      </c>
      <c r="N1533" t="str">
        <f>IF(AND(Table1[[#This Row],[Category]]="pay",NOT(Table1[[#This Row],[Debits]]=0)),"bad","good")</f>
        <v>good</v>
      </c>
      <c r="O1533" s="5"/>
    </row>
    <row r="1534" spans="6:15" x14ac:dyDescent="0.3">
      <c r="F1534">
        <f>MONTH(Table1[[#This Row],[Date  (DMY)]])</f>
        <v>1</v>
      </c>
      <c r="G1534" s="2"/>
      <c r="L1534" s="5"/>
      <c r="M1534" s="4">
        <f>M1533-Table1[[#This Row],[Debits]]+Table1[[#This Row],[Income]]</f>
        <v>1900</v>
      </c>
      <c r="N1534" t="str">
        <f>IF(AND(Table1[[#This Row],[Category]]="pay",NOT(Table1[[#This Row],[Debits]]=0)),"bad","good")</f>
        <v>good</v>
      </c>
      <c r="O1534" s="5"/>
    </row>
    <row r="1535" spans="6:15" x14ac:dyDescent="0.3">
      <c r="F1535">
        <f>MONTH(Table1[[#This Row],[Date  (DMY)]])</f>
        <v>1</v>
      </c>
      <c r="G1535" s="2"/>
      <c r="L1535" s="5"/>
      <c r="M1535" s="4">
        <f>M1534-Table1[[#This Row],[Debits]]+Table1[[#This Row],[Income]]</f>
        <v>1900</v>
      </c>
      <c r="N1535" t="str">
        <f>IF(AND(Table1[[#This Row],[Category]]="pay",NOT(Table1[[#This Row],[Debits]]=0)),"bad","good")</f>
        <v>good</v>
      </c>
      <c r="O1535" s="5"/>
    </row>
    <row r="1536" spans="6:15" x14ac:dyDescent="0.3">
      <c r="F1536">
        <f>MONTH(Table1[[#This Row],[Date  (DMY)]])</f>
        <v>1</v>
      </c>
      <c r="G1536" s="2"/>
      <c r="L1536" s="5"/>
      <c r="M1536" s="4">
        <f>M1535-Table1[[#This Row],[Debits]]+Table1[[#This Row],[Income]]</f>
        <v>1900</v>
      </c>
      <c r="N1536" t="str">
        <f>IF(AND(Table1[[#This Row],[Category]]="pay",NOT(Table1[[#This Row],[Debits]]=0)),"bad","good")</f>
        <v>good</v>
      </c>
      <c r="O1536" s="5"/>
    </row>
    <row r="1537" spans="6:15" x14ac:dyDescent="0.3">
      <c r="F1537">
        <f>MONTH(Table1[[#This Row],[Date  (DMY)]])</f>
        <v>1</v>
      </c>
      <c r="G1537" s="2"/>
      <c r="L1537" s="5"/>
      <c r="M1537" s="4">
        <f>M1536-Table1[[#This Row],[Debits]]+Table1[[#This Row],[Income]]</f>
        <v>1900</v>
      </c>
      <c r="N1537" t="str">
        <f>IF(AND(Table1[[#This Row],[Category]]="pay",NOT(Table1[[#This Row],[Debits]]=0)),"bad","good")</f>
        <v>good</v>
      </c>
      <c r="O1537" s="5"/>
    </row>
    <row r="1538" spans="6:15" x14ac:dyDescent="0.3">
      <c r="F1538">
        <f>MONTH(Table1[[#This Row],[Date  (DMY)]])</f>
        <v>1</v>
      </c>
      <c r="G1538" s="2"/>
      <c r="L1538" s="5"/>
      <c r="M1538" s="4">
        <f>M1537-Table1[[#This Row],[Debits]]+Table1[[#This Row],[Income]]</f>
        <v>1900</v>
      </c>
      <c r="N1538" t="str">
        <f>IF(AND(Table1[[#This Row],[Category]]="pay",NOT(Table1[[#This Row],[Debits]]=0)),"bad","good")</f>
        <v>good</v>
      </c>
      <c r="O1538" s="5"/>
    </row>
    <row r="1539" spans="6:15" x14ac:dyDescent="0.3">
      <c r="F1539">
        <f>MONTH(Table1[[#This Row],[Date  (DMY)]])</f>
        <v>1</v>
      </c>
      <c r="G1539" s="2"/>
      <c r="L1539" s="5"/>
      <c r="M1539" s="4">
        <f>M1538-Table1[[#This Row],[Debits]]+Table1[[#This Row],[Income]]</f>
        <v>1900</v>
      </c>
      <c r="N1539" t="str">
        <f>IF(AND(Table1[[#This Row],[Category]]="pay",NOT(Table1[[#This Row],[Debits]]=0)),"bad","good")</f>
        <v>good</v>
      </c>
      <c r="O1539" s="5"/>
    </row>
    <row r="1540" spans="6:15" x14ac:dyDescent="0.3">
      <c r="F1540">
        <f>MONTH(Table1[[#This Row],[Date  (DMY)]])</f>
        <v>1</v>
      </c>
      <c r="G1540" s="2"/>
      <c r="L1540" s="5"/>
      <c r="M1540" s="4">
        <f>M1539-Table1[[#This Row],[Debits]]+Table1[[#This Row],[Income]]</f>
        <v>1900</v>
      </c>
      <c r="N1540" t="str">
        <f>IF(AND(Table1[[#This Row],[Category]]="pay",NOT(Table1[[#This Row],[Debits]]=0)),"bad","good")</f>
        <v>good</v>
      </c>
      <c r="O1540" s="5"/>
    </row>
    <row r="1541" spans="6:15" x14ac:dyDescent="0.3">
      <c r="F1541">
        <f>MONTH(Table1[[#This Row],[Date  (DMY)]])</f>
        <v>1</v>
      </c>
      <c r="G1541" s="2"/>
      <c r="L1541" s="5"/>
      <c r="M1541" s="4">
        <f>M1540-Table1[[#This Row],[Debits]]+Table1[[#This Row],[Income]]</f>
        <v>1900</v>
      </c>
      <c r="N1541" t="str">
        <f>IF(AND(Table1[[#This Row],[Category]]="pay",NOT(Table1[[#This Row],[Debits]]=0)),"bad","good")</f>
        <v>good</v>
      </c>
      <c r="O1541" s="5"/>
    </row>
    <row r="1542" spans="6:15" x14ac:dyDescent="0.3">
      <c r="F1542">
        <f>MONTH(Table1[[#This Row],[Date  (DMY)]])</f>
        <v>1</v>
      </c>
      <c r="G1542" s="2"/>
      <c r="L1542" s="5"/>
      <c r="M1542" s="4">
        <f>M1541-Table1[[#This Row],[Debits]]+Table1[[#This Row],[Income]]</f>
        <v>1900</v>
      </c>
      <c r="N1542" t="str">
        <f>IF(AND(Table1[[#This Row],[Category]]="pay",NOT(Table1[[#This Row],[Debits]]=0)),"bad","good")</f>
        <v>good</v>
      </c>
      <c r="O1542" s="5"/>
    </row>
    <row r="1543" spans="6:15" x14ac:dyDescent="0.3">
      <c r="F1543">
        <f>MONTH(Table1[[#This Row],[Date  (DMY)]])</f>
        <v>1</v>
      </c>
      <c r="G1543" s="2"/>
      <c r="L1543" s="5"/>
      <c r="M1543" s="4">
        <f>M1542-Table1[[#This Row],[Debits]]+Table1[[#This Row],[Income]]</f>
        <v>1900</v>
      </c>
      <c r="N1543" t="str">
        <f>IF(AND(Table1[[#This Row],[Category]]="pay",NOT(Table1[[#This Row],[Debits]]=0)),"bad","good")</f>
        <v>good</v>
      </c>
      <c r="O1543" s="5"/>
    </row>
    <row r="1544" spans="6:15" x14ac:dyDescent="0.3">
      <c r="F1544">
        <f>MONTH(Table1[[#This Row],[Date  (DMY)]])</f>
        <v>1</v>
      </c>
      <c r="G1544" s="2"/>
      <c r="L1544" s="5"/>
      <c r="M1544" s="4">
        <f>M1543-Table1[[#This Row],[Debits]]+Table1[[#This Row],[Income]]</f>
        <v>1900</v>
      </c>
      <c r="N1544" t="str">
        <f>IF(AND(Table1[[#This Row],[Category]]="pay",NOT(Table1[[#This Row],[Debits]]=0)),"bad","good")</f>
        <v>good</v>
      </c>
      <c r="O1544" s="5"/>
    </row>
    <row r="1545" spans="6:15" x14ac:dyDescent="0.3">
      <c r="F1545">
        <f>MONTH(Table1[[#This Row],[Date  (DMY)]])</f>
        <v>1</v>
      </c>
      <c r="G1545" s="2"/>
      <c r="L1545" s="5"/>
      <c r="M1545" s="4">
        <f>M1544-Table1[[#This Row],[Debits]]+Table1[[#This Row],[Income]]</f>
        <v>1900</v>
      </c>
      <c r="N1545" t="str">
        <f>IF(AND(Table1[[#This Row],[Category]]="pay",NOT(Table1[[#This Row],[Debits]]=0)),"bad","good")</f>
        <v>good</v>
      </c>
      <c r="O1545" s="5"/>
    </row>
    <row r="1546" spans="6:15" x14ac:dyDescent="0.3">
      <c r="F1546">
        <f>MONTH(Table1[[#This Row],[Date  (DMY)]])</f>
        <v>1</v>
      </c>
      <c r="G1546" s="2"/>
      <c r="L1546" s="5"/>
      <c r="M1546" s="4">
        <f>M1545-Table1[[#This Row],[Debits]]+Table1[[#This Row],[Income]]</f>
        <v>1900</v>
      </c>
      <c r="N1546" t="str">
        <f>IF(AND(Table1[[#This Row],[Category]]="pay",NOT(Table1[[#This Row],[Debits]]=0)),"bad","good")</f>
        <v>good</v>
      </c>
      <c r="O1546" s="5"/>
    </row>
    <row r="1547" spans="6:15" x14ac:dyDescent="0.3">
      <c r="F1547">
        <f>MONTH(Table1[[#This Row],[Date  (DMY)]])</f>
        <v>1</v>
      </c>
      <c r="G1547" s="2"/>
      <c r="L1547" s="5"/>
      <c r="M1547" s="4">
        <f>M1546-Table1[[#This Row],[Debits]]+Table1[[#This Row],[Income]]</f>
        <v>1900</v>
      </c>
      <c r="N1547" t="str">
        <f>IF(AND(Table1[[#This Row],[Category]]="pay",NOT(Table1[[#This Row],[Debits]]=0)),"bad","good")</f>
        <v>good</v>
      </c>
      <c r="O1547" s="5"/>
    </row>
    <row r="1548" spans="6:15" x14ac:dyDescent="0.3">
      <c r="F1548">
        <f>MONTH(Table1[[#This Row],[Date  (DMY)]])</f>
        <v>1</v>
      </c>
      <c r="G1548" s="2"/>
      <c r="L1548" s="5"/>
      <c r="M1548" s="4">
        <f>M1547-Table1[[#This Row],[Debits]]+Table1[[#This Row],[Income]]</f>
        <v>1900</v>
      </c>
      <c r="N1548" t="str">
        <f>IF(AND(Table1[[#This Row],[Category]]="pay",NOT(Table1[[#This Row],[Debits]]=0)),"bad","good")</f>
        <v>good</v>
      </c>
      <c r="O1548" s="5"/>
    </row>
    <row r="1549" spans="6:15" x14ac:dyDescent="0.3">
      <c r="F1549">
        <f>MONTH(Table1[[#This Row],[Date  (DMY)]])</f>
        <v>1</v>
      </c>
      <c r="G1549" s="2"/>
      <c r="L1549" s="5"/>
      <c r="M1549" s="4">
        <f>M1548-Table1[[#This Row],[Debits]]+Table1[[#This Row],[Income]]</f>
        <v>1900</v>
      </c>
      <c r="N1549" t="str">
        <f>IF(AND(Table1[[#This Row],[Category]]="pay",NOT(Table1[[#This Row],[Debits]]=0)),"bad","good")</f>
        <v>good</v>
      </c>
      <c r="O1549" s="5"/>
    </row>
    <row r="1550" spans="6:15" x14ac:dyDescent="0.3">
      <c r="F1550">
        <f>MONTH(Table1[[#This Row],[Date  (DMY)]])</f>
        <v>1</v>
      </c>
      <c r="G1550" s="2"/>
      <c r="L1550" s="5"/>
      <c r="M1550" s="4">
        <f>M1549-Table1[[#This Row],[Debits]]+Table1[[#This Row],[Income]]</f>
        <v>1900</v>
      </c>
      <c r="N1550" t="str">
        <f>IF(AND(Table1[[#This Row],[Category]]="pay",NOT(Table1[[#This Row],[Debits]]=0)),"bad","good")</f>
        <v>good</v>
      </c>
      <c r="O1550" s="5"/>
    </row>
    <row r="1551" spans="6:15" x14ac:dyDescent="0.3">
      <c r="F1551">
        <f>MONTH(Table1[[#This Row],[Date  (DMY)]])</f>
        <v>1</v>
      </c>
      <c r="G1551" s="2"/>
      <c r="L1551" s="5"/>
      <c r="M1551" s="4">
        <f>M1550-Table1[[#This Row],[Debits]]+Table1[[#This Row],[Income]]</f>
        <v>1900</v>
      </c>
      <c r="N1551" t="str">
        <f>IF(AND(Table1[[#This Row],[Category]]="pay",NOT(Table1[[#This Row],[Debits]]=0)),"bad","good")</f>
        <v>good</v>
      </c>
      <c r="O1551" s="5"/>
    </row>
    <row r="1552" spans="6:15" x14ac:dyDescent="0.3">
      <c r="F1552">
        <f>MONTH(Table1[[#This Row],[Date  (DMY)]])</f>
        <v>1</v>
      </c>
      <c r="G1552" s="2"/>
      <c r="L1552" s="5"/>
      <c r="M1552" s="4">
        <f>M1551-Table1[[#This Row],[Debits]]+Table1[[#This Row],[Income]]</f>
        <v>1900</v>
      </c>
      <c r="N1552" t="str">
        <f>IF(AND(Table1[[#This Row],[Category]]="pay",NOT(Table1[[#This Row],[Debits]]=0)),"bad","good")</f>
        <v>good</v>
      </c>
      <c r="O1552" s="5"/>
    </row>
    <row r="1553" spans="6:15" x14ac:dyDescent="0.3">
      <c r="F1553">
        <f>MONTH(Table1[[#This Row],[Date  (DMY)]])</f>
        <v>1</v>
      </c>
      <c r="G1553" s="2"/>
      <c r="L1553" s="5"/>
      <c r="M1553" s="4">
        <f>M1552-Table1[[#This Row],[Debits]]+Table1[[#This Row],[Income]]</f>
        <v>1900</v>
      </c>
      <c r="N1553" t="str">
        <f>IF(AND(Table1[[#This Row],[Category]]="pay",NOT(Table1[[#This Row],[Debits]]=0)),"bad","good")</f>
        <v>good</v>
      </c>
      <c r="O1553" s="5"/>
    </row>
    <row r="1554" spans="6:15" x14ac:dyDescent="0.3">
      <c r="F1554">
        <f>MONTH(Table1[[#This Row],[Date  (DMY)]])</f>
        <v>1</v>
      </c>
      <c r="G1554" s="2"/>
      <c r="L1554" s="5"/>
      <c r="M1554" s="4">
        <f>M1553-Table1[[#This Row],[Debits]]+Table1[[#This Row],[Income]]</f>
        <v>1900</v>
      </c>
      <c r="N1554" t="str">
        <f>IF(AND(Table1[[#This Row],[Category]]="pay",NOT(Table1[[#This Row],[Debits]]=0)),"bad","good")</f>
        <v>good</v>
      </c>
      <c r="O1554" s="5"/>
    </row>
    <row r="1555" spans="6:15" x14ac:dyDescent="0.3">
      <c r="F1555">
        <f>MONTH(Table1[[#This Row],[Date  (DMY)]])</f>
        <v>1</v>
      </c>
      <c r="G1555" s="2"/>
      <c r="L1555" s="5"/>
      <c r="M1555" s="4">
        <f>M1554-Table1[[#This Row],[Debits]]+Table1[[#This Row],[Income]]</f>
        <v>1900</v>
      </c>
      <c r="N1555" t="str">
        <f>IF(AND(Table1[[#This Row],[Category]]="pay",NOT(Table1[[#This Row],[Debits]]=0)),"bad","good")</f>
        <v>good</v>
      </c>
      <c r="O1555" s="5"/>
    </row>
    <row r="1556" spans="6:15" x14ac:dyDescent="0.3">
      <c r="F1556">
        <f>MONTH(Table1[[#This Row],[Date  (DMY)]])</f>
        <v>1</v>
      </c>
      <c r="G1556" s="2"/>
      <c r="L1556" s="5"/>
      <c r="M1556" s="4">
        <f>M1555-Table1[[#This Row],[Debits]]+Table1[[#This Row],[Income]]</f>
        <v>1900</v>
      </c>
      <c r="N1556" t="str">
        <f>IF(AND(Table1[[#This Row],[Category]]="pay",NOT(Table1[[#This Row],[Debits]]=0)),"bad","good")</f>
        <v>good</v>
      </c>
      <c r="O1556" s="5"/>
    </row>
    <row r="1557" spans="6:15" x14ac:dyDescent="0.3">
      <c r="F1557">
        <f>MONTH(Table1[[#This Row],[Date  (DMY)]])</f>
        <v>1</v>
      </c>
      <c r="G1557" s="2"/>
      <c r="L1557" s="5"/>
      <c r="M1557" s="4">
        <f>M1556-Table1[[#This Row],[Debits]]+Table1[[#This Row],[Income]]</f>
        <v>1900</v>
      </c>
      <c r="N1557" t="str">
        <f>IF(AND(Table1[[#This Row],[Category]]="pay",NOT(Table1[[#This Row],[Debits]]=0)),"bad","good")</f>
        <v>good</v>
      </c>
      <c r="O1557" s="5"/>
    </row>
    <row r="1558" spans="6:15" x14ac:dyDescent="0.3">
      <c r="F1558">
        <f>MONTH(Table1[[#This Row],[Date  (DMY)]])</f>
        <v>1</v>
      </c>
      <c r="G1558" s="2"/>
      <c r="L1558" s="5"/>
      <c r="M1558" s="4">
        <f>M1557-Table1[[#This Row],[Debits]]+Table1[[#This Row],[Income]]</f>
        <v>1900</v>
      </c>
      <c r="N1558" t="str">
        <f>IF(AND(Table1[[#This Row],[Category]]="pay",NOT(Table1[[#This Row],[Debits]]=0)),"bad","good")</f>
        <v>good</v>
      </c>
      <c r="O1558" s="5"/>
    </row>
    <row r="1559" spans="6:15" x14ac:dyDescent="0.3">
      <c r="F1559">
        <f>MONTH(Table1[[#This Row],[Date  (DMY)]])</f>
        <v>1</v>
      </c>
      <c r="G1559" s="2"/>
      <c r="L1559" s="5"/>
      <c r="M1559" s="4">
        <f>M1558-Table1[[#This Row],[Debits]]+Table1[[#This Row],[Income]]</f>
        <v>1900</v>
      </c>
      <c r="N1559" t="str">
        <f>IF(AND(Table1[[#This Row],[Category]]="pay",NOT(Table1[[#This Row],[Debits]]=0)),"bad","good")</f>
        <v>good</v>
      </c>
      <c r="O1559" s="5"/>
    </row>
    <row r="1560" spans="6:15" x14ac:dyDescent="0.3">
      <c r="F1560">
        <f>MONTH(Table1[[#This Row],[Date  (DMY)]])</f>
        <v>1</v>
      </c>
      <c r="G1560" s="2"/>
      <c r="L1560" s="5"/>
      <c r="M1560" s="4">
        <f>M1559-Table1[[#This Row],[Debits]]+Table1[[#This Row],[Income]]</f>
        <v>1900</v>
      </c>
      <c r="N1560" t="str">
        <f>IF(AND(Table1[[#This Row],[Category]]="pay",NOT(Table1[[#This Row],[Debits]]=0)),"bad","good")</f>
        <v>good</v>
      </c>
      <c r="O1560" s="5"/>
    </row>
    <row r="1561" spans="6:15" x14ac:dyDescent="0.3">
      <c r="F1561">
        <f>MONTH(Table1[[#This Row],[Date  (DMY)]])</f>
        <v>1</v>
      </c>
      <c r="G1561" s="2"/>
      <c r="L1561" s="5"/>
      <c r="M1561" s="4">
        <f>M1560-Table1[[#This Row],[Debits]]+Table1[[#This Row],[Income]]</f>
        <v>1900</v>
      </c>
      <c r="N1561" t="str">
        <f>IF(AND(Table1[[#This Row],[Category]]="pay",NOT(Table1[[#This Row],[Debits]]=0)),"bad","good")</f>
        <v>good</v>
      </c>
      <c r="O1561" s="5"/>
    </row>
    <row r="1562" spans="6:15" x14ac:dyDescent="0.3">
      <c r="F1562">
        <f>MONTH(Table1[[#This Row],[Date  (DMY)]])</f>
        <v>1</v>
      </c>
      <c r="G1562" s="2"/>
      <c r="L1562" s="5"/>
      <c r="M1562" s="4">
        <f>M1561-Table1[[#This Row],[Debits]]+Table1[[#This Row],[Income]]</f>
        <v>1900</v>
      </c>
      <c r="N1562" t="str">
        <f>IF(AND(Table1[[#This Row],[Category]]="pay",NOT(Table1[[#This Row],[Debits]]=0)),"bad","good")</f>
        <v>good</v>
      </c>
      <c r="O1562" s="5"/>
    </row>
    <row r="1563" spans="6:15" x14ac:dyDescent="0.3">
      <c r="F1563">
        <f>MONTH(Table1[[#This Row],[Date  (DMY)]])</f>
        <v>1</v>
      </c>
      <c r="G1563" s="2"/>
      <c r="L1563" s="5"/>
      <c r="M1563" s="4">
        <f>M1562-Table1[[#This Row],[Debits]]+Table1[[#This Row],[Income]]</f>
        <v>1900</v>
      </c>
      <c r="N1563" t="str">
        <f>IF(AND(Table1[[#This Row],[Category]]="pay",NOT(Table1[[#This Row],[Debits]]=0)),"bad","good")</f>
        <v>good</v>
      </c>
      <c r="O1563" s="5"/>
    </row>
    <row r="1564" spans="6:15" x14ac:dyDescent="0.3">
      <c r="F1564">
        <f>MONTH(Table1[[#This Row],[Date  (DMY)]])</f>
        <v>1</v>
      </c>
      <c r="G1564" s="2"/>
      <c r="L1564" s="5"/>
      <c r="M1564" s="4">
        <f>M1563-Table1[[#This Row],[Debits]]+Table1[[#This Row],[Income]]</f>
        <v>1900</v>
      </c>
      <c r="N1564" t="str">
        <f>IF(AND(Table1[[#This Row],[Category]]="pay",NOT(Table1[[#This Row],[Debits]]=0)),"bad","good")</f>
        <v>good</v>
      </c>
      <c r="O1564" s="5"/>
    </row>
    <row r="1565" spans="6:15" x14ac:dyDescent="0.3">
      <c r="F1565">
        <f>MONTH(Table1[[#This Row],[Date  (DMY)]])</f>
        <v>1</v>
      </c>
      <c r="G1565" s="2"/>
      <c r="L1565" s="5"/>
      <c r="M1565" s="4">
        <f>M1564-Table1[[#This Row],[Debits]]+Table1[[#This Row],[Income]]</f>
        <v>1900</v>
      </c>
      <c r="N1565" t="str">
        <f>IF(AND(Table1[[#This Row],[Category]]="pay",NOT(Table1[[#This Row],[Debits]]=0)),"bad","good")</f>
        <v>good</v>
      </c>
      <c r="O1565" s="5"/>
    </row>
    <row r="1566" spans="6:15" x14ac:dyDescent="0.3">
      <c r="F1566">
        <f>MONTH(Table1[[#This Row],[Date  (DMY)]])</f>
        <v>1</v>
      </c>
      <c r="G1566" s="2"/>
      <c r="L1566" s="5"/>
      <c r="M1566" s="4">
        <f>M1565-Table1[[#This Row],[Debits]]+Table1[[#This Row],[Income]]</f>
        <v>1900</v>
      </c>
      <c r="N1566" t="str">
        <f>IF(AND(Table1[[#This Row],[Category]]="pay",NOT(Table1[[#This Row],[Debits]]=0)),"bad","good")</f>
        <v>good</v>
      </c>
      <c r="O1566" s="5"/>
    </row>
    <row r="1567" spans="6:15" x14ac:dyDescent="0.3">
      <c r="F1567">
        <f>MONTH(Table1[[#This Row],[Date  (DMY)]])</f>
        <v>1</v>
      </c>
      <c r="G1567" s="2"/>
      <c r="L1567" s="5"/>
      <c r="M1567" s="4">
        <f>M1566-Table1[[#This Row],[Debits]]+Table1[[#This Row],[Income]]</f>
        <v>1900</v>
      </c>
      <c r="N1567" t="str">
        <f>IF(AND(Table1[[#This Row],[Category]]="pay",NOT(Table1[[#This Row],[Debits]]=0)),"bad","good")</f>
        <v>good</v>
      </c>
      <c r="O1567" s="5"/>
    </row>
    <row r="1568" spans="6:15" x14ac:dyDescent="0.3">
      <c r="F1568">
        <f>MONTH(Table1[[#This Row],[Date  (DMY)]])</f>
        <v>1</v>
      </c>
      <c r="G1568" s="2"/>
      <c r="L1568" s="5"/>
      <c r="M1568" s="4">
        <f>M1567-Table1[[#This Row],[Debits]]+Table1[[#This Row],[Income]]</f>
        <v>1900</v>
      </c>
      <c r="N1568" t="str">
        <f>IF(AND(Table1[[#This Row],[Category]]="pay",NOT(Table1[[#This Row],[Debits]]=0)),"bad","good")</f>
        <v>good</v>
      </c>
      <c r="O1568" s="5"/>
    </row>
    <row r="1569" spans="6:15" x14ac:dyDescent="0.3">
      <c r="F1569">
        <f>MONTH(Table1[[#This Row],[Date  (DMY)]])</f>
        <v>1</v>
      </c>
      <c r="G1569" s="2"/>
      <c r="L1569" s="5"/>
      <c r="M1569" s="4">
        <f>M1568-Table1[[#This Row],[Debits]]+Table1[[#This Row],[Income]]</f>
        <v>1900</v>
      </c>
      <c r="N1569" t="str">
        <f>IF(AND(Table1[[#This Row],[Category]]="pay",NOT(Table1[[#This Row],[Debits]]=0)),"bad","good")</f>
        <v>good</v>
      </c>
      <c r="O1569" s="5"/>
    </row>
    <row r="1570" spans="6:15" x14ac:dyDescent="0.3">
      <c r="F1570">
        <f>MONTH(Table1[[#This Row],[Date  (DMY)]])</f>
        <v>1</v>
      </c>
      <c r="G1570" s="2"/>
      <c r="L1570" s="5"/>
      <c r="M1570" s="4">
        <f>M1569-Table1[[#This Row],[Debits]]+Table1[[#This Row],[Income]]</f>
        <v>1900</v>
      </c>
      <c r="N1570" t="str">
        <f>IF(AND(Table1[[#This Row],[Category]]="pay",NOT(Table1[[#This Row],[Debits]]=0)),"bad","good")</f>
        <v>good</v>
      </c>
      <c r="O1570" s="5"/>
    </row>
    <row r="1571" spans="6:15" x14ac:dyDescent="0.3">
      <c r="F1571">
        <f>MONTH(Table1[[#This Row],[Date  (DMY)]])</f>
        <v>1</v>
      </c>
      <c r="G1571" s="2"/>
      <c r="L1571" s="5"/>
      <c r="M1571" s="4">
        <f>M1570-Table1[[#This Row],[Debits]]+Table1[[#This Row],[Income]]</f>
        <v>1900</v>
      </c>
      <c r="N1571" t="str">
        <f>IF(AND(Table1[[#This Row],[Category]]="pay",NOT(Table1[[#This Row],[Debits]]=0)),"bad","good")</f>
        <v>good</v>
      </c>
      <c r="O1571" s="5"/>
    </row>
    <row r="1572" spans="6:15" x14ac:dyDescent="0.3">
      <c r="F1572">
        <f>MONTH(Table1[[#This Row],[Date  (DMY)]])</f>
        <v>1</v>
      </c>
      <c r="G1572" s="2"/>
      <c r="L1572" s="5"/>
      <c r="M1572" s="4">
        <f>M1571-Table1[[#This Row],[Debits]]+Table1[[#This Row],[Income]]</f>
        <v>1900</v>
      </c>
      <c r="N1572" t="str">
        <f>IF(AND(Table1[[#This Row],[Category]]="pay",NOT(Table1[[#This Row],[Debits]]=0)),"bad","good")</f>
        <v>good</v>
      </c>
      <c r="O1572" s="5"/>
    </row>
    <row r="1573" spans="6:15" x14ac:dyDescent="0.3">
      <c r="F1573">
        <f>MONTH(Table1[[#This Row],[Date  (DMY)]])</f>
        <v>1</v>
      </c>
      <c r="G1573" s="2"/>
      <c r="L1573" s="5"/>
      <c r="M1573" s="4">
        <f>M1572-Table1[[#This Row],[Debits]]+Table1[[#This Row],[Income]]</f>
        <v>1900</v>
      </c>
      <c r="N1573" t="str">
        <f>IF(AND(Table1[[#This Row],[Category]]="pay",NOT(Table1[[#This Row],[Debits]]=0)),"bad","good")</f>
        <v>good</v>
      </c>
      <c r="O1573" s="5"/>
    </row>
    <row r="1574" spans="6:15" x14ac:dyDescent="0.3">
      <c r="F1574">
        <f>MONTH(Table1[[#This Row],[Date  (DMY)]])</f>
        <v>1</v>
      </c>
      <c r="G1574" s="2"/>
      <c r="L1574" s="5"/>
      <c r="M1574" s="4">
        <f>M1573-Table1[[#This Row],[Debits]]+Table1[[#This Row],[Income]]</f>
        <v>1900</v>
      </c>
      <c r="N1574" t="str">
        <f>IF(AND(Table1[[#This Row],[Category]]="pay",NOT(Table1[[#This Row],[Debits]]=0)),"bad","good")</f>
        <v>good</v>
      </c>
      <c r="O1574" s="5"/>
    </row>
    <row r="1575" spans="6:15" x14ac:dyDescent="0.3">
      <c r="F1575">
        <f>MONTH(Table1[[#This Row],[Date  (DMY)]])</f>
        <v>1</v>
      </c>
      <c r="G1575" s="2"/>
      <c r="L1575" s="5"/>
      <c r="M1575" s="4">
        <f>M1574-Table1[[#This Row],[Debits]]+Table1[[#This Row],[Income]]</f>
        <v>1900</v>
      </c>
      <c r="N1575" t="str">
        <f>IF(AND(Table1[[#This Row],[Category]]="pay",NOT(Table1[[#This Row],[Debits]]=0)),"bad","good")</f>
        <v>good</v>
      </c>
      <c r="O1575" s="5"/>
    </row>
    <row r="1576" spans="6:15" x14ac:dyDescent="0.3">
      <c r="F1576">
        <f>MONTH(Table1[[#This Row],[Date  (DMY)]])</f>
        <v>1</v>
      </c>
      <c r="G1576" s="2"/>
      <c r="L1576" s="5"/>
      <c r="M1576" s="4">
        <f>M1575-Table1[[#This Row],[Debits]]+Table1[[#This Row],[Income]]</f>
        <v>1900</v>
      </c>
      <c r="N1576" t="str">
        <f>IF(AND(Table1[[#This Row],[Category]]="pay",NOT(Table1[[#This Row],[Debits]]=0)),"bad","good")</f>
        <v>good</v>
      </c>
      <c r="O1576" s="5"/>
    </row>
    <row r="1577" spans="6:15" x14ac:dyDescent="0.3">
      <c r="F1577">
        <f>MONTH(Table1[[#This Row],[Date  (DMY)]])</f>
        <v>1</v>
      </c>
      <c r="G1577" s="2"/>
      <c r="L1577" s="5"/>
      <c r="M1577" s="4">
        <f>M1576-Table1[[#This Row],[Debits]]+Table1[[#This Row],[Income]]</f>
        <v>1900</v>
      </c>
      <c r="N1577" t="str">
        <f>IF(AND(Table1[[#This Row],[Category]]="pay",NOT(Table1[[#This Row],[Debits]]=0)),"bad","good")</f>
        <v>good</v>
      </c>
      <c r="O1577" s="5"/>
    </row>
    <row r="1578" spans="6:15" x14ac:dyDescent="0.3">
      <c r="F1578">
        <f>MONTH(Table1[[#This Row],[Date  (DMY)]])</f>
        <v>1</v>
      </c>
      <c r="G1578" s="2"/>
      <c r="L1578" s="5"/>
      <c r="M1578" s="4">
        <f>M1577-Table1[[#This Row],[Debits]]+Table1[[#This Row],[Income]]</f>
        <v>1900</v>
      </c>
      <c r="N1578" t="str">
        <f>IF(AND(Table1[[#This Row],[Category]]="pay",NOT(Table1[[#This Row],[Debits]]=0)),"bad","good")</f>
        <v>good</v>
      </c>
      <c r="O1578" s="5"/>
    </row>
    <row r="1579" spans="6:15" x14ac:dyDescent="0.3">
      <c r="F1579">
        <f>MONTH(Table1[[#This Row],[Date  (DMY)]])</f>
        <v>1</v>
      </c>
      <c r="G1579" s="2"/>
      <c r="L1579" s="5"/>
      <c r="M1579" s="4">
        <f>M1578-Table1[[#This Row],[Debits]]+Table1[[#This Row],[Income]]</f>
        <v>1900</v>
      </c>
      <c r="N1579" t="str">
        <f>IF(AND(Table1[[#This Row],[Category]]="pay",NOT(Table1[[#This Row],[Debits]]=0)),"bad","good")</f>
        <v>good</v>
      </c>
      <c r="O1579" s="5"/>
    </row>
    <row r="1580" spans="6:15" x14ac:dyDescent="0.3">
      <c r="F1580">
        <f>MONTH(Table1[[#This Row],[Date  (DMY)]])</f>
        <v>1</v>
      </c>
      <c r="G1580" s="2"/>
      <c r="L1580" s="5"/>
      <c r="M1580" s="4">
        <f>M1579-Table1[[#This Row],[Debits]]+Table1[[#This Row],[Income]]</f>
        <v>1900</v>
      </c>
      <c r="N1580" t="str">
        <f>IF(AND(Table1[[#This Row],[Category]]="pay",NOT(Table1[[#This Row],[Debits]]=0)),"bad","good")</f>
        <v>good</v>
      </c>
      <c r="O1580" s="5"/>
    </row>
    <row r="1581" spans="6:15" x14ac:dyDescent="0.3">
      <c r="F1581">
        <f>MONTH(Table1[[#This Row],[Date  (DMY)]])</f>
        <v>1</v>
      </c>
      <c r="G1581" s="2"/>
      <c r="L1581" s="5"/>
      <c r="M1581" s="4">
        <f>M1580-Table1[[#This Row],[Debits]]+Table1[[#This Row],[Income]]</f>
        <v>1900</v>
      </c>
      <c r="N1581" t="str">
        <f>IF(AND(Table1[[#This Row],[Category]]="pay",NOT(Table1[[#This Row],[Debits]]=0)),"bad","good")</f>
        <v>good</v>
      </c>
      <c r="O1581" s="5"/>
    </row>
    <row r="1582" spans="6:15" x14ac:dyDescent="0.3">
      <c r="F1582">
        <f>MONTH(Table1[[#This Row],[Date  (DMY)]])</f>
        <v>1</v>
      </c>
      <c r="G1582" s="2"/>
      <c r="L1582" s="5"/>
      <c r="M1582" s="4">
        <f>M1581-Table1[[#This Row],[Debits]]+Table1[[#This Row],[Income]]</f>
        <v>1900</v>
      </c>
      <c r="N1582" t="str">
        <f>IF(AND(Table1[[#This Row],[Category]]="pay",NOT(Table1[[#This Row],[Debits]]=0)),"bad","good")</f>
        <v>good</v>
      </c>
      <c r="O1582" s="5"/>
    </row>
    <row r="1583" spans="6:15" x14ac:dyDescent="0.3">
      <c r="F1583">
        <f>MONTH(Table1[[#This Row],[Date  (DMY)]])</f>
        <v>1</v>
      </c>
      <c r="G1583" s="2"/>
      <c r="L1583" s="5"/>
      <c r="M1583" s="4">
        <f>M1582-Table1[[#This Row],[Debits]]+Table1[[#This Row],[Income]]</f>
        <v>1900</v>
      </c>
      <c r="N1583" t="str">
        <f>IF(AND(Table1[[#This Row],[Category]]="pay",NOT(Table1[[#This Row],[Debits]]=0)),"bad","good")</f>
        <v>good</v>
      </c>
      <c r="O1583" s="5"/>
    </row>
    <row r="1584" spans="6:15" x14ac:dyDescent="0.3">
      <c r="F1584">
        <f>MONTH(Table1[[#This Row],[Date  (DMY)]])</f>
        <v>1</v>
      </c>
      <c r="G1584" s="2"/>
      <c r="L1584" s="5"/>
      <c r="M1584" s="4">
        <f>M1583-Table1[[#This Row],[Debits]]+Table1[[#This Row],[Income]]</f>
        <v>1900</v>
      </c>
      <c r="N1584" t="str">
        <f>IF(AND(Table1[[#This Row],[Category]]="pay",NOT(Table1[[#This Row],[Debits]]=0)),"bad","good")</f>
        <v>good</v>
      </c>
      <c r="O1584" s="5"/>
    </row>
    <row r="1585" spans="6:15" x14ac:dyDescent="0.3">
      <c r="F1585">
        <f>MONTH(Table1[[#This Row],[Date  (DMY)]])</f>
        <v>1</v>
      </c>
      <c r="G1585" s="2"/>
      <c r="L1585" s="5"/>
      <c r="M1585" s="4">
        <f>M1584-Table1[[#This Row],[Debits]]+Table1[[#This Row],[Income]]</f>
        <v>1900</v>
      </c>
      <c r="N1585" t="str">
        <f>IF(AND(Table1[[#This Row],[Category]]="pay",NOT(Table1[[#This Row],[Debits]]=0)),"bad","good")</f>
        <v>good</v>
      </c>
      <c r="O1585" s="5"/>
    </row>
    <row r="1586" spans="6:15" x14ac:dyDescent="0.3">
      <c r="F1586">
        <f>MONTH(Table1[[#This Row],[Date  (DMY)]])</f>
        <v>1</v>
      </c>
      <c r="G1586" s="2"/>
      <c r="L1586" s="5"/>
      <c r="M1586" s="4">
        <f>M1585-Table1[[#This Row],[Debits]]+Table1[[#This Row],[Income]]</f>
        <v>1900</v>
      </c>
      <c r="N1586" t="str">
        <f>IF(AND(Table1[[#This Row],[Category]]="pay",NOT(Table1[[#This Row],[Debits]]=0)),"bad","good")</f>
        <v>good</v>
      </c>
      <c r="O1586" s="5"/>
    </row>
    <row r="1587" spans="6:15" x14ac:dyDescent="0.3">
      <c r="F1587">
        <f>MONTH(Table1[[#This Row],[Date  (DMY)]])</f>
        <v>1</v>
      </c>
      <c r="G1587" s="2"/>
      <c r="L1587" s="5"/>
      <c r="M1587" s="4">
        <f>M1586-Table1[[#This Row],[Debits]]+Table1[[#This Row],[Income]]</f>
        <v>1900</v>
      </c>
      <c r="N1587" t="str">
        <f>IF(AND(Table1[[#This Row],[Category]]="pay",NOT(Table1[[#This Row],[Debits]]=0)),"bad","good")</f>
        <v>good</v>
      </c>
      <c r="O1587" s="5"/>
    </row>
    <row r="1588" spans="6:15" x14ac:dyDescent="0.3">
      <c r="F1588">
        <f>MONTH(Table1[[#This Row],[Date  (DMY)]])</f>
        <v>1</v>
      </c>
      <c r="G1588" s="2"/>
      <c r="L1588" s="5"/>
      <c r="M1588" s="4">
        <f>M1587-Table1[[#This Row],[Debits]]+Table1[[#This Row],[Income]]</f>
        <v>1900</v>
      </c>
      <c r="N1588" t="str">
        <f>IF(AND(Table1[[#This Row],[Category]]="pay",NOT(Table1[[#This Row],[Debits]]=0)),"bad","good")</f>
        <v>good</v>
      </c>
      <c r="O1588" s="5"/>
    </row>
    <row r="1589" spans="6:15" x14ac:dyDescent="0.3">
      <c r="F1589">
        <f>MONTH(Table1[[#This Row],[Date  (DMY)]])</f>
        <v>1</v>
      </c>
      <c r="G1589" s="2"/>
      <c r="L1589" s="5"/>
      <c r="M1589" s="4">
        <f>M1588-Table1[[#This Row],[Debits]]+Table1[[#This Row],[Income]]</f>
        <v>1900</v>
      </c>
      <c r="N1589" t="str">
        <f>IF(AND(Table1[[#This Row],[Category]]="pay",NOT(Table1[[#This Row],[Debits]]=0)),"bad","good")</f>
        <v>good</v>
      </c>
      <c r="O1589" s="5"/>
    </row>
    <row r="1590" spans="6:15" x14ac:dyDescent="0.3">
      <c r="F1590">
        <f>MONTH(Table1[[#This Row],[Date  (DMY)]])</f>
        <v>1</v>
      </c>
      <c r="G1590" s="2"/>
      <c r="L1590" s="5"/>
      <c r="M1590" s="4">
        <f>M1589-Table1[[#This Row],[Debits]]+Table1[[#This Row],[Income]]</f>
        <v>1900</v>
      </c>
      <c r="N1590" t="str">
        <f>IF(AND(Table1[[#This Row],[Category]]="pay",NOT(Table1[[#This Row],[Debits]]=0)),"bad","good")</f>
        <v>good</v>
      </c>
      <c r="O1590" s="5"/>
    </row>
    <row r="1591" spans="6:15" x14ac:dyDescent="0.3">
      <c r="F1591">
        <f>MONTH(Table1[[#This Row],[Date  (DMY)]])</f>
        <v>1</v>
      </c>
      <c r="G1591" s="2"/>
      <c r="L1591" s="5"/>
      <c r="M1591" s="4">
        <f>M1590-Table1[[#This Row],[Debits]]+Table1[[#This Row],[Income]]</f>
        <v>1900</v>
      </c>
      <c r="N1591" t="str">
        <f>IF(AND(Table1[[#This Row],[Category]]="pay",NOT(Table1[[#This Row],[Debits]]=0)),"bad","good")</f>
        <v>good</v>
      </c>
      <c r="O1591" s="5"/>
    </row>
    <row r="1592" spans="6:15" x14ac:dyDescent="0.3">
      <c r="F1592">
        <f>MONTH(Table1[[#This Row],[Date  (DMY)]])</f>
        <v>1</v>
      </c>
      <c r="G1592" s="2"/>
      <c r="L1592" s="5"/>
      <c r="M1592" s="4">
        <f>M1591-Table1[[#This Row],[Debits]]+Table1[[#This Row],[Income]]</f>
        <v>1900</v>
      </c>
      <c r="N1592" t="str">
        <f>IF(AND(Table1[[#This Row],[Category]]="pay",NOT(Table1[[#This Row],[Debits]]=0)),"bad","good")</f>
        <v>good</v>
      </c>
      <c r="O1592" s="5"/>
    </row>
    <row r="1593" spans="6:15" x14ac:dyDescent="0.3">
      <c r="F1593">
        <f>MONTH(Table1[[#This Row],[Date  (DMY)]])</f>
        <v>1</v>
      </c>
      <c r="G1593" s="2"/>
      <c r="L1593" s="5"/>
      <c r="M1593" s="4">
        <f>M1592-Table1[[#This Row],[Debits]]+Table1[[#This Row],[Income]]</f>
        <v>1900</v>
      </c>
      <c r="N1593" t="str">
        <f>IF(AND(Table1[[#This Row],[Category]]="pay",NOT(Table1[[#This Row],[Debits]]=0)),"bad","good")</f>
        <v>good</v>
      </c>
      <c r="O1593" s="5"/>
    </row>
    <row r="1594" spans="6:15" x14ac:dyDescent="0.3">
      <c r="F1594">
        <f>MONTH(Table1[[#This Row],[Date  (DMY)]])</f>
        <v>1</v>
      </c>
      <c r="G1594" s="2"/>
      <c r="L1594" s="5"/>
      <c r="M1594" s="4">
        <f>M1593-Table1[[#This Row],[Debits]]+Table1[[#This Row],[Income]]</f>
        <v>1900</v>
      </c>
      <c r="N1594" t="str">
        <f>IF(AND(Table1[[#This Row],[Category]]="pay",NOT(Table1[[#This Row],[Debits]]=0)),"bad","good")</f>
        <v>good</v>
      </c>
      <c r="O1594" s="5"/>
    </row>
    <row r="1595" spans="6:15" x14ac:dyDescent="0.3">
      <c r="F1595">
        <f>MONTH(Table1[[#This Row],[Date  (DMY)]])</f>
        <v>1</v>
      </c>
      <c r="G1595" s="2"/>
      <c r="L1595" s="5"/>
      <c r="M1595" s="4">
        <f>M1594-Table1[[#This Row],[Debits]]+Table1[[#This Row],[Income]]</f>
        <v>1900</v>
      </c>
      <c r="N1595" t="str">
        <f>IF(AND(Table1[[#This Row],[Category]]="pay",NOT(Table1[[#This Row],[Debits]]=0)),"bad","good")</f>
        <v>good</v>
      </c>
      <c r="O1595" s="5"/>
    </row>
    <row r="1596" spans="6:15" x14ac:dyDescent="0.3">
      <c r="F1596">
        <f>MONTH(Table1[[#This Row],[Date  (DMY)]])</f>
        <v>1</v>
      </c>
      <c r="G1596" s="2"/>
      <c r="L1596" s="5"/>
      <c r="M1596" s="4">
        <f>M1595-Table1[[#This Row],[Debits]]+Table1[[#This Row],[Income]]</f>
        <v>1900</v>
      </c>
      <c r="N1596" t="str">
        <f>IF(AND(Table1[[#This Row],[Category]]="pay",NOT(Table1[[#This Row],[Debits]]=0)),"bad","good")</f>
        <v>good</v>
      </c>
      <c r="O1596" s="5"/>
    </row>
    <row r="1597" spans="6:15" x14ac:dyDescent="0.3">
      <c r="F1597">
        <f>MONTH(Table1[[#This Row],[Date  (DMY)]])</f>
        <v>1</v>
      </c>
      <c r="G1597" s="2"/>
      <c r="L1597" s="5"/>
      <c r="M1597" s="4">
        <f>M1596-Table1[[#This Row],[Debits]]+Table1[[#This Row],[Income]]</f>
        <v>1900</v>
      </c>
      <c r="N1597" t="str">
        <f>IF(AND(Table1[[#This Row],[Category]]="pay",NOT(Table1[[#This Row],[Debits]]=0)),"bad","good")</f>
        <v>good</v>
      </c>
      <c r="O1597" s="5"/>
    </row>
    <row r="1598" spans="6:15" x14ac:dyDescent="0.3">
      <c r="F1598">
        <f>MONTH(Table1[[#This Row],[Date  (DMY)]])</f>
        <v>1</v>
      </c>
      <c r="G1598" s="2"/>
      <c r="L1598" s="5"/>
      <c r="M1598" s="4">
        <f>M1597-Table1[[#This Row],[Debits]]+Table1[[#This Row],[Income]]</f>
        <v>1900</v>
      </c>
      <c r="N1598" t="str">
        <f>IF(AND(Table1[[#This Row],[Category]]="pay",NOT(Table1[[#This Row],[Debits]]=0)),"bad","good")</f>
        <v>good</v>
      </c>
      <c r="O1598" s="5"/>
    </row>
    <row r="1599" spans="6:15" x14ac:dyDescent="0.3">
      <c r="F1599">
        <f>MONTH(Table1[[#This Row],[Date  (DMY)]])</f>
        <v>1</v>
      </c>
      <c r="G1599" s="2"/>
      <c r="L1599" s="5"/>
      <c r="M1599" s="4">
        <f>M1598-Table1[[#This Row],[Debits]]+Table1[[#This Row],[Income]]</f>
        <v>1900</v>
      </c>
      <c r="N1599" t="str">
        <f>IF(AND(Table1[[#This Row],[Category]]="pay",NOT(Table1[[#This Row],[Debits]]=0)),"bad","good")</f>
        <v>good</v>
      </c>
      <c r="O1599" s="5"/>
    </row>
    <row r="1600" spans="6:15" x14ac:dyDescent="0.3">
      <c r="F1600">
        <f>MONTH(Table1[[#This Row],[Date  (DMY)]])</f>
        <v>1</v>
      </c>
      <c r="G1600" s="2"/>
      <c r="L1600" s="5"/>
      <c r="M1600" s="4">
        <f>M1599-Table1[[#This Row],[Debits]]+Table1[[#This Row],[Income]]</f>
        <v>1900</v>
      </c>
      <c r="N1600" t="str">
        <f>IF(AND(Table1[[#This Row],[Category]]="pay",NOT(Table1[[#This Row],[Debits]]=0)),"bad","good")</f>
        <v>good</v>
      </c>
      <c r="O1600" s="5"/>
    </row>
    <row r="1601" spans="6:15" x14ac:dyDescent="0.3">
      <c r="F1601">
        <f>MONTH(Table1[[#This Row],[Date  (DMY)]])</f>
        <v>1</v>
      </c>
      <c r="G1601" s="2"/>
      <c r="L1601" s="5"/>
      <c r="M1601" s="4">
        <f>M1600-Table1[[#This Row],[Debits]]+Table1[[#This Row],[Income]]</f>
        <v>1900</v>
      </c>
      <c r="N1601" t="str">
        <f>IF(AND(Table1[[#This Row],[Category]]="pay",NOT(Table1[[#This Row],[Debits]]=0)),"bad","good")</f>
        <v>good</v>
      </c>
      <c r="O1601" s="5"/>
    </row>
    <row r="1602" spans="6:15" x14ac:dyDescent="0.3">
      <c r="F1602">
        <f>MONTH(Table1[[#This Row],[Date  (DMY)]])</f>
        <v>1</v>
      </c>
      <c r="G1602" s="2"/>
      <c r="L1602" s="5"/>
      <c r="M1602" s="4">
        <f>M1601-Table1[[#This Row],[Debits]]+Table1[[#This Row],[Income]]</f>
        <v>1900</v>
      </c>
      <c r="N1602" t="str">
        <f>IF(AND(Table1[[#This Row],[Category]]="pay",NOT(Table1[[#This Row],[Debits]]=0)),"bad","good")</f>
        <v>good</v>
      </c>
      <c r="O1602" s="5"/>
    </row>
    <row r="1603" spans="6:15" x14ac:dyDescent="0.3">
      <c r="F1603">
        <f>MONTH(Table1[[#This Row],[Date  (DMY)]])</f>
        <v>1</v>
      </c>
      <c r="G1603" s="2"/>
      <c r="L1603" s="5"/>
      <c r="M1603" s="4">
        <f>M1602-Table1[[#This Row],[Debits]]+Table1[[#This Row],[Income]]</f>
        <v>1900</v>
      </c>
      <c r="N1603" t="str">
        <f>IF(AND(Table1[[#This Row],[Category]]="pay",NOT(Table1[[#This Row],[Debits]]=0)),"bad","good")</f>
        <v>good</v>
      </c>
      <c r="O1603" s="5"/>
    </row>
    <row r="1604" spans="6:15" x14ac:dyDescent="0.3">
      <c r="F1604">
        <f>MONTH(Table1[[#This Row],[Date  (DMY)]])</f>
        <v>1</v>
      </c>
      <c r="G1604" s="2"/>
      <c r="L1604" s="5"/>
      <c r="M1604" s="4">
        <f>M1603-Table1[[#This Row],[Debits]]+Table1[[#This Row],[Income]]</f>
        <v>1900</v>
      </c>
      <c r="N1604" t="str">
        <f>IF(AND(Table1[[#This Row],[Category]]="pay",NOT(Table1[[#This Row],[Debits]]=0)),"bad","good")</f>
        <v>good</v>
      </c>
      <c r="O1604" s="5"/>
    </row>
    <row r="1605" spans="6:15" x14ac:dyDescent="0.3">
      <c r="F1605">
        <f>MONTH(Table1[[#This Row],[Date  (DMY)]])</f>
        <v>1</v>
      </c>
      <c r="G1605" s="2"/>
      <c r="L1605" s="5"/>
      <c r="M1605" s="4">
        <f>M1604-Table1[[#This Row],[Debits]]+Table1[[#This Row],[Income]]</f>
        <v>1900</v>
      </c>
      <c r="N1605" t="str">
        <f>IF(AND(Table1[[#This Row],[Category]]="pay",NOT(Table1[[#This Row],[Debits]]=0)),"bad","good")</f>
        <v>good</v>
      </c>
      <c r="O1605" s="5"/>
    </row>
    <row r="1606" spans="6:15" x14ac:dyDescent="0.3">
      <c r="F1606">
        <f>MONTH(Table1[[#This Row],[Date  (DMY)]])</f>
        <v>1</v>
      </c>
      <c r="G1606" s="2"/>
      <c r="L1606" s="5"/>
      <c r="M1606" s="4">
        <f>M1605-Table1[[#This Row],[Debits]]+Table1[[#This Row],[Income]]</f>
        <v>1900</v>
      </c>
      <c r="N1606" t="str">
        <f>IF(AND(Table1[[#This Row],[Category]]="pay",NOT(Table1[[#This Row],[Debits]]=0)),"bad","good")</f>
        <v>good</v>
      </c>
      <c r="O1606" s="5"/>
    </row>
    <row r="1607" spans="6:15" x14ac:dyDescent="0.3">
      <c r="F1607">
        <f>MONTH(Table1[[#This Row],[Date  (DMY)]])</f>
        <v>1</v>
      </c>
      <c r="G1607" s="2"/>
      <c r="L1607" s="5"/>
      <c r="M1607" s="4">
        <f>M1606-Table1[[#This Row],[Debits]]+Table1[[#This Row],[Income]]</f>
        <v>1900</v>
      </c>
      <c r="N1607" t="str">
        <f>IF(AND(Table1[[#This Row],[Category]]="pay",NOT(Table1[[#This Row],[Debits]]=0)),"bad","good")</f>
        <v>good</v>
      </c>
      <c r="O1607" s="5"/>
    </row>
    <row r="1608" spans="6:15" x14ac:dyDescent="0.3">
      <c r="F1608">
        <f>MONTH(Table1[[#This Row],[Date  (DMY)]])</f>
        <v>1</v>
      </c>
      <c r="G1608" s="2"/>
      <c r="L1608" s="5"/>
      <c r="M1608" s="4">
        <f>M1607-Table1[[#This Row],[Debits]]+Table1[[#This Row],[Income]]</f>
        <v>1900</v>
      </c>
      <c r="N1608" t="str">
        <f>IF(AND(Table1[[#This Row],[Category]]="pay",NOT(Table1[[#This Row],[Debits]]=0)),"bad","good")</f>
        <v>good</v>
      </c>
      <c r="O1608" s="5"/>
    </row>
    <row r="1609" spans="6:15" x14ac:dyDescent="0.3">
      <c r="F1609">
        <f>MONTH(Table1[[#This Row],[Date  (DMY)]])</f>
        <v>1</v>
      </c>
      <c r="G1609" s="2"/>
      <c r="L1609" s="5"/>
      <c r="M1609" s="4">
        <f>M1608-Table1[[#This Row],[Debits]]+Table1[[#This Row],[Income]]</f>
        <v>1900</v>
      </c>
      <c r="N1609" t="str">
        <f>IF(AND(Table1[[#This Row],[Category]]="pay",NOT(Table1[[#This Row],[Debits]]=0)),"bad","good")</f>
        <v>good</v>
      </c>
      <c r="O1609" s="5"/>
    </row>
    <row r="1610" spans="6:15" x14ac:dyDescent="0.3">
      <c r="F1610">
        <f>MONTH(Table1[[#This Row],[Date  (DMY)]])</f>
        <v>1</v>
      </c>
      <c r="G1610" s="2"/>
      <c r="L1610" s="5"/>
      <c r="M1610" s="4">
        <f>M1609-Table1[[#This Row],[Debits]]+Table1[[#This Row],[Income]]</f>
        <v>1900</v>
      </c>
      <c r="N1610" t="str">
        <f>IF(AND(Table1[[#This Row],[Category]]="pay",NOT(Table1[[#This Row],[Debits]]=0)),"bad","good")</f>
        <v>good</v>
      </c>
      <c r="O1610" s="5"/>
    </row>
    <row r="1611" spans="6:15" x14ac:dyDescent="0.3">
      <c r="F1611">
        <f>MONTH(Table1[[#This Row],[Date  (DMY)]])</f>
        <v>1</v>
      </c>
      <c r="G1611" s="2"/>
      <c r="L1611" s="5"/>
      <c r="M1611" s="4">
        <f>M1610-Table1[[#This Row],[Debits]]+Table1[[#This Row],[Income]]</f>
        <v>1900</v>
      </c>
      <c r="N1611" t="str">
        <f>IF(AND(Table1[[#This Row],[Category]]="pay",NOT(Table1[[#This Row],[Debits]]=0)),"bad","good")</f>
        <v>good</v>
      </c>
      <c r="O1611" s="5"/>
    </row>
    <row r="1612" spans="6:15" x14ac:dyDescent="0.3">
      <c r="F1612">
        <f>MONTH(Table1[[#This Row],[Date  (DMY)]])</f>
        <v>1</v>
      </c>
      <c r="G1612" s="2"/>
      <c r="L1612" s="5"/>
      <c r="M1612" s="4">
        <f>M1611-Table1[[#This Row],[Debits]]+Table1[[#This Row],[Income]]</f>
        <v>1900</v>
      </c>
      <c r="N1612" t="str">
        <f>IF(AND(Table1[[#This Row],[Category]]="pay",NOT(Table1[[#This Row],[Debits]]=0)),"bad","good")</f>
        <v>good</v>
      </c>
      <c r="O1612" s="5"/>
    </row>
    <row r="1613" spans="6:15" x14ac:dyDescent="0.3">
      <c r="F1613">
        <f>MONTH(Table1[[#This Row],[Date  (DMY)]])</f>
        <v>1</v>
      </c>
      <c r="G1613" s="2"/>
      <c r="L1613" s="5"/>
      <c r="M1613" s="4">
        <f>M1612-Table1[[#This Row],[Debits]]+Table1[[#This Row],[Income]]</f>
        <v>1900</v>
      </c>
      <c r="N1613" t="str">
        <f>IF(AND(Table1[[#This Row],[Category]]="pay",NOT(Table1[[#This Row],[Debits]]=0)),"bad","good")</f>
        <v>good</v>
      </c>
      <c r="O1613" s="5"/>
    </row>
    <row r="1614" spans="6:15" x14ac:dyDescent="0.3">
      <c r="F1614">
        <f>MONTH(Table1[[#This Row],[Date  (DMY)]])</f>
        <v>1</v>
      </c>
      <c r="G1614" s="2"/>
      <c r="L1614" s="5"/>
      <c r="M1614" s="4">
        <f>M1613-Table1[[#This Row],[Debits]]+Table1[[#This Row],[Income]]</f>
        <v>1900</v>
      </c>
      <c r="N1614" t="str">
        <f>IF(AND(Table1[[#This Row],[Category]]="pay",NOT(Table1[[#This Row],[Debits]]=0)),"bad","good")</f>
        <v>good</v>
      </c>
      <c r="O1614" s="5"/>
    </row>
    <row r="1615" spans="6:15" x14ac:dyDescent="0.3">
      <c r="F1615">
        <f>MONTH(Table1[[#This Row],[Date  (DMY)]])</f>
        <v>1</v>
      </c>
      <c r="G1615" s="2"/>
      <c r="L1615" s="5"/>
      <c r="M1615" s="4">
        <f>M1614-Table1[[#This Row],[Debits]]+Table1[[#This Row],[Income]]</f>
        <v>1900</v>
      </c>
      <c r="N1615" t="str">
        <f>IF(AND(Table1[[#This Row],[Category]]="pay",NOT(Table1[[#This Row],[Debits]]=0)),"bad","good")</f>
        <v>good</v>
      </c>
      <c r="O1615" s="5"/>
    </row>
    <row r="1616" spans="6:15" x14ac:dyDescent="0.3">
      <c r="F1616">
        <f>MONTH(Table1[[#This Row],[Date  (DMY)]])</f>
        <v>1</v>
      </c>
      <c r="G1616" s="2"/>
      <c r="L1616" s="5"/>
      <c r="M1616" s="4">
        <f>M1615-Table1[[#This Row],[Debits]]+Table1[[#This Row],[Income]]</f>
        <v>1900</v>
      </c>
      <c r="N1616" t="str">
        <f>IF(AND(Table1[[#This Row],[Category]]="pay",NOT(Table1[[#This Row],[Debits]]=0)),"bad","good")</f>
        <v>good</v>
      </c>
      <c r="O1616" s="5"/>
    </row>
    <row r="1617" spans="6:15" x14ac:dyDescent="0.3">
      <c r="F1617">
        <f>MONTH(Table1[[#This Row],[Date  (DMY)]])</f>
        <v>1</v>
      </c>
      <c r="G1617" s="2"/>
      <c r="L1617" s="5"/>
      <c r="M1617" s="4">
        <f>M1616-Table1[[#This Row],[Debits]]+Table1[[#This Row],[Income]]</f>
        <v>1900</v>
      </c>
      <c r="N1617" t="str">
        <f>IF(AND(Table1[[#This Row],[Category]]="pay",NOT(Table1[[#This Row],[Debits]]=0)),"bad","good")</f>
        <v>good</v>
      </c>
      <c r="O1617" s="5"/>
    </row>
    <row r="1618" spans="6:15" x14ac:dyDescent="0.3">
      <c r="F1618">
        <f>MONTH(Table1[[#This Row],[Date  (DMY)]])</f>
        <v>1</v>
      </c>
      <c r="G1618" s="2"/>
      <c r="L1618" s="5"/>
      <c r="M1618" s="4">
        <f>M1617-Table1[[#This Row],[Debits]]+Table1[[#This Row],[Income]]</f>
        <v>1900</v>
      </c>
      <c r="N1618" t="str">
        <f>IF(AND(Table1[[#This Row],[Category]]="pay",NOT(Table1[[#This Row],[Debits]]=0)),"bad","good")</f>
        <v>good</v>
      </c>
      <c r="O1618" s="5"/>
    </row>
    <row r="1619" spans="6:15" x14ac:dyDescent="0.3">
      <c r="F1619">
        <f>MONTH(Table1[[#This Row],[Date  (DMY)]])</f>
        <v>1</v>
      </c>
      <c r="G1619" s="2"/>
      <c r="L1619" s="5"/>
      <c r="M1619" s="4">
        <f>M1618-Table1[[#This Row],[Debits]]+Table1[[#This Row],[Income]]</f>
        <v>1900</v>
      </c>
      <c r="N1619" t="str">
        <f>IF(AND(Table1[[#This Row],[Category]]="pay",NOT(Table1[[#This Row],[Debits]]=0)),"bad","good")</f>
        <v>good</v>
      </c>
      <c r="O1619" s="5"/>
    </row>
    <row r="1620" spans="6:15" x14ac:dyDescent="0.3">
      <c r="F1620">
        <f>MONTH(Table1[[#This Row],[Date  (DMY)]])</f>
        <v>1</v>
      </c>
      <c r="G1620" s="2"/>
      <c r="L1620" s="5"/>
      <c r="M1620" s="4">
        <f>M1619-Table1[[#This Row],[Debits]]+Table1[[#This Row],[Income]]</f>
        <v>1900</v>
      </c>
      <c r="N1620" t="str">
        <f>IF(AND(Table1[[#This Row],[Category]]="pay",NOT(Table1[[#This Row],[Debits]]=0)),"bad","good")</f>
        <v>good</v>
      </c>
      <c r="O1620" s="5"/>
    </row>
    <row r="1621" spans="6:15" x14ac:dyDescent="0.3">
      <c r="F1621">
        <f>MONTH(Table1[[#This Row],[Date  (DMY)]])</f>
        <v>1</v>
      </c>
      <c r="G1621" s="2"/>
      <c r="L1621" s="5"/>
      <c r="M1621" s="4">
        <f>M1620-Table1[[#This Row],[Debits]]+Table1[[#This Row],[Income]]</f>
        <v>1900</v>
      </c>
      <c r="N1621" t="str">
        <f>IF(AND(Table1[[#This Row],[Category]]="pay",NOT(Table1[[#This Row],[Debits]]=0)),"bad","good")</f>
        <v>good</v>
      </c>
      <c r="O1621" s="5"/>
    </row>
    <row r="1622" spans="6:15" x14ac:dyDescent="0.3">
      <c r="F1622">
        <f>MONTH(Table1[[#This Row],[Date  (DMY)]])</f>
        <v>1</v>
      </c>
      <c r="G1622" s="2"/>
      <c r="L1622" s="5"/>
      <c r="M1622" s="4">
        <f>M1621-Table1[[#This Row],[Debits]]+Table1[[#This Row],[Income]]</f>
        <v>1900</v>
      </c>
      <c r="N1622" t="str">
        <f>IF(AND(Table1[[#This Row],[Category]]="pay",NOT(Table1[[#This Row],[Debits]]=0)),"bad","good")</f>
        <v>good</v>
      </c>
      <c r="O1622" s="5"/>
    </row>
    <row r="1623" spans="6:15" x14ac:dyDescent="0.3">
      <c r="F1623">
        <f>MONTH(Table1[[#This Row],[Date  (DMY)]])</f>
        <v>1</v>
      </c>
      <c r="G1623" s="2"/>
      <c r="L1623" s="5"/>
      <c r="M1623" s="4">
        <f>M1622-Table1[[#This Row],[Debits]]+Table1[[#This Row],[Income]]</f>
        <v>1900</v>
      </c>
      <c r="N1623" t="str">
        <f>IF(AND(Table1[[#This Row],[Category]]="pay",NOT(Table1[[#This Row],[Debits]]=0)),"bad","good")</f>
        <v>good</v>
      </c>
      <c r="O1623" s="5"/>
    </row>
    <row r="1624" spans="6:15" x14ac:dyDescent="0.3">
      <c r="F1624">
        <f>MONTH(Table1[[#This Row],[Date  (DMY)]])</f>
        <v>1</v>
      </c>
      <c r="G1624" s="2"/>
      <c r="L1624" s="5"/>
      <c r="M1624" s="4">
        <f>M1623-Table1[[#This Row],[Debits]]+Table1[[#This Row],[Income]]</f>
        <v>1900</v>
      </c>
      <c r="N1624" t="str">
        <f>IF(AND(Table1[[#This Row],[Category]]="pay",NOT(Table1[[#This Row],[Debits]]=0)),"bad","good")</f>
        <v>good</v>
      </c>
      <c r="O1624" s="5"/>
    </row>
    <row r="1625" spans="6:15" x14ac:dyDescent="0.3">
      <c r="F1625">
        <f>MONTH(Table1[[#This Row],[Date  (DMY)]])</f>
        <v>1</v>
      </c>
      <c r="G1625" s="2"/>
      <c r="L1625" s="5"/>
      <c r="M1625" s="4">
        <f>M1624-Table1[[#This Row],[Debits]]+Table1[[#This Row],[Income]]</f>
        <v>1900</v>
      </c>
      <c r="N1625" t="str">
        <f>IF(AND(Table1[[#This Row],[Category]]="pay",NOT(Table1[[#This Row],[Debits]]=0)),"bad","good")</f>
        <v>good</v>
      </c>
      <c r="O1625" s="5"/>
    </row>
    <row r="1626" spans="6:15" x14ac:dyDescent="0.3">
      <c r="F1626">
        <f>MONTH(Table1[[#This Row],[Date  (DMY)]])</f>
        <v>1</v>
      </c>
      <c r="G1626" s="2"/>
      <c r="L1626" s="5"/>
      <c r="M1626" s="4">
        <f>M1625-Table1[[#This Row],[Debits]]+Table1[[#This Row],[Income]]</f>
        <v>1900</v>
      </c>
      <c r="N1626" t="str">
        <f>IF(AND(Table1[[#This Row],[Category]]="pay",NOT(Table1[[#This Row],[Debits]]=0)),"bad","good")</f>
        <v>good</v>
      </c>
      <c r="O1626" s="5"/>
    </row>
    <row r="1627" spans="6:15" x14ac:dyDescent="0.3">
      <c r="F1627">
        <f>MONTH(Table1[[#This Row],[Date  (DMY)]])</f>
        <v>1</v>
      </c>
      <c r="G1627" s="2"/>
      <c r="L1627" s="5"/>
      <c r="M1627" s="4">
        <f>M1626-Table1[[#This Row],[Debits]]+Table1[[#This Row],[Income]]</f>
        <v>1900</v>
      </c>
      <c r="N1627" t="str">
        <f>IF(AND(Table1[[#This Row],[Category]]="pay",NOT(Table1[[#This Row],[Debits]]=0)),"bad","good")</f>
        <v>good</v>
      </c>
      <c r="O1627" s="5"/>
    </row>
    <row r="1628" spans="6:15" x14ac:dyDescent="0.3">
      <c r="F1628">
        <f>MONTH(Table1[[#This Row],[Date  (DMY)]])</f>
        <v>1</v>
      </c>
      <c r="G1628" s="2"/>
      <c r="L1628" s="5"/>
      <c r="M1628" s="4">
        <f>M1627-Table1[[#This Row],[Debits]]+Table1[[#This Row],[Income]]</f>
        <v>1900</v>
      </c>
      <c r="N1628" t="str">
        <f>IF(AND(Table1[[#This Row],[Category]]="pay",NOT(Table1[[#This Row],[Debits]]=0)),"bad","good")</f>
        <v>good</v>
      </c>
      <c r="O1628" s="5"/>
    </row>
    <row r="1629" spans="6:15" x14ac:dyDescent="0.3">
      <c r="F1629">
        <f>MONTH(Table1[[#This Row],[Date  (DMY)]])</f>
        <v>1</v>
      </c>
      <c r="G1629" s="2"/>
      <c r="L1629" s="5"/>
      <c r="M1629" s="4">
        <f>M1628-Table1[[#This Row],[Debits]]+Table1[[#This Row],[Income]]</f>
        <v>1900</v>
      </c>
      <c r="N1629" t="str">
        <f>IF(AND(Table1[[#This Row],[Category]]="pay",NOT(Table1[[#This Row],[Debits]]=0)),"bad","good")</f>
        <v>good</v>
      </c>
      <c r="O1629" s="5"/>
    </row>
    <row r="1630" spans="6:15" x14ac:dyDescent="0.3">
      <c r="F1630">
        <f>MONTH(Table1[[#This Row],[Date  (DMY)]])</f>
        <v>1</v>
      </c>
      <c r="G1630" s="2"/>
      <c r="L1630" s="5"/>
      <c r="M1630" s="4">
        <f>M1629-Table1[[#This Row],[Debits]]+Table1[[#This Row],[Income]]</f>
        <v>1900</v>
      </c>
      <c r="N1630" t="str">
        <f>IF(AND(Table1[[#This Row],[Category]]="pay",NOT(Table1[[#This Row],[Debits]]=0)),"bad","good")</f>
        <v>good</v>
      </c>
      <c r="O1630" s="5"/>
    </row>
    <row r="1631" spans="6:15" x14ac:dyDescent="0.3">
      <c r="F1631">
        <f>MONTH(Table1[[#This Row],[Date  (DMY)]])</f>
        <v>1</v>
      </c>
      <c r="G1631" s="2"/>
      <c r="L1631" s="5"/>
      <c r="M1631" s="4">
        <f>M1630-Table1[[#This Row],[Debits]]+Table1[[#This Row],[Income]]</f>
        <v>1900</v>
      </c>
      <c r="N1631" t="str">
        <f>IF(AND(Table1[[#This Row],[Category]]="pay",NOT(Table1[[#This Row],[Debits]]=0)),"bad","good")</f>
        <v>good</v>
      </c>
      <c r="O1631" s="5"/>
    </row>
    <row r="1632" spans="6:15" x14ac:dyDescent="0.3">
      <c r="F1632">
        <f>MONTH(Table1[[#This Row],[Date  (DMY)]])</f>
        <v>1</v>
      </c>
      <c r="G1632" s="2"/>
      <c r="L1632" s="5"/>
      <c r="M1632" s="4">
        <f>M1631-Table1[[#This Row],[Debits]]+Table1[[#This Row],[Income]]</f>
        <v>1900</v>
      </c>
      <c r="N1632" t="str">
        <f>IF(AND(Table1[[#This Row],[Category]]="pay",NOT(Table1[[#This Row],[Debits]]=0)),"bad","good")</f>
        <v>good</v>
      </c>
      <c r="O1632" s="5"/>
    </row>
    <row r="1633" spans="6:15" x14ac:dyDescent="0.3">
      <c r="F1633">
        <f>MONTH(Table1[[#This Row],[Date  (DMY)]])</f>
        <v>1</v>
      </c>
      <c r="G1633" s="2"/>
      <c r="L1633" s="5"/>
      <c r="M1633" s="4">
        <f>M1632-Table1[[#This Row],[Debits]]+Table1[[#This Row],[Income]]</f>
        <v>1900</v>
      </c>
      <c r="N1633" t="str">
        <f>IF(AND(Table1[[#This Row],[Category]]="pay",NOT(Table1[[#This Row],[Debits]]=0)),"bad","good")</f>
        <v>good</v>
      </c>
      <c r="O1633" s="5"/>
    </row>
    <row r="1634" spans="6:15" x14ac:dyDescent="0.3">
      <c r="F1634">
        <f>MONTH(Table1[[#This Row],[Date  (DMY)]])</f>
        <v>1</v>
      </c>
      <c r="G1634" s="2"/>
      <c r="L1634" s="5"/>
      <c r="M1634" s="4">
        <f>M1633-Table1[[#This Row],[Debits]]+Table1[[#This Row],[Income]]</f>
        <v>1900</v>
      </c>
      <c r="N1634" t="str">
        <f>IF(AND(Table1[[#This Row],[Category]]="pay",NOT(Table1[[#This Row],[Debits]]=0)),"bad","good")</f>
        <v>good</v>
      </c>
      <c r="O1634" s="5"/>
    </row>
    <row r="1635" spans="6:15" x14ac:dyDescent="0.3">
      <c r="F1635">
        <f>MONTH(Table1[[#This Row],[Date  (DMY)]])</f>
        <v>1</v>
      </c>
      <c r="G1635" s="2"/>
      <c r="L1635" s="5"/>
      <c r="M1635" s="4">
        <f>M1634-Table1[[#This Row],[Debits]]+Table1[[#This Row],[Income]]</f>
        <v>1900</v>
      </c>
      <c r="N1635" t="str">
        <f>IF(AND(Table1[[#This Row],[Category]]="pay",NOT(Table1[[#This Row],[Debits]]=0)),"bad","good")</f>
        <v>good</v>
      </c>
      <c r="O1635" s="5"/>
    </row>
    <row r="1636" spans="6:15" x14ac:dyDescent="0.3">
      <c r="F1636">
        <f>MONTH(Table1[[#This Row],[Date  (DMY)]])</f>
        <v>1</v>
      </c>
      <c r="G1636" s="2"/>
      <c r="L1636" s="5"/>
      <c r="M1636" s="4">
        <f>M1635-Table1[[#This Row],[Debits]]+Table1[[#This Row],[Income]]</f>
        <v>1900</v>
      </c>
      <c r="N1636" t="str">
        <f>IF(AND(Table1[[#This Row],[Category]]="pay",NOT(Table1[[#This Row],[Debits]]=0)),"bad","good")</f>
        <v>good</v>
      </c>
      <c r="O1636" s="5"/>
    </row>
    <row r="1637" spans="6:15" x14ac:dyDescent="0.3">
      <c r="F1637">
        <f>MONTH(Table1[[#This Row],[Date  (DMY)]])</f>
        <v>1</v>
      </c>
      <c r="G1637" s="2"/>
      <c r="L1637" s="5"/>
      <c r="M1637" s="4">
        <f>M1636-Table1[[#This Row],[Debits]]+Table1[[#This Row],[Income]]</f>
        <v>1900</v>
      </c>
      <c r="N1637" t="str">
        <f>IF(AND(Table1[[#This Row],[Category]]="pay",NOT(Table1[[#This Row],[Debits]]=0)),"bad","good")</f>
        <v>good</v>
      </c>
      <c r="O1637" s="5"/>
    </row>
    <row r="1638" spans="6:15" x14ac:dyDescent="0.3">
      <c r="F1638">
        <f>MONTH(Table1[[#This Row],[Date  (DMY)]])</f>
        <v>1</v>
      </c>
      <c r="G1638" s="2"/>
      <c r="L1638" s="5"/>
      <c r="M1638" s="4">
        <f>M1637-Table1[[#This Row],[Debits]]+Table1[[#This Row],[Income]]</f>
        <v>1900</v>
      </c>
      <c r="N1638" t="str">
        <f>IF(AND(Table1[[#This Row],[Category]]="pay",NOT(Table1[[#This Row],[Debits]]=0)),"bad","good")</f>
        <v>good</v>
      </c>
      <c r="O1638" s="5"/>
    </row>
    <row r="1639" spans="6:15" x14ac:dyDescent="0.3">
      <c r="F1639">
        <f>MONTH(Table1[[#This Row],[Date  (DMY)]])</f>
        <v>1</v>
      </c>
      <c r="G1639" s="2"/>
      <c r="L1639" s="5"/>
      <c r="M1639" s="4">
        <f>M1638-Table1[[#This Row],[Debits]]+Table1[[#This Row],[Income]]</f>
        <v>1900</v>
      </c>
      <c r="N1639" t="str">
        <f>IF(AND(Table1[[#This Row],[Category]]="pay",NOT(Table1[[#This Row],[Debits]]=0)),"bad","good")</f>
        <v>good</v>
      </c>
      <c r="O1639" s="5"/>
    </row>
    <row r="1640" spans="6:15" x14ac:dyDescent="0.3">
      <c r="F1640">
        <f>MONTH(Table1[[#This Row],[Date  (DMY)]])</f>
        <v>1</v>
      </c>
      <c r="G1640" s="2"/>
      <c r="L1640" s="5"/>
      <c r="M1640" s="4">
        <f>M1639-Table1[[#This Row],[Debits]]+Table1[[#This Row],[Income]]</f>
        <v>1900</v>
      </c>
      <c r="N1640" t="str">
        <f>IF(AND(Table1[[#This Row],[Category]]="pay",NOT(Table1[[#This Row],[Debits]]=0)),"bad","good")</f>
        <v>good</v>
      </c>
      <c r="O1640" s="5"/>
    </row>
    <row r="1641" spans="6:15" x14ac:dyDescent="0.3">
      <c r="F1641">
        <f>MONTH(Table1[[#This Row],[Date  (DMY)]])</f>
        <v>1</v>
      </c>
      <c r="G1641" s="2"/>
      <c r="L1641" s="5"/>
      <c r="M1641" s="4">
        <f>M1640-Table1[[#This Row],[Debits]]+Table1[[#This Row],[Income]]</f>
        <v>1900</v>
      </c>
      <c r="N1641" t="str">
        <f>IF(AND(Table1[[#This Row],[Category]]="pay",NOT(Table1[[#This Row],[Debits]]=0)),"bad","good")</f>
        <v>good</v>
      </c>
      <c r="O1641" s="5"/>
    </row>
    <row r="1642" spans="6:15" x14ac:dyDescent="0.3">
      <c r="F1642">
        <f>MONTH(Table1[[#This Row],[Date  (DMY)]])</f>
        <v>1</v>
      </c>
      <c r="G1642" s="2"/>
      <c r="L1642" s="5"/>
      <c r="M1642" s="4">
        <f>M1641-Table1[[#This Row],[Debits]]+Table1[[#This Row],[Income]]</f>
        <v>1900</v>
      </c>
      <c r="N1642" t="str">
        <f>IF(AND(Table1[[#This Row],[Category]]="pay",NOT(Table1[[#This Row],[Debits]]=0)),"bad","good")</f>
        <v>good</v>
      </c>
      <c r="O1642" s="5"/>
    </row>
    <row r="1643" spans="6:15" x14ac:dyDescent="0.3">
      <c r="F1643">
        <f>MONTH(Table1[[#This Row],[Date  (DMY)]])</f>
        <v>1</v>
      </c>
      <c r="G1643" s="2"/>
      <c r="L1643" s="5"/>
      <c r="M1643" s="4">
        <f>M1642-Table1[[#This Row],[Debits]]+Table1[[#This Row],[Income]]</f>
        <v>1900</v>
      </c>
      <c r="N1643" t="str">
        <f>IF(AND(Table1[[#This Row],[Category]]="pay",NOT(Table1[[#This Row],[Debits]]=0)),"bad","good")</f>
        <v>good</v>
      </c>
      <c r="O1643" s="5"/>
    </row>
    <row r="1644" spans="6:15" x14ac:dyDescent="0.3">
      <c r="F1644">
        <f>MONTH(Table1[[#This Row],[Date  (DMY)]])</f>
        <v>1</v>
      </c>
      <c r="G1644" s="2"/>
      <c r="L1644" s="5"/>
      <c r="M1644" s="4">
        <f>M1643-Table1[[#This Row],[Debits]]+Table1[[#This Row],[Income]]</f>
        <v>1900</v>
      </c>
      <c r="N1644" t="str">
        <f>IF(AND(Table1[[#This Row],[Category]]="pay",NOT(Table1[[#This Row],[Debits]]=0)),"bad","good")</f>
        <v>good</v>
      </c>
      <c r="O1644" s="5"/>
    </row>
    <row r="1645" spans="6:15" x14ac:dyDescent="0.3">
      <c r="F1645">
        <f>MONTH(Table1[[#This Row],[Date  (DMY)]])</f>
        <v>1</v>
      </c>
      <c r="G1645" s="2"/>
      <c r="L1645" s="5"/>
      <c r="M1645" s="4">
        <f>M1644-Table1[[#This Row],[Debits]]+Table1[[#This Row],[Income]]</f>
        <v>1900</v>
      </c>
      <c r="N1645" t="str">
        <f>IF(AND(Table1[[#This Row],[Category]]="pay",NOT(Table1[[#This Row],[Debits]]=0)),"bad","good")</f>
        <v>good</v>
      </c>
      <c r="O1645" s="5"/>
    </row>
    <row r="1646" spans="6:15" x14ac:dyDescent="0.3">
      <c r="F1646">
        <f>MONTH(Table1[[#This Row],[Date  (DMY)]])</f>
        <v>1</v>
      </c>
      <c r="G1646" s="2"/>
      <c r="L1646" s="5"/>
      <c r="M1646" s="4">
        <f>M1645-Table1[[#This Row],[Debits]]+Table1[[#This Row],[Income]]</f>
        <v>1900</v>
      </c>
      <c r="N1646" t="str">
        <f>IF(AND(Table1[[#This Row],[Category]]="pay",NOT(Table1[[#This Row],[Debits]]=0)),"bad","good")</f>
        <v>good</v>
      </c>
      <c r="O1646" s="5"/>
    </row>
    <row r="1647" spans="6:15" x14ac:dyDescent="0.3">
      <c r="F1647">
        <f>MONTH(Table1[[#This Row],[Date  (DMY)]])</f>
        <v>1</v>
      </c>
      <c r="G1647" s="2"/>
      <c r="L1647" s="5"/>
      <c r="M1647" s="4">
        <f>M1646-Table1[[#This Row],[Debits]]+Table1[[#This Row],[Income]]</f>
        <v>1900</v>
      </c>
      <c r="N1647" t="str">
        <f>IF(AND(Table1[[#This Row],[Category]]="pay",NOT(Table1[[#This Row],[Debits]]=0)),"bad","good")</f>
        <v>good</v>
      </c>
      <c r="O1647" s="5"/>
    </row>
    <row r="1648" spans="6:15" x14ac:dyDescent="0.3">
      <c r="F1648">
        <f>MONTH(Table1[[#This Row],[Date  (DMY)]])</f>
        <v>1</v>
      </c>
      <c r="G1648" s="2"/>
      <c r="L1648" s="5"/>
      <c r="M1648" s="4">
        <f>M1647-Table1[[#This Row],[Debits]]+Table1[[#This Row],[Income]]</f>
        <v>1900</v>
      </c>
      <c r="N1648" t="str">
        <f>IF(AND(Table1[[#This Row],[Category]]="pay",NOT(Table1[[#This Row],[Debits]]=0)),"bad","good")</f>
        <v>good</v>
      </c>
      <c r="O1648" s="5"/>
    </row>
    <row r="1649" spans="6:15" x14ac:dyDescent="0.3">
      <c r="F1649">
        <f>MONTH(Table1[[#This Row],[Date  (DMY)]])</f>
        <v>1</v>
      </c>
      <c r="G1649" s="2"/>
      <c r="L1649" s="5"/>
      <c r="M1649" s="4">
        <f>M1648-Table1[[#This Row],[Debits]]+Table1[[#This Row],[Income]]</f>
        <v>1900</v>
      </c>
      <c r="N1649" t="str">
        <f>IF(AND(Table1[[#This Row],[Category]]="pay",NOT(Table1[[#This Row],[Debits]]=0)),"bad","good")</f>
        <v>good</v>
      </c>
      <c r="O1649" s="5"/>
    </row>
    <row r="1650" spans="6:15" x14ac:dyDescent="0.3">
      <c r="F1650">
        <f>MONTH(Table1[[#This Row],[Date  (DMY)]])</f>
        <v>1</v>
      </c>
      <c r="G1650" s="2"/>
      <c r="L1650" s="5"/>
      <c r="M1650" s="4">
        <f>M1649-Table1[[#This Row],[Debits]]+Table1[[#This Row],[Income]]</f>
        <v>1900</v>
      </c>
      <c r="N1650" t="str">
        <f>IF(AND(Table1[[#This Row],[Category]]="pay",NOT(Table1[[#This Row],[Debits]]=0)),"bad","good")</f>
        <v>good</v>
      </c>
      <c r="O1650" s="5"/>
    </row>
    <row r="1651" spans="6:15" x14ac:dyDescent="0.3">
      <c r="F1651">
        <f>MONTH(Table1[[#This Row],[Date  (DMY)]])</f>
        <v>1</v>
      </c>
      <c r="G1651" s="2"/>
      <c r="L1651" s="5"/>
      <c r="M1651" s="4">
        <f>M1650-Table1[[#This Row],[Debits]]+Table1[[#This Row],[Income]]</f>
        <v>1900</v>
      </c>
      <c r="N1651" t="str">
        <f>IF(AND(Table1[[#This Row],[Category]]="pay",NOT(Table1[[#This Row],[Debits]]=0)),"bad","good")</f>
        <v>good</v>
      </c>
      <c r="O1651" s="5"/>
    </row>
    <row r="1652" spans="6:15" x14ac:dyDescent="0.3">
      <c r="F1652">
        <f>MONTH(Table1[[#This Row],[Date  (DMY)]])</f>
        <v>1</v>
      </c>
      <c r="G1652" s="2"/>
      <c r="L1652" s="5"/>
      <c r="M1652" s="4">
        <f>M1651-Table1[[#This Row],[Debits]]+Table1[[#This Row],[Income]]</f>
        <v>1900</v>
      </c>
      <c r="N1652" t="str">
        <f>IF(AND(Table1[[#This Row],[Category]]="pay",NOT(Table1[[#This Row],[Debits]]=0)),"bad","good")</f>
        <v>good</v>
      </c>
      <c r="O1652" s="5"/>
    </row>
    <row r="1653" spans="6:15" x14ac:dyDescent="0.3">
      <c r="F1653">
        <f>MONTH(Table1[[#This Row],[Date  (DMY)]])</f>
        <v>1</v>
      </c>
      <c r="G1653" s="2"/>
      <c r="L1653" s="5"/>
      <c r="M1653" s="4">
        <f>M1652-Table1[[#This Row],[Debits]]+Table1[[#This Row],[Income]]</f>
        <v>1900</v>
      </c>
      <c r="N1653" t="str">
        <f>IF(AND(Table1[[#This Row],[Category]]="pay",NOT(Table1[[#This Row],[Debits]]=0)),"bad","good")</f>
        <v>good</v>
      </c>
      <c r="O1653" s="5"/>
    </row>
    <row r="1654" spans="6:15" x14ac:dyDescent="0.3">
      <c r="F1654">
        <f>MONTH(Table1[[#This Row],[Date  (DMY)]])</f>
        <v>1</v>
      </c>
      <c r="G1654" s="2"/>
      <c r="L1654" s="5"/>
      <c r="M1654" s="4">
        <f>M1653-Table1[[#This Row],[Debits]]+Table1[[#This Row],[Income]]</f>
        <v>1900</v>
      </c>
      <c r="N1654" t="str">
        <f>IF(AND(Table1[[#This Row],[Category]]="pay",NOT(Table1[[#This Row],[Debits]]=0)),"bad","good")</f>
        <v>good</v>
      </c>
      <c r="O1654" s="5"/>
    </row>
    <row r="1655" spans="6:15" x14ac:dyDescent="0.3">
      <c r="F1655">
        <f>MONTH(Table1[[#This Row],[Date  (DMY)]])</f>
        <v>1</v>
      </c>
      <c r="G1655" s="2"/>
      <c r="L1655" s="5"/>
      <c r="M1655" s="4">
        <f>M1654-Table1[[#This Row],[Debits]]+Table1[[#This Row],[Income]]</f>
        <v>1900</v>
      </c>
      <c r="N1655" t="str">
        <f>IF(AND(Table1[[#This Row],[Category]]="pay",NOT(Table1[[#This Row],[Debits]]=0)),"bad","good")</f>
        <v>good</v>
      </c>
      <c r="O1655" s="5"/>
    </row>
    <row r="1656" spans="6:15" x14ac:dyDescent="0.3">
      <c r="F1656">
        <f>MONTH(Table1[[#This Row],[Date  (DMY)]])</f>
        <v>1</v>
      </c>
      <c r="G1656" s="2"/>
      <c r="L1656" s="5"/>
      <c r="M1656" s="4">
        <f>M1655-Table1[[#This Row],[Debits]]+Table1[[#This Row],[Income]]</f>
        <v>1900</v>
      </c>
      <c r="N1656" t="str">
        <f>IF(AND(Table1[[#This Row],[Category]]="pay",NOT(Table1[[#This Row],[Debits]]=0)),"bad","good")</f>
        <v>good</v>
      </c>
      <c r="O1656" s="5"/>
    </row>
    <row r="1657" spans="6:15" x14ac:dyDescent="0.3">
      <c r="F1657">
        <f>MONTH(Table1[[#This Row],[Date  (DMY)]])</f>
        <v>1</v>
      </c>
      <c r="G1657" s="2"/>
      <c r="L1657" s="5"/>
      <c r="M1657" s="4">
        <f>M1656-Table1[[#This Row],[Debits]]+Table1[[#This Row],[Income]]</f>
        <v>1900</v>
      </c>
      <c r="N1657" t="str">
        <f>IF(AND(Table1[[#This Row],[Category]]="pay",NOT(Table1[[#This Row],[Debits]]=0)),"bad","good")</f>
        <v>good</v>
      </c>
      <c r="O1657" s="5"/>
    </row>
    <row r="1658" spans="6:15" x14ac:dyDescent="0.3">
      <c r="F1658">
        <f>MONTH(Table1[[#This Row],[Date  (DMY)]])</f>
        <v>1</v>
      </c>
      <c r="G1658" s="2"/>
      <c r="L1658" s="5"/>
      <c r="M1658" s="4">
        <f>M1657-Table1[[#This Row],[Debits]]+Table1[[#This Row],[Income]]</f>
        <v>1900</v>
      </c>
      <c r="N1658" t="str">
        <f>IF(AND(Table1[[#This Row],[Category]]="pay",NOT(Table1[[#This Row],[Debits]]=0)),"bad","good")</f>
        <v>good</v>
      </c>
      <c r="O1658" s="5"/>
    </row>
    <row r="1659" spans="6:15" x14ac:dyDescent="0.3">
      <c r="F1659">
        <f>MONTH(Table1[[#This Row],[Date  (DMY)]])</f>
        <v>1</v>
      </c>
      <c r="G1659" s="2"/>
      <c r="L1659" s="5"/>
      <c r="M1659" s="4">
        <f>M1658-Table1[[#This Row],[Debits]]+Table1[[#This Row],[Income]]</f>
        <v>1900</v>
      </c>
      <c r="N1659" t="str">
        <f>IF(AND(Table1[[#This Row],[Category]]="pay",NOT(Table1[[#This Row],[Debits]]=0)),"bad","good")</f>
        <v>good</v>
      </c>
      <c r="O1659" s="5"/>
    </row>
    <row r="1660" spans="6:15" x14ac:dyDescent="0.3">
      <c r="F1660">
        <f>MONTH(Table1[[#This Row],[Date  (DMY)]])</f>
        <v>1</v>
      </c>
      <c r="G1660" s="2"/>
      <c r="L1660" s="5"/>
      <c r="M1660" s="4">
        <f>M1659-Table1[[#This Row],[Debits]]+Table1[[#This Row],[Income]]</f>
        <v>1900</v>
      </c>
      <c r="N1660" t="str">
        <f>IF(AND(Table1[[#This Row],[Category]]="pay",NOT(Table1[[#This Row],[Debits]]=0)),"bad","good")</f>
        <v>good</v>
      </c>
      <c r="O1660" s="5"/>
    </row>
    <row r="1661" spans="6:15" x14ac:dyDescent="0.3">
      <c r="F1661">
        <f>MONTH(Table1[[#This Row],[Date  (DMY)]])</f>
        <v>1</v>
      </c>
      <c r="G1661" s="2"/>
      <c r="L1661" s="5"/>
      <c r="M1661" s="4">
        <f>M1660-Table1[[#This Row],[Debits]]+Table1[[#This Row],[Income]]</f>
        <v>1900</v>
      </c>
      <c r="N1661" t="str">
        <f>IF(AND(Table1[[#This Row],[Category]]="pay",NOT(Table1[[#This Row],[Debits]]=0)),"bad","good")</f>
        <v>good</v>
      </c>
      <c r="O1661" s="5"/>
    </row>
    <row r="1662" spans="6:15" x14ac:dyDescent="0.3">
      <c r="F1662">
        <f>MONTH(Table1[[#This Row],[Date  (DMY)]])</f>
        <v>1</v>
      </c>
      <c r="G1662" s="2"/>
      <c r="L1662" s="5"/>
      <c r="M1662" s="4">
        <f>M1661-Table1[[#This Row],[Debits]]+Table1[[#This Row],[Income]]</f>
        <v>1900</v>
      </c>
      <c r="N1662" t="str">
        <f>IF(AND(Table1[[#This Row],[Category]]="pay",NOT(Table1[[#This Row],[Debits]]=0)),"bad","good")</f>
        <v>good</v>
      </c>
      <c r="O1662" s="5"/>
    </row>
    <row r="1663" spans="6:15" x14ac:dyDescent="0.3">
      <c r="F1663">
        <f>MONTH(Table1[[#This Row],[Date  (DMY)]])</f>
        <v>1</v>
      </c>
      <c r="G1663" s="2"/>
      <c r="L1663" s="5"/>
      <c r="M1663" s="4">
        <f>M1662-Table1[[#This Row],[Debits]]+Table1[[#This Row],[Income]]</f>
        <v>1900</v>
      </c>
      <c r="N1663" t="str">
        <f>IF(AND(Table1[[#This Row],[Category]]="pay",NOT(Table1[[#This Row],[Debits]]=0)),"bad","good")</f>
        <v>good</v>
      </c>
      <c r="O1663" s="5"/>
    </row>
    <row r="1664" spans="6:15" x14ac:dyDescent="0.3">
      <c r="F1664">
        <f>MONTH(Table1[[#This Row],[Date  (DMY)]])</f>
        <v>1</v>
      </c>
      <c r="G1664" s="2"/>
      <c r="L1664" s="5"/>
      <c r="M1664" s="4">
        <f>M1663-Table1[[#This Row],[Debits]]+Table1[[#This Row],[Income]]</f>
        <v>1900</v>
      </c>
      <c r="N1664" t="str">
        <f>IF(AND(Table1[[#This Row],[Category]]="pay",NOT(Table1[[#This Row],[Debits]]=0)),"bad","good")</f>
        <v>good</v>
      </c>
      <c r="O1664" s="5"/>
    </row>
    <row r="1665" spans="6:15" x14ac:dyDescent="0.3">
      <c r="F1665">
        <f>MONTH(Table1[[#This Row],[Date  (DMY)]])</f>
        <v>1</v>
      </c>
      <c r="G1665" s="2"/>
      <c r="L1665" s="5"/>
      <c r="M1665" s="4">
        <f>M1664-Table1[[#This Row],[Debits]]+Table1[[#This Row],[Income]]</f>
        <v>1900</v>
      </c>
      <c r="N1665" t="str">
        <f>IF(AND(Table1[[#This Row],[Category]]="pay",NOT(Table1[[#This Row],[Debits]]=0)),"bad","good")</f>
        <v>good</v>
      </c>
      <c r="O1665" s="5"/>
    </row>
    <row r="1666" spans="6:15" x14ac:dyDescent="0.3">
      <c r="F1666">
        <f>MONTH(Table1[[#This Row],[Date  (DMY)]])</f>
        <v>1</v>
      </c>
      <c r="G1666" s="2"/>
      <c r="L1666" s="5"/>
      <c r="M1666" s="4">
        <f>M1665-Table1[[#This Row],[Debits]]+Table1[[#This Row],[Income]]</f>
        <v>1900</v>
      </c>
      <c r="N1666" t="str">
        <f>IF(AND(Table1[[#This Row],[Category]]="pay",NOT(Table1[[#This Row],[Debits]]=0)),"bad","good")</f>
        <v>good</v>
      </c>
      <c r="O1666" s="5"/>
    </row>
    <row r="1667" spans="6:15" x14ac:dyDescent="0.3">
      <c r="F1667">
        <f>MONTH(Table1[[#This Row],[Date  (DMY)]])</f>
        <v>1</v>
      </c>
      <c r="G1667" s="2"/>
      <c r="L1667" s="5"/>
      <c r="M1667" s="4">
        <f>M1666-Table1[[#This Row],[Debits]]+Table1[[#This Row],[Income]]</f>
        <v>1900</v>
      </c>
      <c r="N1667" t="str">
        <f>IF(AND(Table1[[#This Row],[Category]]="pay",NOT(Table1[[#This Row],[Debits]]=0)),"bad","good")</f>
        <v>good</v>
      </c>
      <c r="O1667" s="5"/>
    </row>
    <row r="1668" spans="6:15" x14ac:dyDescent="0.3">
      <c r="F1668">
        <f>MONTH(Table1[[#This Row],[Date  (DMY)]])</f>
        <v>1</v>
      </c>
      <c r="G1668" s="2"/>
      <c r="L1668" s="5"/>
      <c r="M1668" s="4">
        <f>M1667-Table1[[#This Row],[Debits]]+Table1[[#This Row],[Income]]</f>
        <v>1900</v>
      </c>
      <c r="N1668" t="str">
        <f>IF(AND(Table1[[#This Row],[Category]]="pay",NOT(Table1[[#This Row],[Debits]]=0)),"bad","good")</f>
        <v>good</v>
      </c>
      <c r="O1668" s="5"/>
    </row>
    <row r="1669" spans="6:15" x14ac:dyDescent="0.3">
      <c r="F1669">
        <f>MONTH(Table1[[#This Row],[Date  (DMY)]])</f>
        <v>1</v>
      </c>
      <c r="G1669" s="2"/>
      <c r="L1669" s="5"/>
      <c r="M1669" s="4">
        <f>M1668-Table1[[#This Row],[Debits]]+Table1[[#This Row],[Income]]</f>
        <v>1900</v>
      </c>
      <c r="N1669" t="str">
        <f>IF(AND(Table1[[#This Row],[Category]]="pay",NOT(Table1[[#This Row],[Debits]]=0)),"bad","good")</f>
        <v>good</v>
      </c>
      <c r="O1669" s="5"/>
    </row>
    <row r="1670" spans="6:15" x14ac:dyDescent="0.3">
      <c r="F1670">
        <f>MONTH(Table1[[#This Row],[Date  (DMY)]])</f>
        <v>1</v>
      </c>
      <c r="G1670" s="2"/>
      <c r="L1670" s="5"/>
      <c r="M1670" s="4">
        <f>M1669-Table1[[#This Row],[Debits]]+Table1[[#This Row],[Income]]</f>
        <v>1900</v>
      </c>
      <c r="N1670" t="str">
        <f>IF(AND(Table1[[#This Row],[Category]]="pay",NOT(Table1[[#This Row],[Debits]]=0)),"bad","good")</f>
        <v>good</v>
      </c>
      <c r="O1670" s="5"/>
    </row>
    <row r="1671" spans="6:15" x14ac:dyDescent="0.3">
      <c r="F1671">
        <f>MONTH(Table1[[#This Row],[Date  (DMY)]])</f>
        <v>1</v>
      </c>
      <c r="G1671" s="2"/>
      <c r="L1671" s="5"/>
      <c r="M1671" s="4">
        <f>M1670-Table1[[#This Row],[Debits]]+Table1[[#This Row],[Income]]</f>
        <v>1900</v>
      </c>
      <c r="N1671" t="str">
        <f>IF(AND(Table1[[#This Row],[Category]]="pay",NOT(Table1[[#This Row],[Debits]]=0)),"bad","good")</f>
        <v>good</v>
      </c>
      <c r="O1671" s="5"/>
    </row>
    <row r="1672" spans="6:15" x14ac:dyDescent="0.3">
      <c r="F1672">
        <f>MONTH(Table1[[#This Row],[Date  (DMY)]])</f>
        <v>1</v>
      </c>
      <c r="G1672" s="2"/>
      <c r="L1672" s="5"/>
      <c r="M1672" s="4">
        <f>M1671-Table1[[#This Row],[Debits]]+Table1[[#This Row],[Income]]</f>
        <v>1900</v>
      </c>
      <c r="N1672" t="str">
        <f>IF(AND(Table1[[#This Row],[Category]]="pay",NOT(Table1[[#This Row],[Debits]]=0)),"bad","good")</f>
        <v>good</v>
      </c>
      <c r="O1672" s="5"/>
    </row>
    <row r="1673" spans="6:15" x14ac:dyDescent="0.3">
      <c r="F1673">
        <f>MONTH(Table1[[#This Row],[Date  (DMY)]])</f>
        <v>1</v>
      </c>
      <c r="G1673" s="2"/>
      <c r="L1673" s="5"/>
      <c r="M1673" s="4">
        <f>M1672-Table1[[#This Row],[Debits]]+Table1[[#This Row],[Income]]</f>
        <v>1900</v>
      </c>
      <c r="N1673" t="str">
        <f>IF(AND(Table1[[#This Row],[Category]]="pay",NOT(Table1[[#This Row],[Debits]]=0)),"bad","good")</f>
        <v>good</v>
      </c>
      <c r="O1673" s="5"/>
    </row>
    <row r="1674" spans="6:15" x14ac:dyDescent="0.3">
      <c r="F1674">
        <f>MONTH(Table1[[#This Row],[Date  (DMY)]])</f>
        <v>1</v>
      </c>
      <c r="G1674" s="2"/>
      <c r="L1674" s="5"/>
      <c r="M1674" s="4">
        <f>M1673-Table1[[#This Row],[Debits]]+Table1[[#This Row],[Income]]</f>
        <v>1900</v>
      </c>
      <c r="N1674" t="str">
        <f>IF(AND(Table1[[#This Row],[Category]]="pay",NOT(Table1[[#This Row],[Debits]]=0)),"bad","good")</f>
        <v>good</v>
      </c>
      <c r="O1674" s="5"/>
    </row>
    <row r="1675" spans="6:15" x14ac:dyDescent="0.3">
      <c r="F1675">
        <f>MONTH(Table1[[#This Row],[Date  (DMY)]])</f>
        <v>1</v>
      </c>
      <c r="G1675" s="2"/>
      <c r="L1675" s="5"/>
      <c r="M1675" s="4">
        <f>M1674-Table1[[#This Row],[Debits]]+Table1[[#This Row],[Income]]</f>
        <v>1900</v>
      </c>
      <c r="N1675" t="str">
        <f>IF(AND(Table1[[#This Row],[Category]]="pay",NOT(Table1[[#This Row],[Debits]]=0)),"bad","good")</f>
        <v>good</v>
      </c>
      <c r="O1675" s="5"/>
    </row>
    <row r="1676" spans="6:15" x14ac:dyDescent="0.3">
      <c r="F1676">
        <f>MONTH(Table1[[#This Row],[Date  (DMY)]])</f>
        <v>1</v>
      </c>
      <c r="G1676" s="2"/>
      <c r="L1676" s="5"/>
      <c r="M1676" s="4">
        <f>M1675-Table1[[#This Row],[Debits]]+Table1[[#This Row],[Income]]</f>
        <v>1900</v>
      </c>
      <c r="N1676" t="str">
        <f>IF(AND(Table1[[#This Row],[Category]]="pay",NOT(Table1[[#This Row],[Debits]]=0)),"bad","good")</f>
        <v>good</v>
      </c>
      <c r="O1676" s="5"/>
    </row>
    <row r="1677" spans="6:15" x14ac:dyDescent="0.3">
      <c r="F1677">
        <f>MONTH(Table1[[#This Row],[Date  (DMY)]])</f>
        <v>1</v>
      </c>
      <c r="G1677" s="2"/>
      <c r="L1677" s="5"/>
      <c r="M1677" s="4">
        <f>M1676-Table1[[#This Row],[Debits]]+Table1[[#This Row],[Income]]</f>
        <v>1900</v>
      </c>
      <c r="N1677" t="str">
        <f>IF(AND(Table1[[#This Row],[Category]]="pay",NOT(Table1[[#This Row],[Debits]]=0)),"bad","good")</f>
        <v>good</v>
      </c>
      <c r="O1677" s="5"/>
    </row>
    <row r="1678" spans="6:15" x14ac:dyDescent="0.3">
      <c r="F1678">
        <f>MONTH(Table1[[#This Row],[Date  (DMY)]])</f>
        <v>1</v>
      </c>
      <c r="G1678" s="2"/>
      <c r="L1678" s="5"/>
      <c r="M1678" s="4">
        <f>M1677-Table1[[#This Row],[Debits]]+Table1[[#This Row],[Income]]</f>
        <v>1900</v>
      </c>
      <c r="N1678" t="str">
        <f>IF(AND(Table1[[#This Row],[Category]]="pay",NOT(Table1[[#This Row],[Debits]]=0)),"bad","good")</f>
        <v>good</v>
      </c>
      <c r="O1678" s="5"/>
    </row>
    <row r="1679" spans="6:15" x14ac:dyDescent="0.3">
      <c r="F1679">
        <f>MONTH(Table1[[#This Row],[Date  (DMY)]])</f>
        <v>1</v>
      </c>
      <c r="G1679" s="2"/>
      <c r="L1679" s="5"/>
      <c r="M1679" s="4">
        <f>M1678-Table1[[#This Row],[Debits]]+Table1[[#This Row],[Income]]</f>
        <v>1900</v>
      </c>
      <c r="N1679" t="str">
        <f>IF(AND(Table1[[#This Row],[Category]]="pay",NOT(Table1[[#This Row],[Debits]]=0)),"bad","good")</f>
        <v>good</v>
      </c>
      <c r="O1679" s="5"/>
    </row>
    <row r="1680" spans="6:15" x14ac:dyDescent="0.3">
      <c r="F1680">
        <f>MONTH(Table1[[#This Row],[Date  (DMY)]])</f>
        <v>1</v>
      </c>
      <c r="G1680" s="2"/>
      <c r="L1680" s="5"/>
      <c r="M1680" s="4">
        <f>M1679-Table1[[#This Row],[Debits]]+Table1[[#This Row],[Income]]</f>
        <v>1900</v>
      </c>
      <c r="N1680" t="str">
        <f>IF(AND(Table1[[#This Row],[Category]]="pay",NOT(Table1[[#This Row],[Debits]]=0)),"bad","good")</f>
        <v>good</v>
      </c>
      <c r="O1680" s="5"/>
    </row>
    <row r="1681" spans="6:15" x14ac:dyDescent="0.3">
      <c r="F1681">
        <f>MONTH(Table1[[#This Row],[Date  (DMY)]])</f>
        <v>1</v>
      </c>
      <c r="G1681" s="2"/>
      <c r="L1681" s="5"/>
      <c r="M1681" s="4">
        <f>M1680-Table1[[#This Row],[Debits]]+Table1[[#This Row],[Income]]</f>
        <v>1900</v>
      </c>
      <c r="N1681" t="str">
        <f>IF(AND(Table1[[#This Row],[Category]]="pay",NOT(Table1[[#This Row],[Debits]]=0)),"bad","good")</f>
        <v>good</v>
      </c>
      <c r="O1681" s="5"/>
    </row>
    <row r="1682" spans="6:15" x14ac:dyDescent="0.3">
      <c r="F1682">
        <f>MONTH(Table1[[#This Row],[Date  (DMY)]])</f>
        <v>1</v>
      </c>
      <c r="G1682" s="2"/>
      <c r="L1682" s="5"/>
      <c r="M1682" s="4">
        <f>M1681-Table1[[#This Row],[Debits]]+Table1[[#This Row],[Income]]</f>
        <v>1900</v>
      </c>
      <c r="N1682" t="str">
        <f>IF(AND(Table1[[#This Row],[Category]]="pay",NOT(Table1[[#This Row],[Debits]]=0)),"bad","good")</f>
        <v>good</v>
      </c>
      <c r="O1682" s="5"/>
    </row>
    <row r="1683" spans="6:15" x14ac:dyDescent="0.3">
      <c r="F1683">
        <f>MONTH(Table1[[#This Row],[Date  (DMY)]])</f>
        <v>1</v>
      </c>
      <c r="G1683" s="2"/>
      <c r="L1683" s="5"/>
      <c r="M1683" s="4">
        <f>M1682-Table1[[#This Row],[Debits]]+Table1[[#This Row],[Income]]</f>
        <v>1900</v>
      </c>
      <c r="N1683" t="str">
        <f>IF(AND(Table1[[#This Row],[Category]]="pay",NOT(Table1[[#This Row],[Debits]]=0)),"bad","good")</f>
        <v>good</v>
      </c>
      <c r="O1683" s="5"/>
    </row>
    <row r="1684" spans="6:15" x14ac:dyDescent="0.3">
      <c r="F1684">
        <f>MONTH(Table1[[#This Row],[Date  (DMY)]])</f>
        <v>1</v>
      </c>
      <c r="G1684" s="2"/>
      <c r="L1684" s="5"/>
      <c r="M1684" s="4">
        <f>M1683-Table1[[#This Row],[Debits]]+Table1[[#This Row],[Income]]</f>
        <v>1900</v>
      </c>
      <c r="N1684" t="str">
        <f>IF(AND(Table1[[#This Row],[Category]]="pay",NOT(Table1[[#This Row],[Debits]]=0)),"bad","good")</f>
        <v>good</v>
      </c>
      <c r="O1684" s="5"/>
    </row>
    <row r="1685" spans="6:15" x14ac:dyDescent="0.3">
      <c r="F1685">
        <f>MONTH(Table1[[#This Row],[Date  (DMY)]])</f>
        <v>1</v>
      </c>
      <c r="G1685" s="2"/>
      <c r="L1685" s="5"/>
      <c r="M1685" s="4">
        <f>M1684-Table1[[#This Row],[Debits]]+Table1[[#This Row],[Income]]</f>
        <v>1900</v>
      </c>
      <c r="N1685" t="str">
        <f>IF(AND(Table1[[#This Row],[Category]]="pay",NOT(Table1[[#This Row],[Debits]]=0)),"bad","good")</f>
        <v>good</v>
      </c>
      <c r="O1685" s="5"/>
    </row>
    <row r="1686" spans="6:15" x14ac:dyDescent="0.3">
      <c r="F1686">
        <f>MONTH(Table1[[#This Row],[Date  (DMY)]])</f>
        <v>1</v>
      </c>
      <c r="G1686" s="2"/>
      <c r="L1686" s="5"/>
      <c r="M1686" s="4">
        <f>M1685-Table1[[#This Row],[Debits]]+Table1[[#This Row],[Income]]</f>
        <v>1900</v>
      </c>
      <c r="N1686" t="str">
        <f>IF(AND(Table1[[#This Row],[Category]]="pay",NOT(Table1[[#This Row],[Debits]]=0)),"bad","good")</f>
        <v>good</v>
      </c>
      <c r="O1686" s="5"/>
    </row>
    <row r="1687" spans="6:15" x14ac:dyDescent="0.3">
      <c r="F1687">
        <f>MONTH(Table1[[#This Row],[Date  (DMY)]])</f>
        <v>1</v>
      </c>
      <c r="G1687" s="2"/>
      <c r="L1687" s="5"/>
      <c r="M1687" s="4">
        <f>M1686-Table1[[#This Row],[Debits]]+Table1[[#This Row],[Income]]</f>
        <v>1900</v>
      </c>
      <c r="N1687" t="str">
        <f>IF(AND(Table1[[#This Row],[Category]]="pay",NOT(Table1[[#This Row],[Debits]]=0)),"bad","good")</f>
        <v>good</v>
      </c>
      <c r="O1687" s="5"/>
    </row>
    <row r="1688" spans="6:15" x14ac:dyDescent="0.3">
      <c r="F1688">
        <f>MONTH(Table1[[#This Row],[Date  (DMY)]])</f>
        <v>1</v>
      </c>
      <c r="G1688" s="2"/>
      <c r="L1688" s="5"/>
      <c r="M1688" s="4">
        <f>M1687-Table1[[#This Row],[Debits]]+Table1[[#This Row],[Income]]</f>
        <v>1900</v>
      </c>
      <c r="N1688" t="str">
        <f>IF(AND(Table1[[#This Row],[Category]]="pay",NOT(Table1[[#This Row],[Debits]]=0)),"bad","good")</f>
        <v>good</v>
      </c>
      <c r="O1688" s="5"/>
    </row>
    <row r="1689" spans="6:15" x14ac:dyDescent="0.3">
      <c r="F1689">
        <f>MONTH(Table1[[#This Row],[Date  (DMY)]])</f>
        <v>1</v>
      </c>
      <c r="G1689" s="2"/>
      <c r="L1689" s="5"/>
      <c r="M1689" s="4">
        <f>M1688-Table1[[#This Row],[Debits]]+Table1[[#This Row],[Income]]</f>
        <v>1900</v>
      </c>
      <c r="N1689" t="str">
        <f>IF(AND(Table1[[#This Row],[Category]]="pay",NOT(Table1[[#This Row],[Debits]]=0)),"bad","good")</f>
        <v>good</v>
      </c>
      <c r="O1689" s="5"/>
    </row>
    <row r="1690" spans="6:15" x14ac:dyDescent="0.3">
      <c r="F1690">
        <f>MONTH(Table1[[#This Row],[Date  (DMY)]])</f>
        <v>1</v>
      </c>
      <c r="G1690" s="2"/>
      <c r="L1690" s="5"/>
      <c r="M1690" s="4">
        <f>M1689-Table1[[#This Row],[Debits]]+Table1[[#This Row],[Income]]</f>
        <v>1900</v>
      </c>
      <c r="N1690" t="str">
        <f>IF(AND(Table1[[#This Row],[Category]]="pay",NOT(Table1[[#This Row],[Debits]]=0)),"bad","good")</f>
        <v>good</v>
      </c>
      <c r="O1690" s="5"/>
    </row>
    <row r="1691" spans="6:15" x14ac:dyDescent="0.3">
      <c r="F1691">
        <f>MONTH(Table1[[#This Row],[Date  (DMY)]])</f>
        <v>1</v>
      </c>
      <c r="G1691" s="2"/>
      <c r="L1691" s="5"/>
      <c r="M1691" s="4">
        <f>M1690-Table1[[#This Row],[Debits]]+Table1[[#This Row],[Income]]</f>
        <v>1900</v>
      </c>
      <c r="N1691" t="str">
        <f>IF(AND(Table1[[#This Row],[Category]]="pay",NOT(Table1[[#This Row],[Debits]]=0)),"bad","good")</f>
        <v>good</v>
      </c>
      <c r="O1691" s="5"/>
    </row>
    <row r="1692" spans="6:15" x14ac:dyDescent="0.3">
      <c r="F1692">
        <f>MONTH(Table1[[#This Row],[Date  (DMY)]])</f>
        <v>1</v>
      </c>
      <c r="G1692" s="2"/>
      <c r="L1692" s="5"/>
      <c r="M1692" s="4">
        <f>M1691-Table1[[#This Row],[Debits]]+Table1[[#This Row],[Income]]</f>
        <v>1900</v>
      </c>
      <c r="N1692" t="str">
        <f>IF(AND(Table1[[#This Row],[Category]]="pay",NOT(Table1[[#This Row],[Debits]]=0)),"bad","good")</f>
        <v>good</v>
      </c>
      <c r="O1692" s="5"/>
    </row>
    <row r="1693" spans="6:15" x14ac:dyDescent="0.3">
      <c r="F1693">
        <f>MONTH(Table1[[#This Row],[Date  (DMY)]])</f>
        <v>1</v>
      </c>
      <c r="G1693" s="2"/>
      <c r="L1693" s="5"/>
      <c r="M1693" s="4">
        <f>M1692-Table1[[#This Row],[Debits]]+Table1[[#This Row],[Income]]</f>
        <v>1900</v>
      </c>
      <c r="N1693" t="str">
        <f>IF(AND(Table1[[#This Row],[Category]]="pay",NOT(Table1[[#This Row],[Debits]]=0)),"bad","good")</f>
        <v>good</v>
      </c>
      <c r="O1693" s="5"/>
    </row>
    <row r="1694" spans="6:15" x14ac:dyDescent="0.3">
      <c r="F1694">
        <f>MONTH(Table1[[#This Row],[Date  (DMY)]])</f>
        <v>1</v>
      </c>
      <c r="G1694" s="2"/>
      <c r="L1694" s="5"/>
      <c r="M1694" s="4">
        <f>M1693-Table1[[#This Row],[Debits]]+Table1[[#This Row],[Income]]</f>
        <v>1900</v>
      </c>
      <c r="N1694" t="str">
        <f>IF(AND(Table1[[#This Row],[Category]]="pay",NOT(Table1[[#This Row],[Debits]]=0)),"bad","good")</f>
        <v>good</v>
      </c>
      <c r="O1694" s="5"/>
    </row>
    <row r="1695" spans="6:15" x14ac:dyDescent="0.3">
      <c r="F1695">
        <f>MONTH(Table1[[#This Row],[Date  (DMY)]])</f>
        <v>1</v>
      </c>
      <c r="G1695" s="2"/>
      <c r="L1695" s="5"/>
      <c r="M1695" s="4">
        <f>M1694-Table1[[#This Row],[Debits]]+Table1[[#This Row],[Income]]</f>
        <v>1900</v>
      </c>
      <c r="N1695" t="str">
        <f>IF(AND(Table1[[#This Row],[Category]]="pay",NOT(Table1[[#This Row],[Debits]]=0)),"bad","good")</f>
        <v>good</v>
      </c>
      <c r="O1695" s="5"/>
    </row>
    <row r="1696" spans="6:15" x14ac:dyDescent="0.3">
      <c r="F1696">
        <f>MONTH(Table1[[#This Row],[Date  (DMY)]])</f>
        <v>1</v>
      </c>
      <c r="G1696" s="2"/>
      <c r="L1696" s="5"/>
      <c r="M1696" s="4">
        <f>M1695-Table1[[#This Row],[Debits]]+Table1[[#This Row],[Income]]</f>
        <v>1900</v>
      </c>
      <c r="N1696" t="str">
        <f>IF(AND(Table1[[#This Row],[Category]]="pay",NOT(Table1[[#This Row],[Debits]]=0)),"bad","good")</f>
        <v>good</v>
      </c>
      <c r="O1696" s="5"/>
    </row>
    <row r="1697" spans="6:15" x14ac:dyDescent="0.3">
      <c r="F1697">
        <f>MONTH(Table1[[#This Row],[Date  (DMY)]])</f>
        <v>1</v>
      </c>
      <c r="G1697" s="2"/>
      <c r="L1697" s="5"/>
      <c r="M1697" s="4">
        <f>M1696-Table1[[#This Row],[Debits]]+Table1[[#This Row],[Income]]</f>
        <v>1900</v>
      </c>
      <c r="N1697" t="str">
        <f>IF(AND(Table1[[#This Row],[Category]]="pay",NOT(Table1[[#This Row],[Debits]]=0)),"bad","good")</f>
        <v>good</v>
      </c>
      <c r="O1697" s="5"/>
    </row>
    <row r="1698" spans="6:15" x14ac:dyDescent="0.3">
      <c r="F1698">
        <f>MONTH(Table1[[#This Row],[Date  (DMY)]])</f>
        <v>1</v>
      </c>
      <c r="G1698" s="2"/>
      <c r="L1698" s="5"/>
      <c r="M1698" s="4">
        <f>M1697-Table1[[#This Row],[Debits]]+Table1[[#This Row],[Income]]</f>
        <v>1900</v>
      </c>
      <c r="N1698" t="str">
        <f>IF(AND(Table1[[#This Row],[Category]]="pay",NOT(Table1[[#This Row],[Debits]]=0)),"bad","good")</f>
        <v>good</v>
      </c>
      <c r="O1698" s="5"/>
    </row>
    <row r="1699" spans="6:15" x14ac:dyDescent="0.3">
      <c r="F1699">
        <f>MONTH(Table1[[#This Row],[Date  (DMY)]])</f>
        <v>1</v>
      </c>
      <c r="G1699" s="2"/>
      <c r="L1699" s="5"/>
      <c r="M1699" s="4">
        <f>M1698-Table1[[#This Row],[Debits]]+Table1[[#This Row],[Income]]</f>
        <v>1900</v>
      </c>
      <c r="N1699" t="str">
        <f>IF(AND(Table1[[#This Row],[Category]]="pay",NOT(Table1[[#This Row],[Debits]]=0)),"bad","good")</f>
        <v>good</v>
      </c>
      <c r="O1699" s="5"/>
    </row>
    <row r="1700" spans="6:15" x14ac:dyDescent="0.3">
      <c r="F1700">
        <f>MONTH(Table1[[#This Row],[Date  (DMY)]])</f>
        <v>1</v>
      </c>
      <c r="G1700" s="2"/>
      <c r="L1700" s="5"/>
      <c r="M1700" s="4">
        <f>M1699-Table1[[#This Row],[Debits]]+Table1[[#This Row],[Income]]</f>
        <v>1900</v>
      </c>
      <c r="N1700" t="str">
        <f>IF(AND(Table1[[#This Row],[Category]]="pay",NOT(Table1[[#This Row],[Debits]]=0)),"bad","good")</f>
        <v>good</v>
      </c>
      <c r="O1700" s="5"/>
    </row>
    <row r="1701" spans="6:15" x14ac:dyDescent="0.3">
      <c r="F1701">
        <f>MONTH(Table1[[#This Row],[Date  (DMY)]])</f>
        <v>1</v>
      </c>
      <c r="G1701" s="2"/>
      <c r="L1701" s="5"/>
      <c r="M1701" s="4">
        <f>M1700-Table1[[#This Row],[Debits]]+Table1[[#This Row],[Income]]</f>
        <v>1900</v>
      </c>
      <c r="N1701" t="str">
        <f>IF(AND(Table1[[#This Row],[Category]]="pay",NOT(Table1[[#This Row],[Debits]]=0)),"bad","good")</f>
        <v>good</v>
      </c>
      <c r="O1701" s="5"/>
    </row>
    <row r="1702" spans="6:15" x14ac:dyDescent="0.3">
      <c r="F1702">
        <f>MONTH(Table1[[#This Row],[Date  (DMY)]])</f>
        <v>1</v>
      </c>
      <c r="G1702" s="2"/>
      <c r="L1702" s="5"/>
      <c r="M1702" s="4">
        <f>M1701-Table1[[#This Row],[Debits]]+Table1[[#This Row],[Income]]</f>
        <v>1900</v>
      </c>
      <c r="N1702" t="str">
        <f>IF(AND(Table1[[#This Row],[Category]]="pay",NOT(Table1[[#This Row],[Debits]]=0)),"bad","good")</f>
        <v>good</v>
      </c>
      <c r="O1702" s="5"/>
    </row>
    <row r="1703" spans="6:15" x14ac:dyDescent="0.3">
      <c r="F1703">
        <f>MONTH(Table1[[#This Row],[Date  (DMY)]])</f>
        <v>1</v>
      </c>
      <c r="G1703" s="2"/>
      <c r="L1703" s="5"/>
      <c r="M1703" s="4">
        <f>M1702-Table1[[#This Row],[Debits]]+Table1[[#This Row],[Income]]</f>
        <v>1900</v>
      </c>
      <c r="N1703" t="str">
        <f>IF(AND(Table1[[#This Row],[Category]]="pay",NOT(Table1[[#This Row],[Debits]]=0)),"bad","good")</f>
        <v>good</v>
      </c>
      <c r="O1703" s="5"/>
    </row>
    <row r="1704" spans="6:15" x14ac:dyDescent="0.3">
      <c r="F1704">
        <f>MONTH(Table1[[#This Row],[Date  (DMY)]])</f>
        <v>1</v>
      </c>
      <c r="G1704" s="2"/>
      <c r="L1704" s="5"/>
      <c r="M1704" s="4">
        <f>M1703-Table1[[#This Row],[Debits]]+Table1[[#This Row],[Income]]</f>
        <v>1900</v>
      </c>
      <c r="N1704" t="str">
        <f>IF(AND(Table1[[#This Row],[Category]]="pay",NOT(Table1[[#This Row],[Debits]]=0)),"bad","good")</f>
        <v>good</v>
      </c>
      <c r="O1704" s="5"/>
    </row>
    <row r="1705" spans="6:15" x14ac:dyDescent="0.3">
      <c r="F1705">
        <f>MONTH(Table1[[#This Row],[Date  (DMY)]])</f>
        <v>1</v>
      </c>
      <c r="G1705" s="2"/>
      <c r="L1705" s="5"/>
      <c r="M1705" s="4">
        <f>M1704-Table1[[#This Row],[Debits]]+Table1[[#This Row],[Income]]</f>
        <v>1900</v>
      </c>
      <c r="N1705" t="str">
        <f>IF(AND(Table1[[#This Row],[Category]]="pay",NOT(Table1[[#This Row],[Debits]]=0)),"bad","good")</f>
        <v>good</v>
      </c>
      <c r="O1705" s="5"/>
    </row>
    <row r="1706" spans="6:15" x14ac:dyDescent="0.3">
      <c r="F1706">
        <f>MONTH(Table1[[#This Row],[Date  (DMY)]])</f>
        <v>1</v>
      </c>
      <c r="G1706" s="2"/>
      <c r="L1706" s="5"/>
      <c r="M1706" s="4">
        <f>M1705-Table1[[#This Row],[Debits]]+Table1[[#This Row],[Income]]</f>
        <v>1900</v>
      </c>
      <c r="N1706" t="str">
        <f>IF(AND(Table1[[#This Row],[Category]]="pay",NOT(Table1[[#This Row],[Debits]]=0)),"bad","good")</f>
        <v>good</v>
      </c>
      <c r="O1706" s="5"/>
    </row>
    <row r="1707" spans="6:15" x14ac:dyDescent="0.3">
      <c r="F1707">
        <f>MONTH(Table1[[#This Row],[Date  (DMY)]])</f>
        <v>1</v>
      </c>
      <c r="G1707" s="2"/>
      <c r="L1707" s="5"/>
      <c r="M1707" s="4">
        <f>M1706-Table1[[#This Row],[Debits]]+Table1[[#This Row],[Income]]</f>
        <v>1900</v>
      </c>
      <c r="N1707" t="str">
        <f>IF(AND(Table1[[#This Row],[Category]]="pay",NOT(Table1[[#This Row],[Debits]]=0)),"bad","good")</f>
        <v>good</v>
      </c>
      <c r="O1707" s="5"/>
    </row>
    <row r="1708" spans="6:15" x14ac:dyDescent="0.3">
      <c r="F1708">
        <f>MONTH(Table1[[#This Row],[Date  (DMY)]])</f>
        <v>1</v>
      </c>
      <c r="G1708" s="2"/>
      <c r="L1708" s="5"/>
      <c r="M1708" s="4">
        <f>M1707-Table1[[#This Row],[Debits]]+Table1[[#This Row],[Income]]</f>
        <v>1900</v>
      </c>
      <c r="N1708" t="str">
        <f>IF(AND(Table1[[#This Row],[Category]]="pay",NOT(Table1[[#This Row],[Debits]]=0)),"bad","good")</f>
        <v>good</v>
      </c>
      <c r="O1708" s="5"/>
    </row>
    <row r="1709" spans="6:15" x14ac:dyDescent="0.3">
      <c r="F1709">
        <f>MONTH(Table1[[#This Row],[Date  (DMY)]])</f>
        <v>1</v>
      </c>
      <c r="G1709" s="2"/>
      <c r="L1709" s="5"/>
      <c r="M1709" s="4">
        <f>M1708-Table1[[#This Row],[Debits]]+Table1[[#This Row],[Income]]</f>
        <v>1900</v>
      </c>
      <c r="N1709" t="str">
        <f>IF(AND(Table1[[#This Row],[Category]]="pay",NOT(Table1[[#This Row],[Debits]]=0)),"bad","good")</f>
        <v>good</v>
      </c>
      <c r="O1709" s="5"/>
    </row>
    <row r="1710" spans="6:15" x14ac:dyDescent="0.3">
      <c r="F1710">
        <f>MONTH(Table1[[#This Row],[Date  (DMY)]])</f>
        <v>1</v>
      </c>
      <c r="G1710" s="2"/>
      <c r="L1710" s="5"/>
      <c r="M1710" s="4">
        <f>M1709-Table1[[#This Row],[Debits]]+Table1[[#This Row],[Income]]</f>
        <v>1900</v>
      </c>
      <c r="N1710" t="str">
        <f>IF(AND(Table1[[#This Row],[Category]]="pay",NOT(Table1[[#This Row],[Debits]]=0)),"bad","good")</f>
        <v>good</v>
      </c>
      <c r="O1710" s="5"/>
    </row>
    <row r="1711" spans="6:15" x14ac:dyDescent="0.3">
      <c r="F1711">
        <f>MONTH(Table1[[#This Row],[Date  (DMY)]])</f>
        <v>1</v>
      </c>
      <c r="G1711" s="2"/>
      <c r="L1711" s="5"/>
      <c r="M1711" s="4">
        <f>M1710-Table1[[#This Row],[Debits]]+Table1[[#This Row],[Income]]</f>
        <v>1900</v>
      </c>
      <c r="N1711" t="str">
        <f>IF(AND(Table1[[#This Row],[Category]]="pay",NOT(Table1[[#This Row],[Debits]]=0)),"bad","good")</f>
        <v>good</v>
      </c>
      <c r="O1711" s="5"/>
    </row>
    <row r="1712" spans="6:15" x14ac:dyDescent="0.3">
      <c r="F1712">
        <f>MONTH(Table1[[#This Row],[Date  (DMY)]])</f>
        <v>1</v>
      </c>
      <c r="G1712" s="2"/>
      <c r="L1712" s="5"/>
      <c r="M1712" s="4">
        <f>M1711-Table1[[#This Row],[Debits]]+Table1[[#This Row],[Income]]</f>
        <v>1900</v>
      </c>
      <c r="N1712" t="str">
        <f>IF(AND(Table1[[#This Row],[Category]]="pay",NOT(Table1[[#This Row],[Debits]]=0)),"bad","good")</f>
        <v>good</v>
      </c>
      <c r="O1712" s="5"/>
    </row>
    <row r="1713" spans="6:15" x14ac:dyDescent="0.3">
      <c r="F1713">
        <f>MONTH(Table1[[#This Row],[Date  (DMY)]])</f>
        <v>1</v>
      </c>
      <c r="G1713" s="2"/>
      <c r="L1713" s="5"/>
      <c r="M1713" s="4">
        <f>M1712-Table1[[#This Row],[Debits]]+Table1[[#This Row],[Income]]</f>
        <v>1900</v>
      </c>
      <c r="N1713" t="str">
        <f>IF(AND(Table1[[#This Row],[Category]]="pay",NOT(Table1[[#This Row],[Debits]]=0)),"bad","good")</f>
        <v>good</v>
      </c>
      <c r="O1713" s="5"/>
    </row>
    <row r="1714" spans="6:15" x14ac:dyDescent="0.3">
      <c r="F1714">
        <f>MONTH(Table1[[#This Row],[Date  (DMY)]])</f>
        <v>1</v>
      </c>
      <c r="G1714" s="2"/>
      <c r="L1714" s="5"/>
      <c r="M1714" s="4">
        <f>M1713-Table1[[#This Row],[Debits]]+Table1[[#This Row],[Income]]</f>
        <v>1900</v>
      </c>
      <c r="N1714" t="str">
        <f>IF(AND(Table1[[#This Row],[Category]]="pay",NOT(Table1[[#This Row],[Debits]]=0)),"bad","good")</f>
        <v>good</v>
      </c>
      <c r="O1714" s="5"/>
    </row>
    <row r="1715" spans="6:15" x14ac:dyDescent="0.3">
      <c r="F1715">
        <f>MONTH(Table1[[#This Row],[Date  (DMY)]])</f>
        <v>1</v>
      </c>
      <c r="G1715" s="2"/>
      <c r="L1715" s="5"/>
      <c r="M1715" s="4">
        <f>M1714-Table1[[#This Row],[Debits]]+Table1[[#This Row],[Income]]</f>
        <v>1900</v>
      </c>
      <c r="N1715" t="str">
        <f>IF(AND(Table1[[#This Row],[Category]]="pay",NOT(Table1[[#This Row],[Debits]]=0)),"bad","good")</f>
        <v>good</v>
      </c>
      <c r="O1715" s="5"/>
    </row>
    <row r="1716" spans="6:15" x14ac:dyDescent="0.3">
      <c r="F1716">
        <f>MONTH(Table1[[#This Row],[Date  (DMY)]])</f>
        <v>1</v>
      </c>
      <c r="G1716" s="2"/>
      <c r="L1716" s="5"/>
      <c r="M1716" s="4">
        <f>M1715-Table1[[#This Row],[Debits]]+Table1[[#This Row],[Income]]</f>
        <v>1900</v>
      </c>
      <c r="N1716" t="str">
        <f>IF(AND(Table1[[#This Row],[Category]]="pay",NOT(Table1[[#This Row],[Debits]]=0)),"bad","good")</f>
        <v>good</v>
      </c>
      <c r="O1716" s="5"/>
    </row>
    <row r="1717" spans="6:15" x14ac:dyDescent="0.3">
      <c r="F1717">
        <f>MONTH(Table1[[#This Row],[Date  (DMY)]])</f>
        <v>1</v>
      </c>
      <c r="G1717" s="2"/>
      <c r="L1717" s="5"/>
      <c r="M1717" s="4">
        <f>M1716-Table1[[#This Row],[Debits]]+Table1[[#This Row],[Income]]</f>
        <v>1900</v>
      </c>
      <c r="N1717" t="str">
        <f>IF(AND(Table1[[#This Row],[Category]]="pay",NOT(Table1[[#This Row],[Debits]]=0)),"bad","good")</f>
        <v>good</v>
      </c>
      <c r="O1717" s="5"/>
    </row>
    <row r="1718" spans="6:15" x14ac:dyDescent="0.3">
      <c r="F1718">
        <f>MONTH(Table1[[#This Row],[Date  (DMY)]])</f>
        <v>1</v>
      </c>
      <c r="G1718" s="2"/>
      <c r="L1718" s="5"/>
      <c r="M1718" s="4">
        <f>M1717-Table1[[#This Row],[Debits]]+Table1[[#This Row],[Income]]</f>
        <v>1900</v>
      </c>
      <c r="N1718" t="str">
        <f>IF(AND(Table1[[#This Row],[Category]]="pay",NOT(Table1[[#This Row],[Debits]]=0)),"bad","good")</f>
        <v>good</v>
      </c>
      <c r="O1718" s="5"/>
    </row>
    <row r="1719" spans="6:15" x14ac:dyDescent="0.3">
      <c r="F1719">
        <f>MONTH(Table1[[#This Row],[Date  (DMY)]])</f>
        <v>1</v>
      </c>
      <c r="G1719" s="2"/>
      <c r="L1719" s="5"/>
      <c r="M1719" s="4">
        <f>M1718-Table1[[#This Row],[Debits]]+Table1[[#This Row],[Income]]</f>
        <v>1900</v>
      </c>
      <c r="N1719" t="str">
        <f>IF(AND(Table1[[#This Row],[Category]]="pay",NOT(Table1[[#This Row],[Debits]]=0)),"bad","good")</f>
        <v>good</v>
      </c>
      <c r="O1719" s="5"/>
    </row>
    <row r="1720" spans="6:15" x14ac:dyDescent="0.3">
      <c r="F1720">
        <f>MONTH(Table1[[#This Row],[Date  (DMY)]])</f>
        <v>1</v>
      </c>
      <c r="G1720" s="2"/>
      <c r="L1720" s="5"/>
      <c r="M1720" s="4">
        <f>M1719-Table1[[#This Row],[Debits]]+Table1[[#This Row],[Income]]</f>
        <v>1900</v>
      </c>
      <c r="N1720" t="str">
        <f>IF(AND(Table1[[#This Row],[Category]]="pay",NOT(Table1[[#This Row],[Debits]]=0)),"bad","good")</f>
        <v>good</v>
      </c>
      <c r="O1720" s="5"/>
    </row>
    <row r="1721" spans="6:15" x14ac:dyDescent="0.3">
      <c r="F1721">
        <f>MONTH(Table1[[#This Row],[Date  (DMY)]])</f>
        <v>1</v>
      </c>
      <c r="G1721" s="2"/>
      <c r="L1721" s="5"/>
      <c r="M1721" s="4">
        <f>M1720-Table1[[#This Row],[Debits]]+Table1[[#This Row],[Income]]</f>
        <v>1900</v>
      </c>
      <c r="N1721" t="str">
        <f>IF(AND(Table1[[#This Row],[Category]]="pay",NOT(Table1[[#This Row],[Debits]]=0)),"bad","good")</f>
        <v>good</v>
      </c>
      <c r="O1721" s="5"/>
    </row>
    <row r="1722" spans="6:15" x14ac:dyDescent="0.3">
      <c r="F1722">
        <f>MONTH(Table1[[#This Row],[Date  (DMY)]])</f>
        <v>1</v>
      </c>
      <c r="G1722" s="2"/>
      <c r="L1722" s="5"/>
      <c r="M1722" s="4">
        <f>M1721-Table1[[#This Row],[Debits]]+Table1[[#This Row],[Income]]</f>
        <v>1900</v>
      </c>
      <c r="N1722" t="str">
        <f>IF(AND(Table1[[#This Row],[Category]]="pay",NOT(Table1[[#This Row],[Debits]]=0)),"bad","good")</f>
        <v>good</v>
      </c>
      <c r="O1722" s="5"/>
    </row>
    <row r="1723" spans="6:15" x14ac:dyDescent="0.3">
      <c r="F1723">
        <f>MONTH(Table1[[#This Row],[Date  (DMY)]])</f>
        <v>1</v>
      </c>
      <c r="G1723" s="2"/>
      <c r="L1723" s="5"/>
      <c r="M1723" s="4">
        <f>M1722-Table1[[#This Row],[Debits]]+Table1[[#This Row],[Income]]</f>
        <v>1900</v>
      </c>
      <c r="N1723" t="str">
        <f>IF(AND(Table1[[#This Row],[Category]]="pay",NOT(Table1[[#This Row],[Debits]]=0)),"bad","good")</f>
        <v>good</v>
      </c>
      <c r="O1723" s="5"/>
    </row>
    <row r="1724" spans="6:15" x14ac:dyDescent="0.3">
      <c r="F1724">
        <f>MONTH(Table1[[#This Row],[Date  (DMY)]])</f>
        <v>1</v>
      </c>
      <c r="G1724" s="2"/>
      <c r="L1724" s="5"/>
      <c r="M1724" s="4">
        <f>M1723-Table1[[#This Row],[Debits]]+Table1[[#This Row],[Income]]</f>
        <v>1900</v>
      </c>
      <c r="N1724" t="str">
        <f>IF(AND(Table1[[#This Row],[Category]]="pay",NOT(Table1[[#This Row],[Debits]]=0)),"bad","good")</f>
        <v>good</v>
      </c>
      <c r="O1724" s="5"/>
    </row>
    <row r="1725" spans="6:15" x14ac:dyDescent="0.3">
      <c r="F1725">
        <f>MONTH(Table1[[#This Row],[Date  (DMY)]])</f>
        <v>1</v>
      </c>
      <c r="G1725" s="2"/>
      <c r="L1725" s="5"/>
      <c r="M1725" s="4">
        <f>M1724-Table1[[#This Row],[Debits]]+Table1[[#This Row],[Income]]</f>
        <v>1900</v>
      </c>
      <c r="N1725" t="str">
        <f>IF(AND(Table1[[#This Row],[Category]]="pay",NOT(Table1[[#This Row],[Debits]]=0)),"bad","good")</f>
        <v>good</v>
      </c>
      <c r="O1725" s="5"/>
    </row>
    <row r="1726" spans="6:15" x14ac:dyDescent="0.3">
      <c r="F1726">
        <f>MONTH(Table1[[#This Row],[Date  (DMY)]])</f>
        <v>1</v>
      </c>
      <c r="G1726" s="2"/>
      <c r="L1726" s="5"/>
      <c r="M1726" s="4">
        <f>M1725-Table1[[#This Row],[Debits]]+Table1[[#This Row],[Income]]</f>
        <v>1900</v>
      </c>
      <c r="N1726" t="str">
        <f>IF(AND(Table1[[#This Row],[Category]]="pay",NOT(Table1[[#This Row],[Debits]]=0)),"bad","good")</f>
        <v>good</v>
      </c>
      <c r="O1726" s="5"/>
    </row>
    <row r="1727" spans="6:15" x14ac:dyDescent="0.3">
      <c r="F1727">
        <f>MONTH(Table1[[#This Row],[Date  (DMY)]])</f>
        <v>1</v>
      </c>
      <c r="G1727" s="2"/>
      <c r="L1727" s="5"/>
      <c r="M1727" s="4">
        <f>M1726-Table1[[#This Row],[Debits]]+Table1[[#This Row],[Income]]</f>
        <v>1900</v>
      </c>
      <c r="N1727" t="str">
        <f>IF(AND(Table1[[#This Row],[Category]]="pay",NOT(Table1[[#This Row],[Debits]]=0)),"bad","good")</f>
        <v>good</v>
      </c>
      <c r="O1727" s="5"/>
    </row>
    <row r="1728" spans="6:15" x14ac:dyDescent="0.3">
      <c r="F1728">
        <f>MONTH(Table1[[#This Row],[Date  (DMY)]])</f>
        <v>1</v>
      </c>
      <c r="G1728" s="2"/>
      <c r="L1728" s="5"/>
      <c r="M1728" s="4">
        <f>M1727-Table1[[#This Row],[Debits]]+Table1[[#This Row],[Income]]</f>
        <v>1900</v>
      </c>
      <c r="N1728" t="str">
        <f>IF(AND(Table1[[#This Row],[Category]]="pay",NOT(Table1[[#This Row],[Debits]]=0)),"bad","good")</f>
        <v>good</v>
      </c>
      <c r="O1728" s="5"/>
    </row>
    <row r="1729" spans="6:15" x14ac:dyDescent="0.3">
      <c r="F1729">
        <f>MONTH(Table1[[#This Row],[Date  (DMY)]])</f>
        <v>1</v>
      </c>
      <c r="G1729" s="2"/>
      <c r="L1729" s="5"/>
      <c r="M1729" s="4">
        <f>M1728-Table1[[#This Row],[Debits]]+Table1[[#This Row],[Income]]</f>
        <v>1900</v>
      </c>
      <c r="N1729" t="str">
        <f>IF(AND(Table1[[#This Row],[Category]]="pay",NOT(Table1[[#This Row],[Debits]]=0)),"bad","good")</f>
        <v>good</v>
      </c>
      <c r="O1729" s="5"/>
    </row>
    <row r="1730" spans="6:15" x14ac:dyDescent="0.3">
      <c r="F1730">
        <f>MONTH(Table1[[#This Row],[Date  (DMY)]])</f>
        <v>1</v>
      </c>
      <c r="G1730" s="2"/>
      <c r="L1730" s="5"/>
      <c r="M1730" s="4">
        <f>M1729-Table1[[#This Row],[Debits]]+Table1[[#This Row],[Income]]</f>
        <v>1900</v>
      </c>
      <c r="N1730" t="str">
        <f>IF(AND(Table1[[#This Row],[Category]]="pay",NOT(Table1[[#This Row],[Debits]]=0)),"bad","good")</f>
        <v>good</v>
      </c>
      <c r="O1730" s="5"/>
    </row>
    <row r="1731" spans="6:15" x14ac:dyDescent="0.3">
      <c r="F1731">
        <f>MONTH(Table1[[#This Row],[Date  (DMY)]])</f>
        <v>1</v>
      </c>
      <c r="G1731" s="2"/>
      <c r="L1731" s="5"/>
      <c r="M1731" s="4">
        <f>M1730-Table1[[#This Row],[Debits]]+Table1[[#This Row],[Income]]</f>
        <v>1900</v>
      </c>
      <c r="N1731" t="str">
        <f>IF(AND(Table1[[#This Row],[Category]]="pay",NOT(Table1[[#This Row],[Debits]]=0)),"bad","good")</f>
        <v>good</v>
      </c>
      <c r="O1731" s="5"/>
    </row>
    <row r="1732" spans="6:15" x14ac:dyDescent="0.3">
      <c r="F1732">
        <f>MONTH(Table1[[#This Row],[Date  (DMY)]])</f>
        <v>1</v>
      </c>
      <c r="G1732" s="2"/>
      <c r="L1732" s="5"/>
      <c r="M1732" s="4">
        <f>M1731-Table1[[#This Row],[Debits]]+Table1[[#This Row],[Income]]</f>
        <v>1900</v>
      </c>
      <c r="N1732" t="str">
        <f>IF(AND(Table1[[#This Row],[Category]]="pay",NOT(Table1[[#This Row],[Debits]]=0)),"bad","good")</f>
        <v>good</v>
      </c>
      <c r="O1732" s="5"/>
    </row>
    <row r="1733" spans="6:15" x14ac:dyDescent="0.3">
      <c r="F1733">
        <f>MONTH(Table1[[#This Row],[Date  (DMY)]])</f>
        <v>1</v>
      </c>
      <c r="G1733" s="2"/>
      <c r="L1733" s="5"/>
      <c r="M1733" s="4">
        <f>M1732-Table1[[#This Row],[Debits]]+Table1[[#This Row],[Income]]</f>
        <v>1900</v>
      </c>
      <c r="N1733" t="str">
        <f>IF(AND(Table1[[#This Row],[Category]]="pay",NOT(Table1[[#This Row],[Debits]]=0)),"bad","good")</f>
        <v>good</v>
      </c>
      <c r="O1733" s="5"/>
    </row>
    <row r="1734" spans="6:15" x14ac:dyDescent="0.3">
      <c r="F1734">
        <f>MONTH(Table1[[#This Row],[Date  (DMY)]])</f>
        <v>1</v>
      </c>
      <c r="G1734" s="2"/>
      <c r="L1734" s="5"/>
      <c r="M1734" s="4">
        <f>M1733-Table1[[#This Row],[Debits]]+Table1[[#This Row],[Income]]</f>
        <v>1900</v>
      </c>
      <c r="N1734" t="str">
        <f>IF(AND(Table1[[#This Row],[Category]]="pay",NOT(Table1[[#This Row],[Debits]]=0)),"bad","good")</f>
        <v>good</v>
      </c>
      <c r="O1734" s="5"/>
    </row>
    <row r="1735" spans="6:15" x14ac:dyDescent="0.3">
      <c r="F1735">
        <f>MONTH(Table1[[#This Row],[Date  (DMY)]])</f>
        <v>1</v>
      </c>
      <c r="G1735" s="2"/>
      <c r="L1735" s="5"/>
      <c r="M1735" s="4">
        <f>M1734-Table1[[#This Row],[Debits]]+Table1[[#This Row],[Income]]</f>
        <v>1900</v>
      </c>
      <c r="N1735" t="str">
        <f>IF(AND(Table1[[#This Row],[Category]]="pay",NOT(Table1[[#This Row],[Debits]]=0)),"bad","good")</f>
        <v>good</v>
      </c>
      <c r="O1735" s="5"/>
    </row>
    <row r="1736" spans="6:15" x14ac:dyDescent="0.3">
      <c r="F1736">
        <f>MONTH(Table1[[#This Row],[Date  (DMY)]])</f>
        <v>1</v>
      </c>
      <c r="G1736" s="2"/>
      <c r="L1736" s="5"/>
      <c r="M1736" s="4">
        <f>M1735-Table1[[#This Row],[Debits]]+Table1[[#This Row],[Income]]</f>
        <v>1900</v>
      </c>
      <c r="N1736" t="str">
        <f>IF(AND(Table1[[#This Row],[Category]]="pay",NOT(Table1[[#This Row],[Debits]]=0)),"bad","good")</f>
        <v>good</v>
      </c>
      <c r="O1736" s="5"/>
    </row>
    <row r="1737" spans="6:15" x14ac:dyDescent="0.3">
      <c r="F1737">
        <f>MONTH(Table1[[#This Row],[Date  (DMY)]])</f>
        <v>1</v>
      </c>
      <c r="G1737" s="2"/>
      <c r="L1737" s="5"/>
      <c r="M1737" s="4">
        <f>M1736-Table1[[#This Row],[Debits]]+Table1[[#This Row],[Income]]</f>
        <v>1900</v>
      </c>
      <c r="N1737" t="str">
        <f>IF(AND(Table1[[#This Row],[Category]]="pay",NOT(Table1[[#This Row],[Debits]]=0)),"bad","good")</f>
        <v>good</v>
      </c>
      <c r="O1737" s="5"/>
    </row>
    <row r="1738" spans="6:15" x14ac:dyDescent="0.3">
      <c r="F1738">
        <f>MONTH(Table1[[#This Row],[Date  (DMY)]])</f>
        <v>1</v>
      </c>
      <c r="G1738" s="2"/>
      <c r="L1738" s="5"/>
      <c r="M1738" s="4">
        <f>M1737-Table1[[#This Row],[Debits]]+Table1[[#This Row],[Income]]</f>
        <v>1900</v>
      </c>
      <c r="N1738" t="str">
        <f>IF(AND(Table1[[#This Row],[Category]]="pay",NOT(Table1[[#This Row],[Debits]]=0)),"bad","good")</f>
        <v>good</v>
      </c>
      <c r="O1738" s="5"/>
    </row>
    <row r="1739" spans="6:15" x14ac:dyDescent="0.3">
      <c r="F1739">
        <f>MONTH(Table1[[#This Row],[Date  (DMY)]])</f>
        <v>1</v>
      </c>
      <c r="G1739" s="2"/>
      <c r="L1739" s="5"/>
      <c r="M1739" s="4">
        <f>M1738-Table1[[#This Row],[Debits]]+Table1[[#This Row],[Income]]</f>
        <v>1900</v>
      </c>
      <c r="N1739" t="str">
        <f>IF(AND(Table1[[#This Row],[Category]]="pay",NOT(Table1[[#This Row],[Debits]]=0)),"bad","good")</f>
        <v>good</v>
      </c>
      <c r="O1739" s="5"/>
    </row>
    <row r="1740" spans="6:15" x14ac:dyDescent="0.3">
      <c r="F1740">
        <f>MONTH(Table1[[#This Row],[Date  (DMY)]])</f>
        <v>1</v>
      </c>
      <c r="G1740" s="2"/>
      <c r="L1740" s="5"/>
      <c r="M1740" s="4">
        <f>M1739-Table1[[#This Row],[Debits]]+Table1[[#This Row],[Income]]</f>
        <v>1900</v>
      </c>
      <c r="N1740" t="str">
        <f>IF(AND(Table1[[#This Row],[Category]]="pay",NOT(Table1[[#This Row],[Debits]]=0)),"bad","good")</f>
        <v>good</v>
      </c>
      <c r="O1740" s="5"/>
    </row>
    <row r="1741" spans="6:15" x14ac:dyDescent="0.3">
      <c r="F1741">
        <f>MONTH(Table1[[#This Row],[Date  (DMY)]])</f>
        <v>1</v>
      </c>
      <c r="G1741" s="2"/>
      <c r="L1741" s="5"/>
      <c r="M1741" s="4">
        <f>M1740-Table1[[#This Row],[Debits]]+Table1[[#This Row],[Income]]</f>
        <v>1900</v>
      </c>
      <c r="N1741" t="str">
        <f>IF(AND(Table1[[#This Row],[Category]]="pay",NOT(Table1[[#This Row],[Debits]]=0)),"bad","good")</f>
        <v>good</v>
      </c>
      <c r="O1741" s="5"/>
    </row>
    <row r="1742" spans="6:15" x14ac:dyDescent="0.3">
      <c r="F1742">
        <f>MONTH(Table1[[#This Row],[Date  (DMY)]])</f>
        <v>1</v>
      </c>
      <c r="G1742" s="2"/>
      <c r="L1742" s="5"/>
      <c r="M1742" s="4">
        <f>M1741-Table1[[#This Row],[Debits]]+Table1[[#This Row],[Income]]</f>
        <v>1900</v>
      </c>
      <c r="N1742" t="str">
        <f>IF(AND(Table1[[#This Row],[Category]]="pay",NOT(Table1[[#This Row],[Debits]]=0)),"bad","good")</f>
        <v>good</v>
      </c>
      <c r="O1742" s="5"/>
    </row>
    <row r="1743" spans="6:15" x14ac:dyDescent="0.3">
      <c r="F1743">
        <f>MONTH(Table1[[#This Row],[Date  (DMY)]])</f>
        <v>1</v>
      </c>
      <c r="G1743" s="2"/>
      <c r="L1743" s="5"/>
      <c r="M1743" s="4">
        <f>M1742-Table1[[#This Row],[Debits]]+Table1[[#This Row],[Income]]</f>
        <v>1900</v>
      </c>
      <c r="N1743" t="str">
        <f>IF(AND(Table1[[#This Row],[Category]]="pay",NOT(Table1[[#This Row],[Debits]]=0)),"bad","good")</f>
        <v>good</v>
      </c>
      <c r="O1743" s="5"/>
    </row>
    <row r="1744" spans="6:15" x14ac:dyDescent="0.3">
      <c r="F1744">
        <f>MONTH(Table1[[#This Row],[Date  (DMY)]])</f>
        <v>1</v>
      </c>
      <c r="G1744" s="2"/>
      <c r="L1744" s="5"/>
      <c r="M1744" s="4">
        <f>M1743-Table1[[#This Row],[Debits]]+Table1[[#This Row],[Income]]</f>
        <v>1900</v>
      </c>
      <c r="N1744" t="str">
        <f>IF(AND(Table1[[#This Row],[Category]]="pay",NOT(Table1[[#This Row],[Debits]]=0)),"bad","good")</f>
        <v>good</v>
      </c>
      <c r="O1744" s="5"/>
    </row>
    <row r="1745" spans="6:15" x14ac:dyDescent="0.3">
      <c r="F1745">
        <f>MONTH(Table1[[#This Row],[Date  (DMY)]])</f>
        <v>1</v>
      </c>
      <c r="G1745" s="2"/>
      <c r="L1745" s="5"/>
      <c r="M1745" s="4">
        <f>M1744-Table1[[#This Row],[Debits]]+Table1[[#This Row],[Income]]</f>
        <v>1900</v>
      </c>
      <c r="N1745" t="str">
        <f>IF(AND(Table1[[#This Row],[Category]]="pay",NOT(Table1[[#This Row],[Debits]]=0)),"bad","good")</f>
        <v>good</v>
      </c>
      <c r="O1745" s="5"/>
    </row>
    <row r="1746" spans="6:15" x14ac:dyDescent="0.3">
      <c r="F1746">
        <f>MONTH(Table1[[#This Row],[Date  (DMY)]])</f>
        <v>1</v>
      </c>
      <c r="G1746" s="2"/>
      <c r="L1746" s="5"/>
      <c r="M1746" s="4">
        <f>M1745-Table1[[#This Row],[Debits]]+Table1[[#This Row],[Income]]</f>
        <v>1900</v>
      </c>
      <c r="N1746" t="str">
        <f>IF(AND(Table1[[#This Row],[Category]]="pay",NOT(Table1[[#This Row],[Debits]]=0)),"bad","good")</f>
        <v>good</v>
      </c>
      <c r="O1746" s="5"/>
    </row>
    <row r="1747" spans="6:15" x14ac:dyDescent="0.3">
      <c r="F1747">
        <f>MONTH(Table1[[#This Row],[Date  (DMY)]])</f>
        <v>1</v>
      </c>
      <c r="G1747" s="2"/>
      <c r="L1747" s="5"/>
      <c r="M1747" s="4">
        <f>M1746-Table1[[#This Row],[Debits]]+Table1[[#This Row],[Income]]</f>
        <v>1900</v>
      </c>
      <c r="N1747" t="str">
        <f>IF(AND(Table1[[#This Row],[Category]]="pay",NOT(Table1[[#This Row],[Debits]]=0)),"bad","good")</f>
        <v>good</v>
      </c>
      <c r="O1747" s="5"/>
    </row>
    <row r="1748" spans="6:15" x14ac:dyDescent="0.3">
      <c r="F1748">
        <f>MONTH(Table1[[#This Row],[Date  (DMY)]])</f>
        <v>1</v>
      </c>
      <c r="G1748" s="2"/>
      <c r="L1748" s="5"/>
      <c r="M1748" s="4">
        <f>M1747-Table1[[#This Row],[Debits]]+Table1[[#This Row],[Income]]</f>
        <v>1900</v>
      </c>
      <c r="N1748" t="str">
        <f>IF(AND(Table1[[#This Row],[Category]]="pay",NOT(Table1[[#This Row],[Debits]]=0)),"bad","good")</f>
        <v>good</v>
      </c>
      <c r="O1748" s="5"/>
    </row>
    <row r="1749" spans="6:15" x14ac:dyDescent="0.3">
      <c r="F1749">
        <f>MONTH(Table1[[#This Row],[Date  (DMY)]])</f>
        <v>1</v>
      </c>
      <c r="G1749" s="2"/>
      <c r="L1749" s="5"/>
      <c r="M1749" s="4">
        <f>M1748-Table1[[#This Row],[Debits]]+Table1[[#This Row],[Income]]</f>
        <v>1900</v>
      </c>
      <c r="N1749" t="str">
        <f>IF(AND(Table1[[#This Row],[Category]]="pay",NOT(Table1[[#This Row],[Debits]]=0)),"bad","good")</f>
        <v>good</v>
      </c>
      <c r="O1749" s="5"/>
    </row>
    <row r="1750" spans="6:15" x14ac:dyDescent="0.3">
      <c r="F1750">
        <f>MONTH(Table1[[#This Row],[Date  (DMY)]])</f>
        <v>1</v>
      </c>
      <c r="G1750" s="2"/>
      <c r="L1750" s="5"/>
      <c r="M1750" s="4">
        <f>M1749-Table1[[#This Row],[Debits]]+Table1[[#This Row],[Income]]</f>
        <v>1900</v>
      </c>
      <c r="N1750" t="str">
        <f>IF(AND(Table1[[#This Row],[Category]]="pay",NOT(Table1[[#This Row],[Debits]]=0)),"bad","good")</f>
        <v>good</v>
      </c>
      <c r="O1750" s="5"/>
    </row>
    <row r="1751" spans="6:15" x14ac:dyDescent="0.3">
      <c r="F1751">
        <f>MONTH(Table1[[#This Row],[Date  (DMY)]])</f>
        <v>1</v>
      </c>
      <c r="G1751" s="2"/>
      <c r="L1751" s="5"/>
      <c r="M1751" s="4">
        <f>M1750-Table1[[#This Row],[Debits]]+Table1[[#This Row],[Income]]</f>
        <v>1900</v>
      </c>
      <c r="N1751" t="str">
        <f>IF(AND(Table1[[#This Row],[Category]]="pay",NOT(Table1[[#This Row],[Debits]]=0)),"bad","good")</f>
        <v>good</v>
      </c>
      <c r="O1751" s="5"/>
    </row>
    <row r="1752" spans="6:15" x14ac:dyDescent="0.3">
      <c r="F1752">
        <f>MONTH(Table1[[#This Row],[Date  (DMY)]])</f>
        <v>1</v>
      </c>
      <c r="G1752" s="2"/>
      <c r="L1752" s="5"/>
      <c r="M1752" s="4">
        <f>M1751-Table1[[#This Row],[Debits]]+Table1[[#This Row],[Income]]</f>
        <v>1900</v>
      </c>
      <c r="N1752" t="str">
        <f>IF(AND(Table1[[#This Row],[Category]]="pay",NOT(Table1[[#This Row],[Debits]]=0)),"bad","good")</f>
        <v>good</v>
      </c>
      <c r="O1752" s="5"/>
    </row>
    <row r="1753" spans="6:15" x14ac:dyDescent="0.3">
      <c r="F1753">
        <f>MONTH(Table1[[#This Row],[Date  (DMY)]])</f>
        <v>1</v>
      </c>
      <c r="G1753" s="2"/>
      <c r="L1753" s="5"/>
      <c r="M1753" s="4">
        <f>M1752-Table1[[#This Row],[Debits]]+Table1[[#This Row],[Income]]</f>
        <v>1900</v>
      </c>
      <c r="N1753" t="str">
        <f>IF(AND(Table1[[#This Row],[Category]]="pay",NOT(Table1[[#This Row],[Debits]]=0)),"bad","good")</f>
        <v>good</v>
      </c>
      <c r="O1753" s="5"/>
    </row>
    <row r="1754" spans="6:15" x14ac:dyDescent="0.3">
      <c r="F1754">
        <f>MONTH(Table1[[#This Row],[Date  (DMY)]])</f>
        <v>1</v>
      </c>
      <c r="G1754" s="2"/>
      <c r="L1754" s="5"/>
      <c r="M1754" s="4">
        <f>M1753-Table1[[#This Row],[Debits]]+Table1[[#This Row],[Income]]</f>
        <v>1900</v>
      </c>
      <c r="N1754" t="str">
        <f>IF(AND(Table1[[#This Row],[Category]]="pay",NOT(Table1[[#This Row],[Debits]]=0)),"bad","good")</f>
        <v>good</v>
      </c>
      <c r="O1754" s="5"/>
    </row>
    <row r="1755" spans="6:15" x14ac:dyDescent="0.3">
      <c r="F1755">
        <f>MONTH(Table1[[#This Row],[Date  (DMY)]])</f>
        <v>1</v>
      </c>
      <c r="G1755" s="2"/>
      <c r="L1755" s="5"/>
      <c r="M1755" s="4">
        <f>M1754-Table1[[#This Row],[Debits]]+Table1[[#This Row],[Income]]</f>
        <v>1900</v>
      </c>
      <c r="N1755" t="str">
        <f>IF(AND(Table1[[#This Row],[Category]]="pay",NOT(Table1[[#This Row],[Debits]]=0)),"bad","good")</f>
        <v>good</v>
      </c>
      <c r="O1755" s="5"/>
    </row>
    <row r="1756" spans="6:15" x14ac:dyDescent="0.3">
      <c r="F1756">
        <f>MONTH(Table1[[#This Row],[Date  (DMY)]])</f>
        <v>1</v>
      </c>
      <c r="G1756" s="2"/>
      <c r="L1756" s="5"/>
      <c r="M1756" s="4">
        <f>M1755-Table1[[#This Row],[Debits]]+Table1[[#This Row],[Income]]</f>
        <v>1900</v>
      </c>
      <c r="N1756" t="str">
        <f>IF(AND(Table1[[#This Row],[Category]]="pay",NOT(Table1[[#This Row],[Debits]]=0)),"bad","good")</f>
        <v>good</v>
      </c>
      <c r="O1756" s="5"/>
    </row>
    <row r="1757" spans="6:15" x14ac:dyDescent="0.3">
      <c r="F1757">
        <f>MONTH(Table1[[#This Row],[Date  (DMY)]])</f>
        <v>1</v>
      </c>
      <c r="G1757" s="2"/>
      <c r="L1757" s="5"/>
      <c r="M1757" s="4">
        <f>M1756-Table1[[#This Row],[Debits]]+Table1[[#This Row],[Income]]</f>
        <v>1900</v>
      </c>
      <c r="N1757" t="str">
        <f>IF(AND(Table1[[#This Row],[Category]]="pay",NOT(Table1[[#This Row],[Debits]]=0)),"bad","good")</f>
        <v>good</v>
      </c>
      <c r="O1757" s="5"/>
    </row>
    <row r="1758" spans="6:15" x14ac:dyDescent="0.3">
      <c r="F1758">
        <f>MONTH(Table1[[#This Row],[Date  (DMY)]])</f>
        <v>1</v>
      </c>
      <c r="G1758" s="2"/>
      <c r="L1758" s="5"/>
      <c r="M1758" s="4">
        <f>M1757-Table1[[#This Row],[Debits]]+Table1[[#This Row],[Income]]</f>
        <v>1900</v>
      </c>
      <c r="N1758" t="str">
        <f>IF(AND(Table1[[#This Row],[Category]]="pay",NOT(Table1[[#This Row],[Debits]]=0)),"bad","good")</f>
        <v>good</v>
      </c>
      <c r="O1758" s="5"/>
    </row>
    <row r="1759" spans="6:15" x14ac:dyDescent="0.3">
      <c r="F1759">
        <f>MONTH(Table1[[#This Row],[Date  (DMY)]])</f>
        <v>1</v>
      </c>
      <c r="G1759" s="2"/>
      <c r="L1759" s="5"/>
      <c r="M1759" s="4">
        <f>M1758-Table1[[#This Row],[Debits]]+Table1[[#This Row],[Income]]</f>
        <v>1900</v>
      </c>
      <c r="N1759" t="str">
        <f>IF(AND(Table1[[#This Row],[Category]]="pay",NOT(Table1[[#This Row],[Debits]]=0)),"bad","good")</f>
        <v>good</v>
      </c>
      <c r="O1759" s="5"/>
    </row>
    <row r="1760" spans="6:15" x14ac:dyDescent="0.3">
      <c r="F1760">
        <f>MONTH(Table1[[#This Row],[Date  (DMY)]])</f>
        <v>1</v>
      </c>
      <c r="G1760" s="2"/>
      <c r="L1760" s="5"/>
      <c r="M1760" s="4">
        <f>M1759-Table1[[#This Row],[Debits]]+Table1[[#This Row],[Income]]</f>
        <v>1900</v>
      </c>
      <c r="N1760" t="str">
        <f>IF(AND(Table1[[#This Row],[Category]]="pay",NOT(Table1[[#This Row],[Debits]]=0)),"bad","good")</f>
        <v>good</v>
      </c>
      <c r="O1760" s="5"/>
    </row>
    <row r="1761" spans="6:15" x14ac:dyDescent="0.3">
      <c r="F1761">
        <f>MONTH(Table1[[#This Row],[Date  (DMY)]])</f>
        <v>1</v>
      </c>
      <c r="G1761" s="2"/>
      <c r="L1761" s="5"/>
      <c r="M1761" s="4">
        <f>M1760-Table1[[#This Row],[Debits]]+Table1[[#This Row],[Income]]</f>
        <v>1900</v>
      </c>
      <c r="N1761" t="str">
        <f>IF(AND(Table1[[#This Row],[Category]]="pay",NOT(Table1[[#This Row],[Debits]]=0)),"bad","good")</f>
        <v>good</v>
      </c>
      <c r="O1761" s="5"/>
    </row>
    <row r="1762" spans="6:15" x14ac:dyDescent="0.3">
      <c r="F1762">
        <f>MONTH(Table1[[#This Row],[Date  (DMY)]])</f>
        <v>1</v>
      </c>
      <c r="G1762" s="2"/>
      <c r="L1762" s="5"/>
      <c r="M1762" s="4">
        <f>M1761-Table1[[#This Row],[Debits]]+Table1[[#This Row],[Income]]</f>
        <v>1900</v>
      </c>
      <c r="N1762" t="str">
        <f>IF(AND(Table1[[#This Row],[Category]]="pay",NOT(Table1[[#This Row],[Debits]]=0)),"bad","good")</f>
        <v>good</v>
      </c>
      <c r="O1762" s="5"/>
    </row>
    <row r="1763" spans="6:15" x14ac:dyDescent="0.3">
      <c r="F1763">
        <f>MONTH(Table1[[#This Row],[Date  (DMY)]])</f>
        <v>1</v>
      </c>
      <c r="G1763" s="2"/>
      <c r="L1763" s="5"/>
      <c r="M1763" s="4">
        <f>M1762-Table1[[#This Row],[Debits]]+Table1[[#This Row],[Income]]</f>
        <v>1900</v>
      </c>
      <c r="N1763" t="str">
        <f>IF(AND(Table1[[#This Row],[Category]]="pay",NOT(Table1[[#This Row],[Debits]]=0)),"bad","good")</f>
        <v>good</v>
      </c>
      <c r="O1763" s="5"/>
    </row>
    <row r="1764" spans="6:15" x14ac:dyDescent="0.3">
      <c r="F1764">
        <f>MONTH(Table1[[#This Row],[Date  (DMY)]])</f>
        <v>1</v>
      </c>
      <c r="G1764" s="2"/>
      <c r="L1764" s="5"/>
      <c r="M1764" s="4">
        <f>M1763-Table1[[#This Row],[Debits]]+Table1[[#This Row],[Income]]</f>
        <v>1900</v>
      </c>
      <c r="N1764" t="str">
        <f>IF(AND(Table1[[#This Row],[Category]]="pay",NOT(Table1[[#This Row],[Debits]]=0)),"bad","good")</f>
        <v>good</v>
      </c>
      <c r="O1764" s="5"/>
    </row>
    <row r="1765" spans="6:15" x14ac:dyDescent="0.3">
      <c r="F1765">
        <f>MONTH(Table1[[#This Row],[Date  (DMY)]])</f>
        <v>1</v>
      </c>
      <c r="G1765" s="2"/>
      <c r="L1765" s="5"/>
      <c r="M1765" s="4">
        <f>M1764-Table1[[#This Row],[Debits]]+Table1[[#This Row],[Income]]</f>
        <v>1900</v>
      </c>
      <c r="N1765" t="str">
        <f>IF(AND(Table1[[#This Row],[Category]]="pay",NOT(Table1[[#This Row],[Debits]]=0)),"bad","good")</f>
        <v>good</v>
      </c>
      <c r="O1765" s="5"/>
    </row>
    <row r="1766" spans="6:15" x14ac:dyDescent="0.3">
      <c r="F1766">
        <f>MONTH(Table1[[#This Row],[Date  (DMY)]])</f>
        <v>1</v>
      </c>
      <c r="G1766" s="2"/>
      <c r="L1766" s="5"/>
      <c r="M1766" s="4">
        <f>M1765-Table1[[#This Row],[Debits]]+Table1[[#This Row],[Income]]</f>
        <v>1900</v>
      </c>
      <c r="N1766" t="str">
        <f>IF(AND(Table1[[#This Row],[Category]]="pay",NOT(Table1[[#This Row],[Debits]]=0)),"bad","good")</f>
        <v>good</v>
      </c>
      <c r="O1766" s="5"/>
    </row>
    <row r="1767" spans="6:15" x14ac:dyDescent="0.3">
      <c r="F1767">
        <f>MONTH(Table1[[#This Row],[Date  (DMY)]])</f>
        <v>1</v>
      </c>
      <c r="G1767" s="2"/>
      <c r="L1767" s="5"/>
      <c r="M1767" s="4">
        <f>M1766-Table1[[#This Row],[Debits]]+Table1[[#This Row],[Income]]</f>
        <v>1900</v>
      </c>
      <c r="N1767" t="str">
        <f>IF(AND(Table1[[#This Row],[Category]]="pay",NOT(Table1[[#This Row],[Debits]]=0)),"bad","good")</f>
        <v>good</v>
      </c>
      <c r="O1767" s="5"/>
    </row>
    <row r="1768" spans="6:15" x14ac:dyDescent="0.3">
      <c r="F1768">
        <f>MONTH(Table1[[#This Row],[Date  (DMY)]])</f>
        <v>1</v>
      </c>
      <c r="G1768" s="2"/>
      <c r="L1768" s="5"/>
      <c r="M1768" s="4">
        <f>M1767-Table1[[#This Row],[Debits]]+Table1[[#This Row],[Income]]</f>
        <v>1900</v>
      </c>
      <c r="N1768" t="str">
        <f>IF(AND(Table1[[#This Row],[Category]]="pay",NOT(Table1[[#This Row],[Debits]]=0)),"bad","good")</f>
        <v>good</v>
      </c>
      <c r="O1768" s="5"/>
    </row>
    <row r="1769" spans="6:15" x14ac:dyDescent="0.3">
      <c r="F1769">
        <f>MONTH(Table1[[#This Row],[Date  (DMY)]])</f>
        <v>1</v>
      </c>
      <c r="G1769" s="2"/>
      <c r="L1769" s="5"/>
      <c r="M1769" s="4">
        <f>M1768-Table1[[#This Row],[Debits]]+Table1[[#This Row],[Income]]</f>
        <v>1900</v>
      </c>
      <c r="N1769" t="str">
        <f>IF(AND(Table1[[#This Row],[Category]]="pay",NOT(Table1[[#This Row],[Debits]]=0)),"bad","good")</f>
        <v>good</v>
      </c>
      <c r="O1769" s="5"/>
    </row>
    <row r="1770" spans="6:15" x14ac:dyDescent="0.3">
      <c r="F1770">
        <f>MONTH(Table1[[#This Row],[Date  (DMY)]])</f>
        <v>1</v>
      </c>
      <c r="G1770" s="2"/>
      <c r="L1770" s="5"/>
      <c r="M1770" s="4">
        <f>M1769-Table1[[#This Row],[Debits]]+Table1[[#This Row],[Income]]</f>
        <v>1900</v>
      </c>
      <c r="N1770" t="str">
        <f>IF(AND(Table1[[#This Row],[Category]]="pay",NOT(Table1[[#This Row],[Debits]]=0)),"bad","good")</f>
        <v>good</v>
      </c>
      <c r="O1770" s="5"/>
    </row>
    <row r="1771" spans="6:15" x14ac:dyDescent="0.3">
      <c r="F1771">
        <f>MONTH(Table1[[#This Row],[Date  (DMY)]])</f>
        <v>1</v>
      </c>
      <c r="G1771" s="2"/>
      <c r="L1771" s="5"/>
      <c r="M1771" s="4">
        <f>M1770-Table1[[#This Row],[Debits]]+Table1[[#This Row],[Income]]</f>
        <v>1900</v>
      </c>
      <c r="N1771" t="str">
        <f>IF(AND(Table1[[#This Row],[Category]]="pay",NOT(Table1[[#This Row],[Debits]]=0)),"bad","good")</f>
        <v>good</v>
      </c>
      <c r="O1771" s="5"/>
    </row>
    <row r="1772" spans="6:15" x14ac:dyDescent="0.3">
      <c r="F1772">
        <f>MONTH(Table1[[#This Row],[Date  (DMY)]])</f>
        <v>1</v>
      </c>
      <c r="G1772" s="2"/>
      <c r="L1772" s="5"/>
      <c r="M1772" s="4">
        <f>M1771-Table1[[#This Row],[Debits]]+Table1[[#This Row],[Income]]</f>
        <v>1900</v>
      </c>
      <c r="N1772" t="str">
        <f>IF(AND(Table1[[#This Row],[Category]]="pay",NOT(Table1[[#This Row],[Debits]]=0)),"bad","good")</f>
        <v>good</v>
      </c>
      <c r="O1772" s="5"/>
    </row>
    <row r="1773" spans="6:15" x14ac:dyDescent="0.3">
      <c r="F1773">
        <f>MONTH(Table1[[#This Row],[Date  (DMY)]])</f>
        <v>1</v>
      </c>
      <c r="G1773" s="2"/>
      <c r="L1773" s="5"/>
      <c r="M1773" s="4">
        <f>M1772-Table1[[#This Row],[Debits]]+Table1[[#This Row],[Income]]</f>
        <v>1900</v>
      </c>
      <c r="N1773" t="str">
        <f>IF(AND(Table1[[#This Row],[Category]]="pay",NOT(Table1[[#This Row],[Debits]]=0)),"bad","good")</f>
        <v>good</v>
      </c>
      <c r="O1773" s="5"/>
    </row>
    <row r="1774" spans="6:15" x14ac:dyDescent="0.3">
      <c r="F1774">
        <f>MONTH(Table1[[#This Row],[Date  (DMY)]])</f>
        <v>1</v>
      </c>
      <c r="G1774" s="2"/>
      <c r="L1774" s="5"/>
      <c r="M1774" s="4">
        <f>M1773-Table1[[#This Row],[Debits]]+Table1[[#This Row],[Income]]</f>
        <v>1900</v>
      </c>
      <c r="N1774" t="str">
        <f>IF(AND(Table1[[#This Row],[Category]]="pay",NOT(Table1[[#This Row],[Debits]]=0)),"bad","good")</f>
        <v>good</v>
      </c>
      <c r="O1774" s="5"/>
    </row>
    <row r="1775" spans="6:15" x14ac:dyDescent="0.3">
      <c r="F1775">
        <f>MONTH(Table1[[#This Row],[Date  (DMY)]])</f>
        <v>1</v>
      </c>
      <c r="G1775" s="2"/>
      <c r="L1775" s="5"/>
      <c r="M1775" s="4">
        <f>M1774-Table1[[#This Row],[Debits]]+Table1[[#This Row],[Income]]</f>
        <v>1900</v>
      </c>
      <c r="N1775" t="str">
        <f>IF(AND(Table1[[#This Row],[Category]]="pay",NOT(Table1[[#This Row],[Debits]]=0)),"bad","good")</f>
        <v>good</v>
      </c>
      <c r="O1775" s="5"/>
    </row>
    <row r="1776" spans="6:15" x14ac:dyDescent="0.3">
      <c r="F1776">
        <f>MONTH(Table1[[#This Row],[Date  (DMY)]])</f>
        <v>1</v>
      </c>
      <c r="G1776" s="2"/>
      <c r="L1776" s="5"/>
      <c r="M1776" s="4">
        <f>M1775-Table1[[#This Row],[Debits]]+Table1[[#This Row],[Income]]</f>
        <v>1900</v>
      </c>
      <c r="N1776" t="str">
        <f>IF(AND(Table1[[#This Row],[Category]]="pay",NOT(Table1[[#This Row],[Debits]]=0)),"bad","good")</f>
        <v>good</v>
      </c>
      <c r="O1776" s="5"/>
    </row>
    <row r="1777" spans="6:15" x14ac:dyDescent="0.3">
      <c r="F1777">
        <f>MONTH(Table1[[#This Row],[Date  (DMY)]])</f>
        <v>1</v>
      </c>
      <c r="G1777" s="2"/>
      <c r="L1777" s="5"/>
      <c r="M1777" s="4">
        <f>M1776-Table1[[#This Row],[Debits]]+Table1[[#This Row],[Income]]</f>
        <v>1900</v>
      </c>
      <c r="N1777" t="str">
        <f>IF(AND(Table1[[#This Row],[Category]]="pay",NOT(Table1[[#This Row],[Debits]]=0)),"bad","good")</f>
        <v>good</v>
      </c>
      <c r="O1777" s="5"/>
    </row>
    <row r="1778" spans="6:15" x14ac:dyDescent="0.3">
      <c r="F1778">
        <f>MONTH(Table1[[#This Row],[Date  (DMY)]])</f>
        <v>1</v>
      </c>
      <c r="G1778" s="2"/>
      <c r="L1778" s="5"/>
      <c r="M1778" s="4">
        <f>M1777-Table1[[#This Row],[Debits]]+Table1[[#This Row],[Income]]</f>
        <v>1900</v>
      </c>
      <c r="N1778" t="str">
        <f>IF(AND(Table1[[#This Row],[Category]]="pay",NOT(Table1[[#This Row],[Debits]]=0)),"bad","good")</f>
        <v>good</v>
      </c>
      <c r="O1778" s="5"/>
    </row>
    <row r="1779" spans="6:15" x14ac:dyDescent="0.3">
      <c r="F1779">
        <f>MONTH(Table1[[#This Row],[Date  (DMY)]])</f>
        <v>1</v>
      </c>
      <c r="G1779" s="2"/>
      <c r="L1779" s="5"/>
      <c r="M1779" s="4">
        <f>M1778-Table1[[#This Row],[Debits]]+Table1[[#This Row],[Income]]</f>
        <v>1900</v>
      </c>
      <c r="N1779" t="str">
        <f>IF(AND(Table1[[#This Row],[Category]]="pay",NOT(Table1[[#This Row],[Debits]]=0)),"bad","good")</f>
        <v>good</v>
      </c>
      <c r="O1779" s="5"/>
    </row>
    <row r="1780" spans="6:15" x14ac:dyDescent="0.3">
      <c r="F1780">
        <f>MONTH(Table1[[#This Row],[Date  (DMY)]])</f>
        <v>1</v>
      </c>
      <c r="G1780" s="2"/>
      <c r="L1780" s="5"/>
      <c r="M1780" s="4">
        <f>M1779-Table1[[#This Row],[Debits]]+Table1[[#This Row],[Income]]</f>
        <v>1900</v>
      </c>
      <c r="N1780" t="str">
        <f>IF(AND(Table1[[#This Row],[Category]]="pay",NOT(Table1[[#This Row],[Debits]]=0)),"bad","good")</f>
        <v>good</v>
      </c>
      <c r="O1780" s="5"/>
    </row>
    <row r="1781" spans="6:15" x14ac:dyDescent="0.3">
      <c r="F1781">
        <f>MONTH(Table1[[#This Row],[Date  (DMY)]])</f>
        <v>1</v>
      </c>
      <c r="G1781" s="2"/>
      <c r="L1781" s="5"/>
      <c r="M1781" s="4">
        <f>M1780-Table1[[#This Row],[Debits]]+Table1[[#This Row],[Income]]</f>
        <v>1900</v>
      </c>
      <c r="N1781" t="str">
        <f>IF(AND(Table1[[#This Row],[Category]]="pay",NOT(Table1[[#This Row],[Debits]]=0)),"bad","good")</f>
        <v>good</v>
      </c>
      <c r="O1781" s="5"/>
    </row>
    <row r="1782" spans="6:15" x14ac:dyDescent="0.3">
      <c r="F1782">
        <f>MONTH(Table1[[#This Row],[Date  (DMY)]])</f>
        <v>1</v>
      </c>
      <c r="G1782" s="2"/>
      <c r="L1782" s="5"/>
      <c r="M1782" s="4">
        <f>M1781-Table1[[#This Row],[Debits]]+Table1[[#This Row],[Income]]</f>
        <v>1900</v>
      </c>
      <c r="N1782" t="str">
        <f>IF(AND(Table1[[#This Row],[Category]]="pay",NOT(Table1[[#This Row],[Debits]]=0)),"bad","good")</f>
        <v>good</v>
      </c>
      <c r="O1782" s="5"/>
    </row>
    <row r="1783" spans="6:15" x14ac:dyDescent="0.3">
      <c r="F1783">
        <f>MONTH(Table1[[#This Row],[Date  (DMY)]])</f>
        <v>1</v>
      </c>
      <c r="G1783" s="2"/>
      <c r="L1783" s="5"/>
      <c r="M1783" s="4">
        <f>M1782-Table1[[#This Row],[Debits]]+Table1[[#This Row],[Income]]</f>
        <v>1900</v>
      </c>
      <c r="N1783" t="str">
        <f>IF(AND(Table1[[#This Row],[Category]]="pay",NOT(Table1[[#This Row],[Debits]]=0)),"bad","good")</f>
        <v>good</v>
      </c>
      <c r="O1783" s="5"/>
    </row>
    <row r="1784" spans="6:15" x14ac:dyDescent="0.3">
      <c r="F1784">
        <f>MONTH(Table1[[#This Row],[Date  (DMY)]])</f>
        <v>1</v>
      </c>
      <c r="G1784" s="2"/>
      <c r="L1784" s="5"/>
      <c r="M1784" s="4">
        <f>M1783-Table1[[#This Row],[Debits]]+Table1[[#This Row],[Income]]</f>
        <v>1900</v>
      </c>
      <c r="N1784" t="str">
        <f>IF(AND(Table1[[#This Row],[Category]]="pay",NOT(Table1[[#This Row],[Debits]]=0)),"bad","good")</f>
        <v>good</v>
      </c>
      <c r="O1784" s="5"/>
    </row>
    <row r="1785" spans="6:15" x14ac:dyDescent="0.3">
      <c r="F1785">
        <f>MONTH(Table1[[#This Row],[Date  (DMY)]])</f>
        <v>1</v>
      </c>
      <c r="G1785" s="2"/>
      <c r="L1785" s="5"/>
      <c r="M1785" s="4">
        <f>M1784-Table1[[#This Row],[Debits]]+Table1[[#This Row],[Income]]</f>
        <v>1900</v>
      </c>
      <c r="N1785" t="str">
        <f>IF(AND(Table1[[#This Row],[Category]]="pay",NOT(Table1[[#This Row],[Debits]]=0)),"bad","good")</f>
        <v>good</v>
      </c>
      <c r="O1785" s="5"/>
    </row>
    <row r="1786" spans="6:15" x14ac:dyDescent="0.3">
      <c r="F1786">
        <f>MONTH(Table1[[#This Row],[Date  (DMY)]])</f>
        <v>1</v>
      </c>
      <c r="G1786" s="2"/>
      <c r="L1786" s="5"/>
      <c r="M1786" s="4">
        <f>M1785-Table1[[#This Row],[Debits]]+Table1[[#This Row],[Income]]</f>
        <v>1900</v>
      </c>
      <c r="N1786" t="str">
        <f>IF(AND(Table1[[#This Row],[Category]]="pay",NOT(Table1[[#This Row],[Debits]]=0)),"bad","good")</f>
        <v>good</v>
      </c>
      <c r="O1786" s="5"/>
    </row>
    <row r="1787" spans="6:15" x14ac:dyDescent="0.3">
      <c r="F1787">
        <f>MONTH(Table1[[#This Row],[Date  (DMY)]])</f>
        <v>1</v>
      </c>
      <c r="G1787" s="2"/>
      <c r="L1787" s="5"/>
      <c r="M1787" s="4">
        <f>M1786-Table1[[#This Row],[Debits]]+Table1[[#This Row],[Income]]</f>
        <v>1900</v>
      </c>
      <c r="N1787" t="str">
        <f>IF(AND(Table1[[#This Row],[Category]]="pay",NOT(Table1[[#This Row],[Debits]]=0)),"bad","good")</f>
        <v>good</v>
      </c>
      <c r="O1787" s="5"/>
    </row>
    <row r="1788" spans="6:15" x14ac:dyDescent="0.3">
      <c r="F1788">
        <f>MONTH(Table1[[#This Row],[Date  (DMY)]])</f>
        <v>1</v>
      </c>
      <c r="G1788" s="2"/>
      <c r="L1788" s="5"/>
      <c r="M1788" s="4">
        <f>M1787-Table1[[#This Row],[Debits]]+Table1[[#This Row],[Income]]</f>
        <v>1900</v>
      </c>
      <c r="N1788" t="str">
        <f>IF(AND(Table1[[#This Row],[Category]]="pay",NOT(Table1[[#This Row],[Debits]]=0)),"bad","good")</f>
        <v>good</v>
      </c>
      <c r="O1788" s="5"/>
    </row>
    <row r="1789" spans="6:15" x14ac:dyDescent="0.3">
      <c r="F1789">
        <f>MONTH(Table1[[#This Row],[Date  (DMY)]])</f>
        <v>1</v>
      </c>
      <c r="G1789" s="2"/>
      <c r="L1789" s="5"/>
      <c r="M1789" s="4">
        <f>M1788-Table1[[#This Row],[Debits]]+Table1[[#This Row],[Income]]</f>
        <v>1900</v>
      </c>
      <c r="N1789" t="str">
        <f>IF(AND(Table1[[#This Row],[Category]]="pay",NOT(Table1[[#This Row],[Debits]]=0)),"bad","good")</f>
        <v>good</v>
      </c>
      <c r="O1789" s="5"/>
    </row>
    <row r="1790" spans="6:15" x14ac:dyDescent="0.3">
      <c r="F1790">
        <f>MONTH(Table1[[#This Row],[Date  (DMY)]])</f>
        <v>1</v>
      </c>
      <c r="G1790" s="2"/>
      <c r="L1790" s="5"/>
      <c r="M1790" s="4">
        <f>M1789-Table1[[#This Row],[Debits]]+Table1[[#This Row],[Income]]</f>
        <v>1900</v>
      </c>
      <c r="N1790" t="str">
        <f>IF(AND(Table1[[#This Row],[Category]]="pay",NOT(Table1[[#This Row],[Debits]]=0)),"bad","good")</f>
        <v>good</v>
      </c>
      <c r="O1790" s="5"/>
    </row>
    <row r="1791" spans="6:15" x14ac:dyDescent="0.3">
      <c r="F1791">
        <f>MONTH(Table1[[#This Row],[Date  (DMY)]])</f>
        <v>1</v>
      </c>
      <c r="G1791" s="2"/>
      <c r="L1791" s="5"/>
      <c r="M1791" s="4">
        <f>M1790-Table1[[#This Row],[Debits]]+Table1[[#This Row],[Income]]</f>
        <v>1900</v>
      </c>
      <c r="N1791" t="str">
        <f>IF(AND(Table1[[#This Row],[Category]]="pay",NOT(Table1[[#This Row],[Debits]]=0)),"bad","good")</f>
        <v>good</v>
      </c>
      <c r="O1791" s="5"/>
    </row>
    <row r="1792" spans="6:15" x14ac:dyDescent="0.3">
      <c r="F1792">
        <f>MONTH(Table1[[#This Row],[Date  (DMY)]])</f>
        <v>1</v>
      </c>
      <c r="G1792" s="2"/>
      <c r="L1792" s="5"/>
      <c r="M1792" s="4">
        <f>M1791-Table1[[#This Row],[Debits]]+Table1[[#This Row],[Income]]</f>
        <v>1900</v>
      </c>
      <c r="N1792" t="str">
        <f>IF(AND(Table1[[#This Row],[Category]]="pay",NOT(Table1[[#This Row],[Debits]]=0)),"bad","good")</f>
        <v>good</v>
      </c>
      <c r="O1792" s="5"/>
    </row>
    <row r="1793" spans="6:15" x14ac:dyDescent="0.3">
      <c r="F1793">
        <f>MONTH(Table1[[#This Row],[Date  (DMY)]])</f>
        <v>1</v>
      </c>
      <c r="G1793" s="2"/>
      <c r="L1793" s="5"/>
      <c r="M1793" s="4">
        <f>M1792-Table1[[#This Row],[Debits]]+Table1[[#This Row],[Income]]</f>
        <v>1900</v>
      </c>
      <c r="N1793" t="str">
        <f>IF(AND(Table1[[#This Row],[Category]]="pay",NOT(Table1[[#This Row],[Debits]]=0)),"bad","good")</f>
        <v>good</v>
      </c>
      <c r="O1793" s="5"/>
    </row>
    <row r="1794" spans="6:15" x14ac:dyDescent="0.3">
      <c r="F1794">
        <f>MONTH(Table1[[#This Row],[Date  (DMY)]])</f>
        <v>1</v>
      </c>
      <c r="G1794" s="2"/>
      <c r="L1794" s="5"/>
      <c r="M1794" s="4">
        <f>M1793-Table1[[#This Row],[Debits]]+Table1[[#This Row],[Income]]</f>
        <v>1900</v>
      </c>
      <c r="N1794" t="str">
        <f>IF(AND(Table1[[#This Row],[Category]]="pay",NOT(Table1[[#This Row],[Debits]]=0)),"bad","good")</f>
        <v>good</v>
      </c>
      <c r="O1794" s="5"/>
    </row>
    <row r="1795" spans="6:15" x14ac:dyDescent="0.3">
      <c r="F1795">
        <f>MONTH(Table1[[#This Row],[Date  (DMY)]])</f>
        <v>1</v>
      </c>
      <c r="G1795" s="2"/>
      <c r="L1795" s="5"/>
      <c r="M1795" s="4">
        <f>M1794-Table1[[#This Row],[Debits]]+Table1[[#This Row],[Income]]</f>
        <v>1900</v>
      </c>
      <c r="N1795" t="str">
        <f>IF(AND(Table1[[#This Row],[Category]]="pay",NOT(Table1[[#This Row],[Debits]]=0)),"bad","good")</f>
        <v>good</v>
      </c>
      <c r="O1795" s="5"/>
    </row>
    <row r="1796" spans="6:15" x14ac:dyDescent="0.3">
      <c r="F1796">
        <f>MONTH(Table1[[#This Row],[Date  (DMY)]])</f>
        <v>1</v>
      </c>
      <c r="G1796" s="2"/>
      <c r="L1796" s="5"/>
      <c r="M1796" s="4">
        <f>M1795-Table1[[#This Row],[Debits]]+Table1[[#This Row],[Income]]</f>
        <v>1900</v>
      </c>
      <c r="N1796" t="str">
        <f>IF(AND(Table1[[#This Row],[Category]]="pay",NOT(Table1[[#This Row],[Debits]]=0)),"bad","good")</f>
        <v>good</v>
      </c>
      <c r="O1796" s="5"/>
    </row>
    <row r="1797" spans="6:15" x14ac:dyDescent="0.3">
      <c r="F1797">
        <f>MONTH(Table1[[#This Row],[Date  (DMY)]])</f>
        <v>1</v>
      </c>
      <c r="G1797" s="2"/>
      <c r="L1797" s="5"/>
      <c r="M1797" s="4">
        <f>M1796-Table1[[#This Row],[Debits]]+Table1[[#This Row],[Income]]</f>
        <v>1900</v>
      </c>
      <c r="N1797" t="str">
        <f>IF(AND(Table1[[#This Row],[Category]]="pay",NOT(Table1[[#This Row],[Debits]]=0)),"bad","good")</f>
        <v>good</v>
      </c>
      <c r="O1797" s="5"/>
    </row>
    <row r="1798" spans="6:15" x14ac:dyDescent="0.3">
      <c r="F1798">
        <f>MONTH(Table1[[#This Row],[Date  (DMY)]])</f>
        <v>1</v>
      </c>
      <c r="G1798" s="2"/>
      <c r="L1798" s="5"/>
      <c r="M1798" s="4">
        <f>M1797-Table1[[#This Row],[Debits]]+Table1[[#This Row],[Income]]</f>
        <v>1900</v>
      </c>
      <c r="N1798" t="str">
        <f>IF(AND(Table1[[#This Row],[Category]]="pay",NOT(Table1[[#This Row],[Debits]]=0)),"bad","good")</f>
        <v>good</v>
      </c>
      <c r="O1798" s="5"/>
    </row>
    <row r="1799" spans="6:15" x14ac:dyDescent="0.3">
      <c r="F1799">
        <f>MONTH(Table1[[#This Row],[Date  (DMY)]])</f>
        <v>1</v>
      </c>
      <c r="G1799" s="2"/>
      <c r="L1799" s="5"/>
      <c r="M1799" s="4">
        <f>M1798-Table1[[#This Row],[Debits]]+Table1[[#This Row],[Income]]</f>
        <v>1900</v>
      </c>
      <c r="N1799" t="str">
        <f>IF(AND(Table1[[#This Row],[Category]]="pay",NOT(Table1[[#This Row],[Debits]]=0)),"bad","good")</f>
        <v>good</v>
      </c>
      <c r="O1799" s="5"/>
    </row>
    <row r="1800" spans="6:15" x14ac:dyDescent="0.3">
      <c r="F1800">
        <f>MONTH(Table1[[#This Row],[Date  (DMY)]])</f>
        <v>1</v>
      </c>
      <c r="G1800" s="2"/>
      <c r="L1800" s="5"/>
      <c r="M1800" s="4">
        <f>M1799-Table1[[#This Row],[Debits]]+Table1[[#This Row],[Income]]</f>
        <v>1900</v>
      </c>
      <c r="N1800" t="str">
        <f>IF(AND(Table1[[#This Row],[Category]]="pay",NOT(Table1[[#This Row],[Debits]]=0)),"bad","good")</f>
        <v>good</v>
      </c>
      <c r="O1800" s="5"/>
    </row>
    <row r="1801" spans="6:15" x14ac:dyDescent="0.3">
      <c r="F1801">
        <f>MONTH(Table1[[#This Row],[Date  (DMY)]])</f>
        <v>1</v>
      </c>
      <c r="G1801" s="2"/>
      <c r="L1801" s="5"/>
      <c r="M1801" s="4">
        <f>M1800-Table1[[#This Row],[Debits]]+Table1[[#This Row],[Income]]</f>
        <v>1900</v>
      </c>
      <c r="N1801" t="str">
        <f>IF(AND(Table1[[#This Row],[Category]]="pay",NOT(Table1[[#This Row],[Debits]]=0)),"bad","good")</f>
        <v>good</v>
      </c>
      <c r="O1801" s="5"/>
    </row>
    <row r="1802" spans="6:15" x14ac:dyDescent="0.3">
      <c r="F1802">
        <f>MONTH(Table1[[#This Row],[Date  (DMY)]])</f>
        <v>1</v>
      </c>
      <c r="G1802" s="2"/>
      <c r="L1802" s="5"/>
      <c r="M1802" s="4">
        <f>M1801-Table1[[#This Row],[Debits]]+Table1[[#This Row],[Income]]</f>
        <v>1900</v>
      </c>
      <c r="N1802" t="str">
        <f>IF(AND(Table1[[#This Row],[Category]]="pay",NOT(Table1[[#This Row],[Debits]]=0)),"bad","good")</f>
        <v>good</v>
      </c>
      <c r="O1802" s="5"/>
    </row>
    <row r="1803" spans="6:15" x14ac:dyDescent="0.3">
      <c r="F1803">
        <f>MONTH(Table1[[#This Row],[Date  (DMY)]])</f>
        <v>1</v>
      </c>
      <c r="G1803" s="2"/>
      <c r="L1803" s="5"/>
      <c r="M1803" s="4">
        <f>M1802-Table1[[#This Row],[Debits]]+Table1[[#This Row],[Income]]</f>
        <v>1900</v>
      </c>
      <c r="N1803" t="str">
        <f>IF(AND(Table1[[#This Row],[Category]]="pay",NOT(Table1[[#This Row],[Debits]]=0)),"bad","good")</f>
        <v>good</v>
      </c>
      <c r="O1803" s="5"/>
    </row>
    <row r="1804" spans="6:15" x14ac:dyDescent="0.3">
      <c r="F1804">
        <f>MONTH(Table1[[#This Row],[Date  (DMY)]])</f>
        <v>1</v>
      </c>
      <c r="G1804" s="2"/>
      <c r="L1804" s="5"/>
      <c r="M1804" s="4">
        <f>M1803-Table1[[#This Row],[Debits]]+Table1[[#This Row],[Income]]</f>
        <v>1900</v>
      </c>
      <c r="N1804" t="str">
        <f>IF(AND(Table1[[#This Row],[Category]]="pay",NOT(Table1[[#This Row],[Debits]]=0)),"bad","good")</f>
        <v>good</v>
      </c>
      <c r="O1804" s="5"/>
    </row>
    <row r="1805" spans="6:15" x14ac:dyDescent="0.3">
      <c r="F1805">
        <f>MONTH(Table1[[#This Row],[Date  (DMY)]])</f>
        <v>1</v>
      </c>
      <c r="G1805" s="2"/>
      <c r="L1805" s="5"/>
      <c r="M1805" s="4">
        <f>M1804-Table1[[#This Row],[Debits]]+Table1[[#This Row],[Income]]</f>
        <v>1900</v>
      </c>
      <c r="N1805" t="str">
        <f>IF(AND(Table1[[#This Row],[Category]]="pay",NOT(Table1[[#This Row],[Debits]]=0)),"bad","good")</f>
        <v>good</v>
      </c>
      <c r="O1805" s="5"/>
    </row>
    <row r="1806" spans="6:15" x14ac:dyDescent="0.3">
      <c r="F1806">
        <f>MONTH(Table1[[#This Row],[Date  (DMY)]])</f>
        <v>1</v>
      </c>
      <c r="G1806" s="2"/>
      <c r="L1806" s="5"/>
      <c r="M1806" s="4">
        <f>M1805-Table1[[#This Row],[Debits]]+Table1[[#This Row],[Income]]</f>
        <v>1900</v>
      </c>
      <c r="N1806" t="str">
        <f>IF(AND(Table1[[#This Row],[Category]]="pay",NOT(Table1[[#This Row],[Debits]]=0)),"bad","good")</f>
        <v>good</v>
      </c>
      <c r="O1806" s="5"/>
    </row>
    <row r="1807" spans="6:15" x14ac:dyDescent="0.3">
      <c r="F1807">
        <f>MONTH(Table1[[#This Row],[Date  (DMY)]])</f>
        <v>1</v>
      </c>
      <c r="G1807" s="2"/>
      <c r="L1807" s="5"/>
      <c r="M1807" s="4">
        <f>M1806-Table1[[#This Row],[Debits]]+Table1[[#This Row],[Income]]</f>
        <v>1900</v>
      </c>
      <c r="N1807" t="str">
        <f>IF(AND(Table1[[#This Row],[Category]]="pay",NOT(Table1[[#This Row],[Debits]]=0)),"bad","good")</f>
        <v>good</v>
      </c>
      <c r="O1807" s="5"/>
    </row>
    <row r="1808" spans="6:15" x14ac:dyDescent="0.3">
      <c r="F1808">
        <f>MONTH(Table1[[#This Row],[Date  (DMY)]])</f>
        <v>1</v>
      </c>
      <c r="G1808" s="2"/>
      <c r="L1808" s="5"/>
      <c r="M1808" s="4">
        <f>M1807-Table1[[#This Row],[Debits]]+Table1[[#This Row],[Income]]</f>
        <v>1900</v>
      </c>
      <c r="N1808" t="str">
        <f>IF(AND(Table1[[#This Row],[Category]]="pay",NOT(Table1[[#This Row],[Debits]]=0)),"bad","good")</f>
        <v>good</v>
      </c>
      <c r="O1808" s="5"/>
    </row>
    <row r="1809" spans="6:15" x14ac:dyDescent="0.3">
      <c r="F1809">
        <f>MONTH(Table1[[#This Row],[Date  (DMY)]])</f>
        <v>1</v>
      </c>
      <c r="G1809" s="2"/>
      <c r="L1809" s="5"/>
      <c r="M1809" s="4">
        <f>M1808-Table1[[#This Row],[Debits]]+Table1[[#This Row],[Income]]</f>
        <v>1900</v>
      </c>
      <c r="N1809" t="str">
        <f>IF(AND(Table1[[#This Row],[Category]]="pay",NOT(Table1[[#This Row],[Debits]]=0)),"bad","good")</f>
        <v>good</v>
      </c>
      <c r="O1809" s="5"/>
    </row>
    <row r="1810" spans="6:15" x14ac:dyDescent="0.3">
      <c r="F1810">
        <f>MONTH(Table1[[#This Row],[Date  (DMY)]])</f>
        <v>1</v>
      </c>
      <c r="G1810" s="2"/>
      <c r="L1810" s="5"/>
      <c r="M1810" s="4">
        <f>M1809-Table1[[#This Row],[Debits]]+Table1[[#This Row],[Income]]</f>
        <v>1900</v>
      </c>
      <c r="N1810" t="str">
        <f>IF(AND(Table1[[#This Row],[Category]]="pay",NOT(Table1[[#This Row],[Debits]]=0)),"bad","good")</f>
        <v>good</v>
      </c>
      <c r="O1810" s="5"/>
    </row>
    <row r="1811" spans="6:15" x14ac:dyDescent="0.3">
      <c r="F1811">
        <f>MONTH(Table1[[#This Row],[Date  (DMY)]])</f>
        <v>1</v>
      </c>
      <c r="G1811" s="2"/>
      <c r="L1811" s="5"/>
      <c r="M1811" s="4">
        <f>M1810-Table1[[#This Row],[Debits]]+Table1[[#This Row],[Income]]</f>
        <v>1900</v>
      </c>
      <c r="N1811" t="str">
        <f>IF(AND(Table1[[#This Row],[Category]]="pay",NOT(Table1[[#This Row],[Debits]]=0)),"bad","good")</f>
        <v>good</v>
      </c>
      <c r="O1811" s="5"/>
    </row>
    <row r="1812" spans="6:15" x14ac:dyDescent="0.3">
      <c r="F1812">
        <f>MONTH(Table1[[#This Row],[Date  (DMY)]])</f>
        <v>1</v>
      </c>
      <c r="G1812" s="2"/>
      <c r="L1812" s="5"/>
      <c r="M1812" s="4">
        <f>M1811-Table1[[#This Row],[Debits]]+Table1[[#This Row],[Income]]</f>
        <v>1900</v>
      </c>
      <c r="N1812" t="str">
        <f>IF(AND(Table1[[#This Row],[Category]]="pay",NOT(Table1[[#This Row],[Debits]]=0)),"bad","good")</f>
        <v>good</v>
      </c>
      <c r="O1812" s="5"/>
    </row>
    <row r="1813" spans="6:15" x14ac:dyDescent="0.3">
      <c r="F1813">
        <f>MONTH(Table1[[#This Row],[Date  (DMY)]])</f>
        <v>1</v>
      </c>
      <c r="G1813" s="2"/>
      <c r="L1813" s="5"/>
      <c r="M1813" s="4">
        <f>M1812-Table1[[#This Row],[Debits]]+Table1[[#This Row],[Income]]</f>
        <v>1900</v>
      </c>
      <c r="N1813" t="str">
        <f>IF(AND(Table1[[#This Row],[Category]]="pay",NOT(Table1[[#This Row],[Debits]]=0)),"bad","good")</f>
        <v>good</v>
      </c>
      <c r="O1813" s="5"/>
    </row>
    <row r="1814" spans="6:15" x14ac:dyDescent="0.3">
      <c r="F1814">
        <f>MONTH(Table1[[#This Row],[Date  (DMY)]])</f>
        <v>1</v>
      </c>
      <c r="G1814" s="2"/>
      <c r="L1814" s="5"/>
      <c r="M1814" s="4">
        <f>M1813-Table1[[#This Row],[Debits]]+Table1[[#This Row],[Income]]</f>
        <v>1900</v>
      </c>
      <c r="N1814" t="str">
        <f>IF(AND(Table1[[#This Row],[Category]]="pay",NOT(Table1[[#This Row],[Debits]]=0)),"bad","good")</f>
        <v>good</v>
      </c>
      <c r="O1814" s="5"/>
    </row>
    <row r="1815" spans="6:15" x14ac:dyDescent="0.3">
      <c r="F1815">
        <f>MONTH(Table1[[#This Row],[Date  (DMY)]])</f>
        <v>1</v>
      </c>
      <c r="G1815" s="2"/>
      <c r="L1815" s="5"/>
      <c r="M1815" s="4">
        <f>M1814-Table1[[#This Row],[Debits]]+Table1[[#This Row],[Income]]</f>
        <v>1900</v>
      </c>
      <c r="N1815" t="str">
        <f>IF(AND(Table1[[#This Row],[Category]]="pay",NOT(Table1[[#This Row],[Debits]]=0)),"bad","good")</f>
        <v>good</v>
      </c>
      <c r="O1815" s="5"/>
    </row>
    <row r="1816" spans="6:15" x14ac:dyDescent="0.3">
      <c r="F1816">
        <f>MONTH(Table1[[#This Row],[Date  (DMY)]])</f>
        <v>1</v>
      </c>
      <c r="G1816" s="2"/>
      <c r="L1816" s="5"/>
      <c r="M1816" s="4">
        <f>M1815-Table1[[#This Row],[Debits]]+Table1[[#This Row],[Income]]</f>
        <v>1900</v>
      </c>
      <c r="N1816" t="str">
        <f>IF(AND(Table1[[#This Row],[Category]]="pay",NOT(Table1[[#This Row],[Debits]]=0)),"bad","good")</f>
        <v>good</v>
      </c>
      <c r="O1816" s="5"/>
    </row>
    <row r="1817" spans="6:15" x14ac:dyDescent="0.3">
      <c r="F1817">
        <f>MONTH(Table1[[#This Row],[Date  (DMY)]])</f>
        <v>1</v>
      </c>
      <c r="G1817" s="2"/>
      <c r="L1817" s="5"/>
      <c r="M1817" s="4">
        <f>M1816-Table1[[#This Row],[Debits]]+Table1[[#This Row],[Income]]</f>
        <v>1900</v>
      </c>
      <c r="N1817" t="str">
        <f>IF(AND(Table1[[#This Row],[Category]]="pay",NOT(Table1[[#This Row],[Debits]]=0)),"bad","good")</f>
        <v>good</v>
      </c>
      <c r="O1817" s="5"/>
    </row>
    <row r="1818" spans="6:15" x14ac:dyDescent="0.3">
      <c r="F1818">
        <f>MONTH(Table1[[#This Row],[Date  (DMY)]])</f>
        <v>1</v>
      </c>
      <c r="G1818" s="2"/>
      <c r="L1818" s="5"/>
      <c r="M1818" s="4">
        <f>M1817-Table1[[#This Row],[Debits]]+Table1[[#This Row],[Income]]</f>
        <v>1900</v>
      </c>
      <c r="N1818" t="str">
        <f>IF(AND(Table1[[#This Row],[Category]]="pay",NOT(Table1[[#This Row],[Debits]]=0)),"bad","good")</f>
        <v>good</v>
      </c>
      <c r="O1818" s="5"/>
    </row>
    <row r="1819" spans="6:15" x14ac:dyDescent="0.3">
      <c r="F1819">
        <f>MONTH(Table1[[#This Row],[Date  (DMY)]])</f>
        <v>1</v>
      </c>
      <c r="G1819" s="2"/>
      <c r="L1819" s="5"/>
      <c r="M1819" s="4">
        <f>M1818-Table1[[#This Row],[Debits]]+Table1[[#This Row],[Income]]</f>
        <v>1900</v>
      </c>
      <c r="N1819" t="str">
        <f>IF(AND(Table1[[#This Row],[Category]]="pay",NOT(Table1[[#This Row],[Debits]]=0)),"bad","good")</f>
        <v>good</v>
      </c>
      <c r="O1819" s="5"/>
    </row>
    <row r="1820" spans="6:15" x14ac:dyDescent="0.3">
      <c r="F1820">
        <f>MONTH(Table1[[#This Row],[Date  (DMY)]])</f>
        <v>1</v>
      </c>
      <c r="G1820" s="2"/>
      <c r="L1820" s="5"/>
      <c r="M1820" s="4">
        <f>M1819-Table1[[#This Row],[Debits]]+Table1[[#This Row],[Income]]</f>
        <v>1900</v>
      </c>
      <c r="N1820" t="str">
        <f>IF(AND(Table1[[#This Row],[Category]]="pay",NOT(Table1[[#This Row],[Debits]]=0)),"bad","good")</f>
        <v>good</v>
      </c>
      <c r="O1820" s="5"/>
    </row>
    <row r="1821" spans="6:15" x14ac:dyDescent="0.3">
      <c r="F1821">
        <f>MONTH(Table1[[#This Row],[Date  (DMY)]])</f>
        <v>1</v>
      </c>
      <c r="G1821" s="2"/>
      <c r="L1821" s="5"/>
      <c r="M1821" s="4">
        <f>M1820-Table1[[#This Row],[Debits]]+Table1[[#This Row],[Income]]</f>
        <v>1900</v>
      </c>
      <c r="N1821" t="str">
        <f>IF(AND(Table1[[#This Row],[Category]]="pay",NOT(Table1[[#This Row],[Debits]]=0)),"bad","good")</f>
        <v>good</v>
      </c>
      <c r="O1821" s="5"/>
    </row>
    <row r="1822" spans="6:15" x14ac:dyDescent="0.3">
      <c r="F1822">
        <f>MONTH(Table1[[#This Row],[Date  (DMY)]])</f>
        <v>1</v>
      </c>
      <c r="G1822" s="2"/>
      <c r="L1822" s="5"/>
      <c r="M1822" s="4">
        <f>M1821-Table1[[#This Row],[Debits]]+Table1[[#This Row],[Income]]</f>
        <v>1900</v>
      </c>
      <c r="N1822" t="str">
        <f>IF(AND(Table1[[#This Row],[Category]]="pay",NOT(Table1[[#This Row],[Debits]]=0)),"bad","good")</f>
        <v>good</v>
      </c>
      <c r="O1822" s="5"/>
    </row>
    <row r="1823" spans="6:15" x14ac:dyDescent="0.3">
      <c r="F1823">
        <f>MONTH(Table1[[#This Row],[Date  (DMY)]])</f>
        <v>1</v>
      </c>
      <c r="G1823" s="2"/>
      <c r="L1823" s="5"/>
      <c r="M1823" s="4">
        <f>M1822-Table1[[#This Row],[Debits]]+Table1[[#This Row],[Income]]</f>
        <v>1900</v>
      </c>
      <c r="N1823" t="str">
        <f>IF(AND(Table1[[#This Row],[Category]]="pay",NOT(Table1[[#This Row],[Debits]]=0)),"bad","good")</f>
        <v>good</v>
      </c>
      <c r="O1823" s="5"/>
    </row>
    <row r="1824" spans="6:15" x14ac:dyDescent="0.3">
      <c r="F1824">
        <f>MONTH(Table1[[#This Row],[Date  (DMY)]])</f>
        <v>1</v>
      </c>
      <c r="G1824" s="2"/>
      <c r="L1824" s="5"/>
      <c r="M1824" s="4">
        <f>M1823-Table1[[#This Row],[Debits]]+Table1[[#This Row],[Income]]</f>
        <v>1900</v>
      </c>
      <c r="N1824" t="str">
        <f>IF(AND(Table1[[#This Row],[Category]]="pay",NOT(Table1[[#This Row],[Debits]]=0)),"bad","good")</f>
        <v>good</v>
      </c>
      <c r="O1824" s="5"/>
    </row>
    <row r="1825" spans="6:15" x14ac:dyDescent="0.3">
      <c r="F1825">
        <f>MONTH(Table1[[#This Row],[Date  (DMY)]])</f>
        <v>1</v>
      </c>
      <c r="G1825" s="2"/>
      <c r="L1825" s="5"/>
      <c r="M1825" s="4">
        <f>M1824-Table1[[#This Row],[Debits]]+Table1[[#This Row],[Income]]</f>
        <v>1900</v>
      </c>
      <c r="N1825" t="str">
        <f>IF(AND(Table1[[#This Row],[Category]]="pay",NOT(Table1[[#This Row],[Debits]]=0)),"bad","good")</f>
        <v>good</v>
      </c>
      <c r="O1825" s="5"/>
    </row>
    <row r="1826" spans="6:15" x14ac:dyDescent="0.3">
      <c r="F1826">
        <f>MONTH(Table1[[#This Row],[Date  (DMY)]])</f>
        <v>1</v>
      </c>
      <c r="G1826" s="2"/>
      <c r="L1826" s="5"/>
      <c r="M1826" s="4">
        <f>M1825-Table1[[#This Row],[Debits]]+Table1[[#This Row],[Income]]</f>
        <v>1900</v>
      </c>
      <c r="N1826" t="str">
        <f>IF(AND(Table1[[#This Row],[Category]]="pay",NOT(Table1[[#This Row],[Debits]]=0)),"bad","good")</f>
        <v>good</v>
      </c>
      <c r="O1826" s="5"/>
    </row>
    <row r="1827" spans="6:15" x14ac:dyDescent="0.3">
      <c r="F1827">
        <f>MONTH(Table1[[#This Row],[Date  (DMY)]])</f>
        <v>1</v>
      </c>
      <c r="G1827" s="2"/>
      <c r="L1827" s="5"/>
      <c r="M1827" s="4">
        <f>M1826-Table1[[#This Row],[Debits]]+Table1[[#This Row],[Income]]</f>
        <v>1900</v>
      </c>
      <c r="N1827" t="str">
        <f>IF(AND(Table1[[#This Row],[Category]]="pay",NOT(Table1[[#This Row],[Debits]]=0)),"bad","good")</f>
        <v>good</v>
      </c>
      <c r="O1827" s="5"/>
    </row>
    <row r="1828" spans="6:15" x14ac:dyDescent="0.3">
      <c r="F1828">
        <f>MONTH(Table1[[#This Row],[Date  (DMY)]])</f>
        <v>1</v>
      </c>
      <c r="G1828" s="2"/>
      <c r="L1828" s="5"/>
      <c r="M1828" s="4">
        <f>M1827-Table1[[#This Row],[Debits]]+Table1[[#This Row],[Income]]</f>
        <v>1900</v>
      </c>
      <c r="N1828" t="str">
        <f>IF(AND(Table1[[#This Row],[Category]]="pay",NOT(Table1[[#This Row],[Debits]]=0)),"bad","good")</f>
        <v>good</v>
      </c>
      <c r="O1828" s="5"/>
    </row>
    <row r="1829" spans="6:15" x14ac:dyDescent="0.3">
      <c r="F1829">
        <f>MONTH(Table1[[#This Row],[Date  (DMY)]])</f>
        <v>1</v>
      </c>
      <c r="G1829" s="2"/>
      <c r="L1829" s="5"/>
      <c r="M1829" s="4">
        <f>M1828-Table1[[#This Row],[Debits]]+Table1[[#This Row],[Income]]</f>
        <v>1900</v>
      </c>
      <c r="N1829" t="str">
        <f>IF(AND(Table1[[#This Row],[Category]]="pay",NOT(Table1[[#This Row],[Debits]]=0)),"bad","good")</f>
        <v>good</v>
      </c>
      <c r="O1829" s="5"/>
    </row>
    <row r="1830" spans="6:15" x14ac:dyDescent="0.3">
      <c r="F1830">
        <f>MONTH(Table1[[#This Row],[Date  (DMY)]])</f>
        <v>1</v>
      </c>
      <c r="G1830" s="2"/>
      <c r="L1830" s="5"/>
      <c r="M1830" s="4">
        <f>M1829-Table1[[#This Row],[Debits]]+Table1[[#This Row],[Income]]</f>
        <v>1900</v>
      </c>
      <c r="N1830" t="str">
        <f>IF(AND(Table1[[#This Row],[Category]]="pay",NOT(Table1[[#This Row],[Debits]]=0)),"bad","good")</f>
        <v>good</v>
      </c>
      <c r="O1830" s="5"/>
    </row>
    <row r="1831" spans="6:15" x14ac:dyDescent="0.3">
      <c r="F1831">
        <f>MONTH(Table1[[#This Row],[Date  (DMY)]])</f>
        <v>1</v>
      </c>
      <c r="G1831" s="2"/>
      <c r="L1831" s="5"/>
      <c r="M1831" s="4">
        <f>M1830-Table1[[#This Row],[Debits]]+Table1[[#This Row],[Income]]</f>
        <v>1900</v>
      </c>
      <c r="N1831" t="str">
        <f>IF(AND(Table1[[#This Row],[Category]]="pay",NOT(Table1[[#This Row],[Debits]]=0)),"bad","good")</f>
        <v>good</v>
      </c>
      <c r="O1831" s="5"/>
    </row>
    <row r="1832" spans="6:15" x14ac:dyDescent="0.3">
      <c r="F1832">
        <f>MONTH(Table1[[#This Row],[Date  (DMY)]])</f>
        <v>1</v>
      </c>
      <c r="G1832" s="2"/>
      <c r="L1832" s="5"/>
      <c r="M1832" s="4">
        <f>M1831-Table1[[#This Row],[Debits]]+Table1[[#This Row],[Income]]</f>
        <v>1900</v>
      </c>
      <c r="N1832" t="str">
        <f>IF(AND(Table1[[#This Row],[Category]]="pay",NOT(Table1[[#This Row],[Debits]]=0)),"bad","good")</f>
        <v>good</v>
      </c>
      <c r="O1832" s="5"/>
    </row>
    <row r="1833" spans="6:15" x14ac:dyDescent="0.3">
      <c r="F1833">
        <f>MONTH(Table1[[#This Row],[Date  (DMY)]])</f>
        <v>1</v>
      </c>
      <c r="G1833" s="2"/>
      <c r="L1833" s="5"/>
      <c r="M1833" s="4">
        <f>M1832-Table1[[#This Row],[Debits]]+Table1[[#This Row],[Income]]</f>
        <v>1900</v>
      </c>
      <c r="N1833" t="str">
        <f>IF(AND(Table1[[#This Row],[Category]]="pay",NOT(Table1[[#This Row],[Debits]]=0)),"bad","good")</f>
        <v>good</v>
      </c>
      <c r="O1833" s="5"/>
    </row>
    <row r="1834" spans="6:15" x14ac:dyDescent="0.3">
      <c r="F1834">
        <f>MONTH(Table1[[#This Row],[Date  (DMY)]])</f>
        <v>1</v>
      </c>
      <c r="G1834" s="2"/>
      <c r="L1834" s="5"/>
      <c r="M1834" s="4">
        <f>M1833-Table1[[#This Row],[Debits]]+Table1[[#This Row],[Income]]</f>
        <v>1900</v>
      </c>
      <c r="N1834" t="str">
        <f>IF(AND(Table1[[#This Row],[Category]]="pay",NOT(Table1[[#This Row],[Debits]]=0)),"bad","good")</f>
        <v>good</v>
      </c>
      <c r="O1834" s="5"/>
    </row>
    <row r="1835" spans="6:15" x14ac:dyDescent="0.3">
      <c r="F1835">
        <f>MONTH(Table1[[#This Row],[Date  (DMY)]])</f>
        <v>1</v>
      </c>
      <c r="G1835" s="2"/>
      <c r="L1835" s="5"/>
      <c r="M1835" s="4">
        <f>M1834-Table1[[#This Row],[Debits]]+Table1[[#This Row],[Income]]</f>
        <v>1900</v>
      </c>
      <c r="N1835" t="str">
        <f>IF(AND(Table1[[#This Row],[Category]]="pay",NOT(Table1[[#This Row],[Debits]]=0)),"bad","good")</f>
        <v>good</v>
      </c>
      <c r="O1835" s="5"/>
    </row>
    <row r="1836" spans="6:15" x14ac:dyDescent="0.3">
      <c r="F1836">
        <f>MONTH(Table1[[#This Row],[Date  (DMY)]])</f>
        <v>1</v>
      </c>
      <c r="G1836" s="2"/>
      <c r="L1836" s="5"/>
      <c r="M1836" s="4">
        <f>M1835-Table1[[#This Row],[Debits]]+Table1[[#This Row],[Income]]</f>
        <v>1900</v>
      </c>
      <c r="N1836" t="str">
        <f>IF(AND(Table1[[#This Row],[Category]]="pay",NOT(Table1[[#This Row],[Debits]]=0)),"bad","good")</f>
        <v>good</v>
      </c>
      <c r="O1836" s="5"/>
    </row>
    <row r="1837" spans="6:15" x14ac:dyDescent="0.3">
      <c r="F1837">
        <f>MONTH(Table1[[#This Row],[Date  (DMY)]])</f>
        <v>1</v>
      </c>
      <c r="G1837" s="2"/>
      <c r="L1837" s="5"/>
      <c r="M1837" s="4">
        <f>M1836-Table1[[#This Row],[Debits]]+Table1[[#This Row],[Income]]</f>
        <v>1900</v>
      </c>
      <c r="N1837" t="str">
        <f>IF(AND(Table1[[#This Row],[Category]]="pay",NOT(Table1[[#This Row],[Debits]]=0)),"bad","good")</f>
        <v>good</v>
      </c>
      <c r="O1837" s="5"/>
    </row>
    <row r="1838" spans="6:15" x14ac:dyDescent="0.3">
      <c r="F1838">
        <f>MONTH(Table1[[#This Row],[Date  (DMY)]])</f>
        <v>1</v>
      </c>
      <c r="G1838" s="2"/>
      <c r="L1838" s="5"/>
      <c r="M1838" s="4">
        <f>M1837-Table1[[#This Row],[Debits]]+Table1[[#This Row],[Income]]</f>
        <v>1900</v>
      </c>
      <c r="N1838" t="str">
        <f>IF(AND(Table1[[#This Row],[Category]]="pay",NOT(Table1[[#This Row],[Debits]]=0)),"bad","good")</f>
        <v>good</v>
      </c>
      <c r="O1838" s="5"/>
    </row>
    <row r="1839" spans="6:15" x14ac:dyDescent="0.3">
      <c r="F1839">
        <f>MONTH(Table1[[#This Row],[Date  (DMY)]])</f>
        <v>1</v>
      </c>
      <c r="G1839" s="2"/>
      <c r="L1839" s="5"/>
      <c r="M1839" s="4">
        <f>M1838-Table1[[#This Row],[Debits]]+Table1[[#This Row],[Income]]</f>
        <v>1900</v>
      </c>
      <c r="N1839" t="str">
        <f>IF(AND(Table1[[#This Row],[Category]]="pay",NOT(Table1[[#This Row],[Debits]]=0)),"bad","good")</f>
        <v>good</v>
      </c>
      <c r="O1839" s="5"/>
    </row>
    <row r="1840" spans="6:15" x14ac:dyDescent="0.3">
      <c r="F1840">
        <f>MONTH(Table1[[#This Row],[Date  (DMY)]])</f>
        <v>1</v>
      </c>
      <c r="G1840" s="2"/>
      <c r="L1840" s="5"/>
      <c r="M1840" s="4">
        <f>M1839-Table1[[#This Row],[Debits]]+Table1[[#This Row],[Income]]</f>
        <v>1900</v>
      </c>
      <c r="N1840" t="str">
        <f>IF(AND(Table1[[#This Row],[Category]]="pay",NOT(Table1[[#This Row],[Debits]]=0)),"bad","good")</f>
        <v>good</v>
      </c>
      <c r="O1840" s="5"/>
    </row>
    <row r="1841" spans="6:15" x14ac:dyDescent="0.3">
      <c r="F1841">
        <f>MONTH(Table1[[#This Row],[Date  (DMY)]])</f>
        <v>1</v>
      </c>
      <c r="G1841" s="2"/>
      <c r="L1841" s="5"/>
      <c r="M1841" s="4">
        <f>M1840-Table1[[#This Row],[Debits]]+Table1[[#This Row],[Income]]</f>
        <v>1900</v>
      </c>
      <c r="N1841" t="str">
        <f>IF(AND(Table1[[#This Row],[Category]]="pay",NOT(Table1[[#This Row],[Debits]]=0)),"bad","good")</f>
        <v>good</v>
      </c>
      <c r="O1841" s="5"/>
    </row>
    <row r="1842" spans="6:15" x14ac:dyDescent="0.3">
      <c r="F1842">
        <f>MONTH(Table1[[#This Row],[Date  (DMY)]])</f>
        <v>1</v>
      </c>
      <c r="G1842" s="2"/>
      <c r="L1842" s="5"/>
      <c r="M1842" s="4">
        <f>M1841-Table1[[#This Row],[Debits]]+Table1[[#This Row],[Income]]</f>
        <v>1900</v>
      </c>
      <c r="N1842" t="str">
        <f>IF(AND(Table1[[#This Row],[Category]]="pay",NOT(Table1[[#This Row],[Debits]]=0)),"bad","good")</f>
        <v>good</v>
      </c>
      <c r="O1842" s="5"/>
    </row>
    <row r="1843" spans="6:15" x14ac:dyDescent="0.3">
      <c r="F1843">
        <f>MONTH(Table1[[#This Row],[Date  (DMY)]])</f>
        <v>1</v>
      </c>
      <c r="G1843" s="2"/>
      <c r="L1843" s="5"/>
      <c r="M1843" s="4">
        <f>M1842-Table1[[#This Row],[Debits]]+Table1[[#This Row],[Income]]</f>
        <v>1900</v>
      </c>
      <c r="N1843" t="str">
        <f>IF(AND(Table1[[#This Row],[Category]]="pay",NOT(Table1[[#This Row],[Debits]]=0)),"bad","good")</f>
        <v>good</v>
      </c>
      <c r="O1843" s="5"/>
    </row>
    <row r="1844" spans="6:15" x14ac:dyDescent="0.3">
      <c r="F1844">
        <f>MONTH(Table1[[#This Row],[Date  (DMY)]])</f>
        <v>1</v>
      </c>
      <c r="G1844" s="2"/>
      <c r="L1844" s="5"/>
      <c r="M1844" s="4">
        <f>M1843-Table1[[#This Row],[Debits]]+Table1[[#This Row],[Income]]</f>
        <v>1900</v>
      </c>
      <c r="N1844" t="str">
        <f>IF(AND(Table1[[#This Row],[Category]]="pay",NOT(Table1[[#This Row],[Debits]]=0)),"bad","good")</f>
        <v>good</v>
      </c>
      <c r="O1844" s="5"/>
    </row>
    <row r="1845" spans="6:15" x14ac:dyDescent="0.3">
      <c r="F1845">
        <f>MONTH(Table1[[#This Row],[Date  (DMY)]])</f>
        <v>1</v>
      </c>
      <c r="G1845" s="2"/>
      <c r="L1845" s="5"/>
      <c r="M1845" s="4">
        <f>M1844-Table1[[#This Row],[Debits]]+Table1[[#This Row],[Income]]</f>
        <v>1900</v>
      </c>
      <c r="N1845" t="str">
        <f>IF(AND(Table1[[#This Row],[Category]]="pay",NOT(Table1[[#This Row],[Debits]]=0)),"bad","good")</f>
        <v>good</v>
      </c>
      <c r="O1845" s="5"/>
    </row>
    <row r="1846" spans="6:15" x14ac:dyDescent="0.3">
      <c r="F1846">
        <f>MONTH(Table1[[#This Row],[Date  (DMY)]])</f>
        <v>1</v>
      </c>
      <c r="G1846" s="2"/>
      <c r="L1846" s="5"/>
      <c r="M1846" s="4">
        <f>M1845-Table1[[#This Row],[Debits]]+Table1[[#This Row],[Income]]</f>
        <v>1900</v>
      </c>
      <c r="N1846" t="str">
        <f>IF(AND(Table1[[#This Row],[Category]]="pay",NOT(Table1[[#This Row],[Debits]]=0)),"bad","good")</f>
        <v>good</v>
      </c>
      <c r="O1846" s="5"/>
    </row>
    <row r="1847" spans="6:15" x14ac:dyDescent="0.3">
      <c r="F1847">
        <f>MONTH(Table1[[#This Row],[Date  (DMY)]])</f>
        <v>1</v>
      </c>
      <c r="G1847" s="2"/>
      <c r="L1847" s="5"/>
      <c r="M1847" s="4">
        <f>M1846-Table1[[#This Row],[Debits]]+Table1[[#This Row],[Income]]</f>
        <v>1900</v>
      </c>
      <c r="N1847" t="str">
        <f>IF(AND(Table1[[#This Row],[Category]]="pay",NOT(Table1[[#This Row],[Debits]]=0)),"bad","good")</f>
        <v>good</v>
      </c>
      <c r="O1847" s="5"/>
    </row>
    <row r="1848" spans="6:15" x14ac:dyDescent="0.3">
      <c r="F1848">
        <f>MONTH(Table1[[#This Row],[Date  (DMY)]])</f>
        <v>1</v>
      </c>
      <c r="G1848" s="2"/>
      <c r="L1848" s="5"/>
      <c r="M1848" s="4">
        <f>M1847-Table1[[#This Row],[Debits]]+Table1[[#This Row],[Income]]</f>
        <v>1900</v>
      </c>
      <c r="N1848" t="str">
        <f>IF(AND(Table1[[#This Row],[Category]]="pay",NOT(Table1[[#This Row],[Debits]]=0)),"bad","good")</f>
        <v>good</v>
      </c>
      <c r="O1848" s="5"/>
    </row>
    <row r="1849" spans="6:15" x14ac:dyDescent="0.3">
      <c r="F1849">
        <f>MONTH(Table1[[#This Row],[Date  (DMY)]])</f>
        <v>1</v>
      </c>
      <c r="G1849" s="2"/>
      <c r="L1849" s="5"/>
      <c r="M1849" s="4">
        <f>M1848-Table1[[#This Row],[Debits]]+Table1[[#This Row],[Income]]</f>
        <v>1900</v>
      </c>
      <c r="N1849" t="str">
        <f>IF(AND(Table1[[#This Row],[Category]]="pay",NOT(Table1[[#This Row],[Debits]]=0)),"bad","good")</f>
        <v>good</v>
      </c>
      <c r="O1849" s="5"/>
    </row>
    <row r="1850" spans="6:15" x14ac:dyDescent="0.3">
      <c r="F1850">
        <f>MONTH(Table1[[#This Row],[Date  (DMY)]])</f>
        <v>1</v>
      </c>
      <c r="G1850" s="2"/>
      <c r="L1850" s="5"/>
      <c r="M1850" s="4">
        <f>M1849-Table1[[#This Row],[Debits]]+Table1[[#This Row],[Income]]</f>
        <v>1900</v>
      </c>
      <c r="N1850" t="str">
        <f>IF(AND(Table1[[#This Row],[Category]]="pay",NOT(Table1[[#This Row],[Debits]]=0)),"bad","good")</f>
        <v>good</v>
      </c>
      <c r="O1850" s="5"/>
    </row>
    <row r="1851" spans="6:15" x14ac:dyDescent="0.3">
      <c r="F1851">
        <f>MONTH(Table1[[#This Row],[Date  (DMY)]])</f>
        <v>1</v>
      </c>
      <c r="G1851" s="2"/>
      <c r="L1851" s="5"/>
      <c r="M1851" s="4">
        <f>M1850-Table1[[#This Row],[Debits]]+Table1[[#This Row],[Income]]</f>
        <v>1900</v>
      </c>
      <c r="N1851" t="str">
        <f>IF(AND(Table1[[#This Row],[Category]]="pay",NOT(Table1[[#This Row],[Debits]]=0)),"bad","good")</f>
        <v>good</v>
      </c>
      <c r="O1851" s="5"/>
    </row>
    <row r="1852" spans="6:15" x14ac:dyDescent="0.3">
      <c r="F1852">
        <f>MONTH(Table1[[#This Row],[Date  (DMY)]])</f>
        <v>1</v>
      </c>
      <c r="G1852" s="2"/>
      <c r="L1852" s="5"/>
      <c r="M1852" s="4">
        <f>M1851-Table1[[#This Row],[Debits]]+Table1[[#This Row],[Income]]</f>
        <v>1900</v>
      </c>
      <c r="N1852" t="str">
        <f>IF(AND(Table1[[#This Row],[Category]]="pay",NOT(Table1[[#This Row],[Debits]]=0)),"bad","good")</f>
        <v>good</v>
      </c>
      <c r="O1852" s="5"/>
    </row>
    <row r="1853" spans="6:15" x14ac:dyDescent="0.3">
      <c r="F1853">
        <f>MONTH(Table1[[#This Row],[Date  (DMY)]])</f>
        <v>1</v>
      </c>
      <c r="G1853" s="2"/>
      <c r="L1853" s="5"/>
      <c r="M1853" s="4">
        <f>M1852-Table1[[#This Row],[Debits]]+Table1[[#This Row],[Income]]</f>
        <v>1900</v>
      </c>
      <c r="N1853" t="str">
        <f>IF(AND(Table1[[#This Row],[Category]]="pay",NOT(Table1[[#This Row],[Debits]]=0)),"bad","good")</f>
        <v>good</v>
      </c>
      <c r="O1853" s="5"/>
    </row>
    <row r="1854" spans="6:15" x14ac:dyDescent="0.3">
      <c r="F1854">
        <f>MONTH(Table1[[#This Row],[Date  (DMY)]])</f>
        <v>1</v>
      </c>
      <c r="G1854" s="2"/>
      <c r="L1854" s="5"/>
      <c r="M1854" s="4">
        <f>M1853-Table1[[#This Row],[Debits]]+Table1[[#This Row],[Income]]</f>
        <v>1900</v>
      </c>
      <c r="N1854" t="str">
        <f>IF(AND(Table1[[#This Row],[Category]]="pay",NOT(Table1[[#This Row],[Debits]]=0)),"bad","good")</f>
        <v>good</v>
      </c>
      <c r="O1854" s="5"/>
    </row>
    <row r="1855" spans="6:15" x14ac:dyDescent="0.3">
      <c r="F1855">
        <f>MONTH(Table1[[#This Row],[Date  (DMY)]])</f>
        <v>1</v>
      </c>
      <c r="G1855" s="2"/>
      <c r="L1855" s="5"/>
      <c r="M1855" s="4">
        <f>M1854-Table1[[#This Row],[Debits]]+Table1[[#This Row],[Income]]</f>
        <v>1900</v>
      </c>
      <c r="N1855" t="str">
        <f>IF(AND(Table1[[#This Row],[Category]]="pay",NOT(Table1[[#This Row],[Debits]]=0)),"bad","good")</f>
        <v>good</v>
      </c>
      <c r="O1855" s="5"/>
    </row>
    <row r="1856" spans="6:15" x14ac:dyDescent="0.3">
      <c r="F1856">
        <f>MONTH(Table1[[#This Row],[Date  (DMY)]])</f>
        <v>1</v>
      </c>
      <c r="G1856" s="2"/>
      <c r="L1856" s="5"/>
      <c r="M1856" s="4">
        <f>M1855-Table1[[#This Row],[Debits]]+Table1[[#This Row],[Income]]</f>
        <v>1900</v>
      </c>
      <c r="N1856" t="str">
        <f>IF(AND(Table1[[#This Row],[Category]]="pay",NOT(Table1[[#This Row],[Debits]]=0)),"bad","good")</f>
        <v>good</v>
      </c>
      <c r="O1856" s="5"/>
    </row>
    <row r="1857" spans="6:15" x14ac:dyDescent="0.3">
      <c r="F1857">
        <f>MONTH(Table1[[#This Row],[Date  (DMY)]])</f>
        <v>1</v>
      </c>
      <c r="G1857" s="2"/>
      <c r="L1857" s="5"/>
      <c r="M1857" s="4">
        <f>M1856-Table1[[#This Row],[Debits]]+Table1[[#This Row],[Income]]</f>
        <v>1900</v>
      </c>
      <c r="N1857" t="str">
        <f>IF(AND(Table1[[#This Row],[Category]]="pay",NOT(Table1[[#This Row],[Debits]]=0)),"bad","good")</f>
        <v>good</v>
      </c>
      <c r="O1857" s="5"/>
    </row>
    <row r="1858" spans="6:15" x14ac:dyDescent="0.3">
      <c r="F1858">
        <f>MONTH(Table1[[#This Row],[Date  (DMY)]])</f>
        <v>1</v>
      </c>
      <c r="G1858" s="2"/>
      <c r="L1858" s="5"/>
      <c r="M1858" s="4">
        <f>M1857-Table1[[#This Row],[Debits]]+Table1[[#This Row],[Income]]</f>
        <v>1900</v>
      </c>
      <c r="N1858" t="str">
        <f>IF(AND(Table1[[#This Row],[Category]]="pay",NOT(Table1[[#This Row],[Debits]]=0)),"bad","good")</f>
        <v>good</v>
      </c>
      <c r="O1858" s="5"/>
    </row>
    <row r="1859" spans="6:15" x14ac:dyDescent="0.3">
      <c r="F1859">
        <f>MONTH(Table1[[#This Row],[Date  (DMY)]])</f>
        <v>1</v>
      </c>
      <c r="G1859" s="2"/>
      <c r="L1859" s="5"/>
      <c r="M1859" s="4">
        <f>M1858-Table1[[#This Row],[Debits]]+Table1[[#This Row],[Income]]</f>
        <v>1900</v>
      </c>
      <c r="N1859" t="str">
        <f>IF(AND(Table1[[#This Row],[Category]]="pay",NOT(Table1[[#This Row],[Debits]]=0)),"bad","good")</f>
        <v>good</v>
      </c>
      <c r="O1859" s="5"/>
    </row>
    <row r="1860" spans="6:15" x14ac:dyDescent="0.3">
      <c r="F1860">
        <f>MONTH(Table1[[#This Row],[Date  (DMY)]])</f>
        <v>1</v>
      </c>
      <c r="G1860" s="2"/>
      <c r="L1860" s="5"/>
      <c r="M1860" s="4">
        <f>M1859-Table1[[#This Row],[Debits]]+Table1[[#This Row],[Income]]</f>
        <v>1900</v>
      </c>
      <c r="N1860" t="str">
        <f>IF(AND(Table1[[#This Row],[Category]]="pay",NOT(Table1[[#This Row],[Debits]]=0)),"bad","good")</f>
        <v>good</v>
      </c>
      <c r="O1860" s="5"/>
    </row>
    <row r="1861" spans="6:15" x14ac:dyDescent="0.3">
      <c r="F1861">
        <f>MONTH(Table1[[#This Row],[Date  (DMY)]])</f>
        <v>1</v>
      </c>
      <c r="G1861" s="2"/>
      <c r="L1861" s="5"/>
      <c r="M1861" s="4">
        <f>M1860-Table1[[#This Row],[Debits]]+Table1[[#This Row],[Income]]</f>
        <v>1900</v>
      </c>
      <c r="N1861" t="str">
        <f>IF(AND(Table1[[#This Row],[Category]]="pay",NOT(Table1[[#This Row],[Debits]]=0)),"bad","good")</f>
        <v>good</v>
      </c>
      <c r="O1861" s="5"/>
    </row>
    <row r="1862" spans="6:15" x14ac:dyDescent="0.3">
      <c r="F1862">
        <f>MONTH(Table1[[#This Row],[Date  (DMY)]])</f>
        <v>1</v>
      </c>
      <c r="G1862" s="2"/>
      <c r="L1862" s="5"/>
      <c r="M1862" s="4">
        <f>M1861-Table1[[#This Row],[Debits]]+Table1[[#This Row],[Income]]</f>
        <v>1900</v>
      </c>
      <c r="N1862" t="str">
        <f>IF(AND(Table1[[#This Row],[Category]]="pay",NOT(Table1[[#This Row],[Debits]]=0)),"bad","good")</f>
        <v>good</v>
      </c>
      <c r="O1862" s="5"/>
    </row>
    <row r="1863" spans="6:15" x14ac:dyDescent="0.3">
      <c r="F1863">
        <f>MONTH(Table1[[#This Row],[Date  (DMY)]])</f>
        <v>1</v>
      </c>
      <c r="G1863" s="2"/>
      <c r="L1863" s="5"/>
      <c r="M1863" s="4">
        <f>M1862-Table1[[#This Row],[Debits]]+Table1[[#This Row],[Income]]</f>
        <v>1900</v>
      </c>
      <c r="N1863" t="str">
        <f>IF(AND(Table1[[#This Row],[Category]]="pay",NOT(Table1[[#This Row],[Debits]]=0)),"bad","good")</f>
        <v>good</v>
      </c>
      <c r="O1863" s="5"/>
    </row>
    <row r="1864" spans="6:15" x14ac:dyDescent="0.3">
      <c r="F1864">
        <f>MONTH(Table1[[#This Row],[Date  (DMY)]])</f>
        <v>1</v>
      </c>
      <c r="G1864" s="2"/>
      <c r="L1864" s="5"/>
      <c r="M1864" s="4">
        <f>M1863-Table1[[#This Row],[Debits]]+Table1[[#This Row],[Income]]</f>
        <v>1900</v>
      </c>
      <c r="N1864" t="str">
        <f>IF(AND(Table1[[#This Row],[Category]]="pay",NOT(Table1[[#This Row],[Debits]]=0)),"bad","good")</f>
        <v>good</v>
      </c>
      <c r="O1864" s="5"/>
    </row>
    <row r="1865" spans="6:15" x14ac:dyDescent="0.3">
      <c r="F1865">
        <f>MONTH(Table1[[#This Row],[Date  (DMY)]])</f>
        <v>1</v>
      </c>
      <c r="G1865" s="2"/>
      <c r="L1865" s="5"/>
      <c r="M1865" s="4">
        <f>M1864-Table1[[#This Row],[Debits]]+Table1[[#This Row],[Income]]</f>
        <v>1900</v>
      </c>
      <c r="N1865" t="str">
        <f>IF(AND(Table1[[#This Row],[Category]]="pay",NOT(Table1[[#This Row],[Debits]]=0)),"bad","good")</f>
        <v>good</v>
      </c>
      <c r="O1865" s="5"/>
    </row>
    <row r="1866" spans="6:15" x14ac:dyDescent="0.3">
      <c r="F1866">
        <f>MONTH(Table1[[#This Row],[Date  (DMY)]])</f>
        <v>1</v>
      </c>
      <c r="G1866" s="2"/>
      <c r="L1866" s="5"/>
      <c r="M1866" s="4">
        <f>M1865-Table1[[#This Row],[Debits]]+Table1[[#This Row],[Income]]</f>
        <v>1900</v>
      </c>
      <c r="N1866" t="str">
        <f>IF(AND(Table1[[#This Row],[Category]]="pay",NOT(Table1[[#This Row],[Debits]]=0)),"bad","good")</f>
        <v>good</v>
      </c>
      <c r="O1866" s="5"/>
    </row>
    <row r="1867" spans="6:15" x14ac:dyDescent="0.3">
      <c r="F1867">
        <f>MONTH(Table1[[#This Row],[Date  (DMY)]])</f>
        <v>1</v>
      </c>
      <c r="G1867" s="2"/>
      <c r="L1867" s="5"/>
      <c r="M1867" s="4">
        <f>M1866-Table1[[#This Row],[Debits]]+Table1[[#This Row],[Income]]</f>
        <v>1900</v>
      </c>
      <c r="N1867" t="str">
        <f>IF(AND(Table1[[#This Row],[Category]]="pay",NOT(Table1[[#This Row],[Debits]]=0)),"bad","good")</f>
        <v>good</v>
      </c>
      <c r="O1867" s="5"/>
    </row>
    <row r="1868" spans="6:15" x14ac:dyDescent="0.3">
      <c r="F1868">
        <f>MONTH(Table1[[#This Row],[Date  (DMY)]])</f>
        <v>1</v>
      </c>
      <c r="G1868" s="2"/>
      <c r="L1868" s="5"/>
      <c r="M1868" s="4">
        <f>M1867-Table1[[#This Row],[Debits]]+Table1[[#This Row],[Income]]</f>
        <v>1900</v>
      </c>
      <c r="N1868" t="str">
        <f>IF(AND(Table1[[#This Row],[Category]]="pay",NOT(Table1[[#This Row],[Debits]]=0)),"bad","good")</f>
        <v>good</v>
      </c>
      <c r="O1868" s="5"/>
    </row>
    <row r="1869" spans="6:15" x14ac:dyDescent="0.3">
      <c r="F1869">
        <f>MONTH(Table1[[#This Row],[Date  (DMY)]])</f>
        <v>1</v>
      </c>
      <c r="G1869" s="2"/>
      <c r="L1869" s="5"/>
      <c r="M1869" s="4">
        <f>M1868-Table1[[#This Row],[Debits]]+Table1[[#This Row],[Income]]</f>
        <v>1900</v>
      </c>
      <c r="N1869" t="str">
        <f>IF(AND(Table1[[#This Row],[Category]]="pay",NOT(Table1[[#This Row],[Debits]]=0)),"bad","good")</f>
        <v>good</v>
      </c>
      <c r="O1869" s="5"/>
    </row>
    <row r="1870" spans="6:15" x14ac:dyDescent="0.3">
      <c r="F1870">
        <f>MONTH(Table1[[#This Row],[Date  (DMY)]])</f>
        <v>1</v>
      </c>
      <c r="G1870" s="2"/>
      <c r="L1870" s="5"/>
      <c r="M1870" s="4">
        <f>M1869-Table1[[#This Row],[Debits]]+Table1[[#This Row],[Income]]</f>
        <v>1900</v>
      </c>
      <c r="N1870" t="str">
        <f>IF(AND(Table1[[#This Row],[Category]]="pay",NOT(Table1[[#This Row],[Debits]]=0)),"bad","good")</f>
        <v>good</v>
      </c>
      <c r="O1870" s="5"/>
    </row>
    <row r="1871" spans="6:15" x14ac:dyDescent="0.3">
      <c r="F1871">
        <f>MONTH(Table1[[#This Row],[Date  (DMY)]])</f>
        <v>1</v>
      </c>
      <c r="G1871" s="2"/>
      <c r="L1871" s="5"/>
      <c r="M1871" s="4">
        <f>M1870-Table1[[#This Row],[Debits]]+Table1[[#This Row],[Income]]</f>
        <v>1900</v>
      </c>
      <c r="N1871" t="str">
        <f>IF(AND(Table1[[#This Row],[Category]]="pay",NOT(Table1[[#This Row],[Debits]]=0)),"bad","good")</f>
        <v>good</v>
      </c>
      <c r="O1871" s="5"/>
    </row>
    <row r="1872" spans="6:15" x14ac:dyDescent="0.3">
      <c r="F1872">
        <f>MONTH(Table1[[#This Row],[Date  (DMY)]])</f>
        <v>1</v>
      </c>
      <c r="G1872" s="2"/>
      <c r="L1872" s="5"/>
      <c r="M1872" s="4">
        <f>M1871-Table1[[#This Row],[Debits]]+Table1[[#This Row],[Income]]</f>
        <v>1900</v>
      </c>
      <c r="N1872" t="str">
        <f>IF(AND(Table1[[#This Row],[Category]]="pay",NOT(Table1[[#This Row],[Debits]]=0)),"bad","good")</f>
        <v>good</v>
      </c>
      <c r="O1872" s="5"/>
    </row>
    <row r="1873" spans="6:15" x14ac:dyDescent="0.3">
      <c r="F1873">
        <f>MONTH(Table1[[#This Row],[Date  (DMY)]])</f>
        <v>1</v>
      </c>
      <c r="G1873" s="2"/>
      <c r="L1873" s="5"/>
      <c r="M1873" s="4">
        <f>M1872-Table1[[#This Row],[Debits]]+Table1[[#This Row],[Income]]</f>
        <v>1900</v>
      </c>
      <c r="N1873" t="str">
        <f>IF(AND(Table1[[#This Row],[Category]]="pay",NOT(Table1[[#This Row],[Debits]]=0)),"bad","good")</f>
        <v>good</v>
      </c>
      <c r="O1873" s="5"/>
    </row>
    <row r="1874" spans="6:15" x14ac:dyDescent="0.3">
      <c r="F1874">
        <f>MONTH(Table1[[#This Row],[Date  (DMY)]])</f>
        <v>1</v>
      </c>
      <c r="G1874" s="2"/>
      <c r="L1874" s="5"/>
      <c r="M1874" s="4">
        <f>M1873-Table1[[#This Row],[Debits]]+Table1[[#This Row],[Income]]</f>
        <v>1900</v>
      </c>
      <c r="N1874" t="str">
        <f>IF(AND(Table1[[#This Row],[Category]]="pay",NOT(Table1[[#This Row],[Debits]]=0)),"bad","good")</f>
        <v>good</v>
      </c>
      <c r="O1874" s="5"/>
    </row>
    <row r="1875" spans="6:15" x14ac:dyDescent="0.3">
      <c r="F1875">
        <f>MONTH(Table1[[#This Row],[Date  (DMY)]])</f>
        <v>1</v>
      </c>
      <c r="G1875" s="2"/>
      <c r="L1875" s="5"/>
      <c r="M1875" s="4">
        <f>M1874-Table1[[#This Row],[Debits]]+Table1[[#This Row],[Income]]</f>
        <v>1900</v>
      </c>
      <c r="N1875" t="str">
        <f>IF(AND(Table1[[#This Row],[Category]]="pay",NOT(Table1[[#This Row],[Debits]]=0)),"bad","good")</f>
        <v>good</v>
      </c>
      <c r="O1875" s="5"/>
    </row>
    <row r="1876" spans="6:15" x14ac:dyDescent="0.3">
      <c r="F1876">
        <f>MONTH(Table1[[#This Row],[Date  (DMY)]])</f>
        <v>1</v>
      </c>
      <c r="G1876" s="2"/>
      <c r="L1876" s="5"/>
      <c r="M1876" s="4">
        <f>M1875-Table1[[#This Row],[Debits]]+Table1[[#This Row],[Income]]</f>
        <v>1900</v>
      </c>
      <c r="N1876" t="str">
        <f>IF(AND(Table1[[#This Row],[Category]]="pay",NOT(Table1[[#This Row],[Debits]]=0)),"bad","good")</f>
        <v>good</v>
      </c>
      <c r="O1876" s="5"/>
    </row>
    <row r="1877" spans="6:15" x14ac:dyDescent="0.3">
      <c r="F1877">
        <f>MONTH(Table1[[#This Row],[Date  (DMY)]])</f>
        <v>1</v>
      </c>
      <c r="G1877" s="2"/>
      <c r="L1877" s="5"/>
      <c r="M1877" s="4">
        <f>M1876-Table1[[#This Row],[Debits]]+Table1[[#This Row],[Income]]</f>
        <v>1900</v>
      </c>
      <c r="N1877" t="str">
        <f>IF(AND(Table1[[#This Row],[Category]]="pay",NOT(Table1[[#This Row],[Debits]]=0)),"bad","good")</f>
        <v>good</v>
      </c>
      <c r="O1877" s="5"/>
    </row>
    <row r="1878" spans="6:15" x14ac:dyDescent="0.3">
      <c r="F1878">
        <f>MONTH(Table1[[#This Row],[Date  (DMY)]])</f>
        <v>1</v>
      </c>
      <c r="G1878" s="2"/>
      <c r="L1878" s="5"/>
      <c r="M1878" s="4">
        <f>M1877-Table1[[#This Row],[Debits]]+Table1[[#This Row],[Income]]</f>
        <v>1900</v>
      </c>
      <c r="N1878" t="str">
        <f>IF(AND(Table1[[#This Row],[Category]]="pay",NOT(Table1[[#This Row],[Debits]]=0)),"bad","good")</f>
        <v>good</v>
      </c>
      <c r="O1878" s="5"/>
    </row>
    <row r="1879" spans="6:15" x14ac:dyDescent="0.3">
      <c r="F1879">
        <f>MONTH(Table1[[#This Row],[Date  (DMY)]])</f>
        <v>1</v>
      </c>
      <c r="G1879" s="2"/>
      <c r="L1879" s="5"/>
      <c r="M1879" s="4">
        <f>M1878-Table1[[#This Row],[Debits]]+Table1[[#This Row],[Income]]</f>
        <v>1900</v>
      </c>
      <c r="N1879" t="str">
        <f>IF(AND(Table1[[#This Row],[Category]]="pay",NOT(Table1[[#This Row],[Debits]]=0)),"bad","good")</f>
        <v>good</v>
      </c>
      <c r="O1879" s="5"/>
    </row>
    <row r="1880" spans="6:15" x14ac:dyDescent="0.3">
      <c r="F1880">
        <f>MONTH(Table1[[#This Row],[Date  (DMY)]])</f>
        <v>1</v>
      </c>
      <c r="G1880" s="2"/>
      <c r="L1880" s="5"/>
      <c r="M1880" s="4">
        <f>M1879-Table1[[#This Row],[Debits]]+Table1[[#This Row],[Income]]</f>
        <v>1900</v>
      </c>
      <c r="N1880" t="str">
        <f>IF(AND(Table1[[#This Row],[Category]]="pay",NOT(Table1[[#This Row],[Debits]]=0)),"bad","good")</f>
        <v>good</v>
      </c>
      <c r="O1880" s="5"/>
    </row>
    <row r="1881" spans="6:15" x14ac:dyDescent="0.3">
      <c r="F1881">
        <f>MONTH(Table1[[#This Row],[Date  (DMY)]])</f>
        <v>1</v>
      </c>
      <c r="G1881" s="2"/>
      <c r="L1881" s="5"/>
      <c r="M1881" s="4">
        <f>M1880-Table1[[#This Row],[Debits]]+Table1[[#This Row],[Income]]</f>
        <v>1900</v>
      </c>
      <c r="N1881" t="str">
        <f>IF(AND(Table1[[#This Row],[Category]]="pay",NOT(Table1[[#This Row],[Debits]]=0)),"bad","good")</f>
        <v>good</v>
      </c>
      <c r="O1881" s="5"/>
    </row>
    <row r="1882" spans="6:15" x14ac:dyDescent="0.3">
      <c r="F1882">
        <f>MONTH(Table1[[#This Row],[Date  (DMY)]])</f>
        <v>1</v>
      </c>
      <c r="G1882" s="2"/>
      <c r="L1882" s="5"/>
      <c r="M1882" s="4">
        <f>M1881-Table1[[#This Row],[Debits]]+Table1[[#This Row],[Income]]</f>
        <v>1900</v>
      </c>
      <c r="N1882" t="str">
        <f>IF(AND(Table1[[#This Row],[Category]]="pay",NOT(Table1[[#This Row],[Debits]]=0)),"bad","good")</f>
        <v>good</v>
      </c>
      <c r="O1882" s="5"/>
    </row>
    <row r="1883" spans="6:15" x14ac:dyDescent="0.3">
      <c r="F1883">
        <f>MONTH(Table1[[#This Row],[Date  (DMY)]])</f>
        <v>1</v>
      </c>
      <c r="G1883" s="2"/>
      <c r="L1883" s="5"/>
      <c r="M1883" s="4">
        <f>M1882-Table1[[#This Row],[Debits]]+Table1[[#This Row],[Income]]</f>
        <v>1900</v>
      </c>
      <c r="N1883" t="str">
        <f>IF(AND(Table1[[#This Row],[Category]]="pay",NOT(Table1[[#This Row],[Debits]]=0)),"bad","good")</f>
        <v>good</v>
      </c>
      <c r="O1883" s="5"/>
    </row>
    <row r="1884" spans="6:15" x14ac:dyDescent="0.3">
      <c r="F1884">
        <f>MONTH(Table1[[#This Row],[Date  (DMY)]])</f>
        <v>1</v>
      </c>
      <c r="G1884" s="2"/>
      <c r="L1884" s="5"/>
      <c r="M1884" s="4">
        <f>M1883-Table1[[#This Row],[Debits]]+Table1[[#This Row],[Income]]</f>
        <v>1900</v>
      </c>
      <c r="N1884" t="str">
        <f>IF(AND(Table1[[#This Row],[Category]]="pay",NOT(Table1[[#This Row],[Debits]]=0)),"bad","good")</f>
        <v>good</v>
      </c>
      <c r="O1884" s="5"/>
    </row>
    <row r="1885" spans="6:15" x14ac:dyDescent="0.3">
      <c r="F1885">
        <f>MONTH(Table1[[#This Row],[Date  (DMY)]])</f>
        <v>1</v>
      </c>
      <c r="G1885" s="2"/>
      <c r="L1885" s="5"/>
      <c r="M1885" s="4">
        <f>M1884-Table1[[#This Row],[Debits]]+Table1[[#This Row],[Income]]</f>
        <v>1900</v>
      </c>
      <c r="N1885" t="str">
        <f>IF(AND(Table1[[#This Row],[Category]]="pay",NOT(Table1[[#This Row],[Debits]]=0)),"bad","good")</f>
        <v>good</v>
      </c>
      <c r="O1885" s="5"/>
    </row>
    <row r="1886" spans="6:15" x14ac:dyDescent="0.3">
      <c r="F1886">
        <f>MONTH(Table1[[#This Row],[Date  (DMY)]])</f>
        <v>1</v>
      </c>
      <c r="G1886" s="2"/>
      <c r="L1886" s="5"/>
      <c r="M1886" s="4">
        <f>M1885-Table1[[#This Row],[Debits]]+Table1[[#This Row],[Income]]</f>
        <v>1900</v>
      </c>
      <c r="N1886" t="str">
        <f>IF(AND(Table1[[#This Row],[Category]]="pay",NOT(Table1[[#This Row],[Debits]]=0)),"bad","good")</f>
        <v>good</v>
      </c>
      <c r="O1886" s="5"/>
    </row>
    <row r="1887" spans="6:15" x14ac:dyDescent="0.3">
      <c r="F1887">
        <f>MONTH(Table1[[#This Row],[Date  (DMY)]])</f>
        <v>1</v>
      </c>
      <c r="G1887" s="2"/>
      <c r="L1887" s="5"/>
      <c r="M1887" s="4">
        <f>M1886-Table1[[#This Row],[Debits]]+Table1[[#This Row],[Income]]</f>
        <v>1900</v>
      </c>
      <c r="N1887" t="str">
        <f>IF(AND(Table1[[#This Row],[Category]]="pay",NOT(Table1[[#This Row],[Debits]]=0)),"bad","good")</f>
        <v>good</v>
      </c>
      <c r="O1887" s="5"/>
    </row>
    <row r="1888" spans="6:15" x14ac:dyDescent="0.3">
      <c r="F1888">
        <f>MONTH(Table1[[#This Row],[Date  (DMY)]])</f>
        <v>1</v>
      </c>
      <c r="G1888" s="2"/>
      <c r="L1888" s="5"/>
      <c r="M1888" s="4">
        <f>M1887-Table1[[#This Row],[Debits]]+Table1[[#This Row],[Income]]</f>
        <v>1900</v>
      </c>
      <c r="N1888" t="str">
        <f>IF(AND(Table1[[#This Row],[Category]]="pay",NOT(Table1[[#This Row],[Debits]]=0)),"bad","good")</f>
        <v>good</v>
      </c>
      <c r="O1888" s="5"/>
    </row>
    <row r="1889" spans="6:15" x14ac:dyDescent="0.3">
      <c r="F1889">
        <f>MONTH(Table1[[#This Row],[Date  (DMY)]])</f>
        <v>1</v>
      </c>
      <c r="G1889" s="2"/>
      <c r="L1889" s="5"/>
      <c r="M1889" s="4">
        <f>M1888-Table1[[#This Row],[Debits]]+Table1[[#This Row],[Income]]</f>
        <v>1900</v>
      </c>
      <c r="N1889" t="str">
        <f>IF(AND(Table1[[#This Row],[Category]]="pay",NOT(Table1[[#This Row],[Debits]]=0)),"bad","good")</f>
        <v>good</v>
      </c>
      <c r="O1889" s="5"/>
    </row>
    <row r="1890" spans="6:15" x14ac:dyDescent="0.3">
      <c r="F1890">
        <f>MONTH(Table1[[#This Row],[Date  (DMY)]])</f>
        <v>1</v>
      </c>
      <c r="G1890" s="2"/>
      <c r="L1890" s="5"/>
      <c r="M1890" s="4">
        <f>M1889-Table1[[#This Row],[Debits]]+Table1[[#This Row],[Income]]</f>
        <v>1900</v>
      </c>
      <c r="N1890" t="str">
        <f>IF(AND(Table1[[#This Row],[Category]]="pay",NOT(Table1[[#This Row],[Debits]]=0)),"bad","good")</f>
        <v>good</v>
      </c>
      <c r="O1890" s="5"/>
    </row>
    <row r="1891" spans="6:15" x14ac:dyDescent="0.3">
      <c r="F1891">
        <f>MONTH(Table1[[#This Row],[Date  (DMY)]])</f>
        <v>1</v>
      </c>
      <c r="G1891" s="2"/>
      <c r="L1891" s="5"/>
      <c r="M1891" s="4">
        <f>M1890-Table1[[#This Row],[Debits]]+Table1[[#This Row],[Income]]</f>
        <v>1900</v>
      </c>
      <c r="N1891" t="str">
        <f>IF(AND(Table1[[#This Row],[Category]]="pay",NOT(Table1[[#This Row],[Debits]]=0)),"bad","good")</f>
        <v>good</v>
      </c>
      <c r="O1891" s="5"/>
    </row>
    <row r="1892" spans="6:15" x14ac:dyDescent="0.3">
      <c r="F1892">
        <f>MONTH(Table1[[#This Row],[Date  (DMY)]])</f>
        <v>1</v>
      </c>
      <c r="G1892" s="2"/>
      <c r="L1892" s="5"/>
      <c r="M1892" s="4">
        <f>M1891-Table1[[#This Row],[Debits]]+Table1[[#This Row],[Income]]</f>
        <v>1900</v>
      </c>
      <c r="N1892" t="str">
        <f>IF(AND(Table1[[#This Row],[Category]]="pay",NOT(Table1[[#This Row],[Debits]]=0)),"bad","good")</f>
        <v>good</v>
      </c>
      <c r="O1892" s="5"/>
    </row>
    <row r="1893" spans="6:15" x14ac:dyDescent="0.3">
      <c r="F1893">
        <f>MONTH(Table1[[#This Row],[Date  (DMY)]])</f>
        <v>1</v>
      </c>
      <c r="G1893" s="2"/>
      <c r="L1893" s="5"/>
      <c r="M1893" s="4">
        <f>M1892-Table1[[#This Row],[Debits]]+Table1[[#This Row],[Income]]</f>
        <v>1900</v>
      </c>
      <c r="N1893" t="str">
        <f>IF(AND(Table1[[#This Row],[Category]]="pay",NOT(Table1[[#This Row],[Debits]]=0)),"bad","good")</f>
        <v>good</v>
      </c>
      <c r="O1893" s="5"/>
    </row>
    <row r="1894" spans="6:15" x14ac:dyDescent="0.3">
      <c r="F1894">
        <f>MONTH(Table1[[#This Row],[Date  (DMY)]])</f>
        <v>1</v>
      </c>
      <c r="G1894" s="2"/>
      <c r="L1894" s="5"/>
      <c r="M1894" s="4">
        <f>M1893-Table1[[#This Row],[Debits]]+Table1[[#This Row],[Income]]</f>
        <v>1900</v>
      </c>
      <c r="N1894" t="str">
        <f>IF(AND(Table1[[#This Row],[Category]]="pay",NOT(Table1[[#This Row],[Debits]]=0)),"bad","good")</f>
        <v>good</v>
      </c>
      <c r="O1894" s="5"/>
    </row>
    <row r="1895" spans="6:15" x14ac:dyDescent="0.3">
      <c r="F1895">
        <f>MONTH(Table1[[#This Row],[Date  (DMY)]])</f>
        <v>1</v>
      </c>
      <c r="G1895" s="2"/>
      <c r="L1895" s="5"/>
      <c r="M1895" s="4">
        <f>M1894-Table1[[#This Row],[Debits]]+Table1[[#This Row],[Income]]</f>
        <v>1900</v>
      </c>
      <c r="N1895" t="str">
        <f>IF(AND(Table1[[#This Row],[Category]]="pay",NOT(Table1[[#This Row],[Debits]]=0)),"bad","good")</f>
        <v>good</v>
      </c>
      <c r="O1895" s="5"/>
    </row>
    <row r="1896" spans="6:15" x14ac:dyDescent="0.3">
      <c r="F1896">
        <f>MONTH(Table1[[#This Row],[Date  (DMY)]])</f>
        <v>1</v>
      </c>
      <c r="G1896" s="2"/>
      <c r="L1896" s="5"/>
      <c r="M1896" s="4">
        <f>M1895-Table1[[#This Row],[Debits]]+Table1[[#This Row],[Income]]</f>
        <v>1900</v>
      </c>
      <c r="N1896" t="str">
        <f>IF(AND(Table1[[#This Row],[Category]]="pay",NOT(Table1[[#This Row],[Debits]]=0)),"bad","good")</f>
        <v>good</v>
      </c>
      <c r="O1896" s="5"/>
    </row>
    <row r="1897" spans="6:15" x14ac:dyDescent="0.3">
      <c r="F1897">
        <f>MONTH(Table1[[#This Row],[Date  (DMY)]])</f>
        <v>1</v>
      </c>
      <c r="G1897" s="2"/>
      <c r="L1897" s="5"/>
      <c r="M1897" s="4">
        <f>M1896-Table1[[#This Row],[Debits]]+Table1[[#This Row],[Income]]</f>
        <v>1900</v>
      </c>
      <c r="N1897" t="str">
        <f>IF(AND(Table1[[#This Row],[Category]]="pay",NOT(Table1[[#This Row],[Debits]]=0)),"bad","good")</f>
        <v>good</v>
      </c>
      <c r="O1897" s="5"/>
    </row>
    <row r="1898" spans="6:15" x14ac:dyDescent="0.3">
      <c r="F1898">
        <f>MONTH(Table1[[#This Row],[Date  (DMY)]])</f>
        <v>1</v>
      </c>
      <c r="G1898" s="2"/>
      <c r="L1898" s="5"/>
      <c r="M1898" s="4">
        <f>M1897-Table1[[#This Row],[Debits]]+Table1[[#This Row],[Income]]</f>
        <v>1900</v>
      </c>
      <c r="N1898" t="str">
        <f>IF(AND(Table1[[#This Row],[Category]]="pay",NOT(Table1[[#This Row],[Debits]]=0)),"bad","good")</f>
        <v>good</v>
      </c>
      <c r="O1898" s="5"/>
    </row>
    <row r="1899" spans="6:15" x14ac:dyDescent="0.3">
      <c r="F1899">
        <f>MONTH(Table1[[#This Row],[Date  (DMY)]])</f>
        <v>1</v>
      </c>
      <c r="G1899" s="2"/>
      <c r="L1899" s="5"/>
      <c r="M1899" s="4">
        <f>M1898-Table1[[#This Row],[Debits]]+Table1[[#This Row],[Income]]</f>
        <v>1900</v>
      </c>
      <c r="N1899" t="str">
        <f>IF(AND(Table1[[#This Row],[Category]]="pay",NOT(Table1[[#This Row],[Debits]]=0)),"bad","good")</f>
        <v>good</v>
      </c>
      <c r="O1899" s="5"/>
    </row>
    <row r="1900" spans="6:15" x14ac:dyDescent="0.3">
      <c r="F1900">
        <f>MONTH(Table1[[#This Row],[Date  (DMY)]])</f>
        <v>1</v>
      </c>
      <c r="G1900" s="2"/>
      <c r="L1900" s="5"/>
      <c r="M1900" s="4">
        <f>M1899-Table1[[#This Row],[Debits]]+Table1[[#This Row],[Income]]</f>
        <v>1900</v>
      </c>
      <c r="N1900" t="str">
        <f>IF(AND(Table1[[#This Row],[Category]]="pay",NOT(Table1[[#This Row],[Debits]]=0)),"bad","good")</f>
        <v>good</v>
      </c>
      <c r="O1900" s="5"/>
    </row>
    <row r="1901" spans="6:15" x14ac:dyDescent="0.3">
      <c r="F1901">
        <f>MONTH(Table1[[#This Row],[Date  (DMY)]])</f>
        <v>1</v>
      </c>
      <c r="G1901" s="2"/>
      <c r="L1901" s="5"/>
      <c r="M1901" s="4">
        <f>M1900-Table1[[#This Row],[Debits]]+Table1[[#This Row],[Income]]</f>
        <v>1900</v>
      </c>
      <c r="N1901" t="str">
        <f>IF(AND(Table1[[#This Row],[Category]]="pay",NOT(Table1[[#This Row],[Debits]]=0)),"bad","good")</f>
        <v>good</v>
      </c>
      <c r="O1901" s="5"/>
    </row>
    <row r="1902" spans="6:15" x14ac:dyDescent="0.3">
      <c r="F1902">
        <f>MONTH(Table1[[#This Row],[Date  (DMY)]])</f>
        <v>1</v>
      </c>
      <c r="G1902" s="2"/>
      <c r="L1902" s="5"/>
      <c r="M1902" s="4">
        <f>M1901-Table1[[#This Row],[Debits]]+Table1[[#This Row],[Income]]</f>
        <v>1900</v>
      </c>
      <c r="N1902" t="str">
        <f>IF(AND(Table1[[#This Row],[Category]]="pay",NOT(Table1[[#This Row],[Debits]]=0)),"bad","good")</f>
        <v>good</v>
      </c>
      <c r="O1902" s="5"/>
    </row>
    <row r="1903" spans="6:15" x14ac:dyDescent="0.3">
      <c r="F1903">
        <f>MONTH(Table1[[#This Row],[Date  (DMY)]])</f>
        <v>1</v>
      </c>
      <c r="G1903" s="2"/>
      <c r="L1903" s="5"/>
      <c r="M1903" s="4">
        <f>M1902-Table1[[#This Row],[Debits]]+Table1[[#This Row],[Income]]</f>
        <v>1900</v>
      </c>
      <c r="N1903" t="str">
        <f>IF(AND(Table1[[#This Row],[Category]]="pay",NOT(Table1[[#This Row],[Debits]]=0)),"bad","good")</f>
        <v>good</v>
      </c>
      <c r="O1903" s="5"/>
    </row>
    <row r="1904" spans="6:15" x14ac:dyDescent="0.3">
      <c r="F1904">
        <f>MONTH(Table1[[#This Row],[Date  (DMY)]])</f>
        <v>1</v>
      </c>
      <c r="G1904" s="2"/>
      <c r="L1904" s="5"/>
      <c r="M1904" s="4">
        <f>M1903-Table1[[#This Row],[Debits]]+Table1[[#This Row],[Income]]</f>
        <v>1900</v>
      </c>
      <c r="N1904" t="str">
        <f>IF(AND(Table1[[#This Row],[Category]]="pay",NOT(Table1[[#This Row],[Debits]]=0)),"bad","good")</f>
        <v>good</v>
      </c>
      <c r="O1904" s="5"/>
    </row>
    <row r="1905" spans="6:15" x14ac:dyDescent="0.3">
      <c r="F1905">
        <f>MONTH(Table1[[#This Row],[Date  (DMY)]])</f>
        <v>1</v>
      </c>
      <c r="G1905" s="2"/>
      <c r="L1905" s="5"/>
      <c r="M1905" s="4">
        <f>M1904-Table1[[#This Row],[Debits]]+Table1[[#This Row],[Income]]</f>
        <v>1900</v>
      </c>
      <c r="N1905" t="str">
        <f>IF(AND(Table1[[#This Row],[Category]]="pay",NOT(Table1[[#This Row],[Debits]]=0)),"bad","good")</f>
        <v>good</v>
      </c>
      <c r="O1905" s="5"/>
    </row>
    <row r="1906" spans="6:15" x14ac:dyDescent="0.3">
      <c r="F1906">
        <f>MONTH(Table1[[#This Row],[Date  (DMY)]])</f>
        <v>1</v>
      </c>
      <c r="G1906" s="2"/>
      <c r="L1906" s="5"/>
      <c r="M1906" s="4">
        <f>M1905-Table1[[#This Row],[Debits]]+Table1[[#This Row],[Income]]</f>
        <v>1900</v>
      </c>
      <c r="N1906" t="str">
        <f>IF(AND(Table1[[#This Row],[Category]]="pay",NOT(Table1[[#This Row],[Debits]]=0)),"bad","good")</f>
        <v>good</v>
      </c>
      <c r="O1906" s="5"/>
    </row>
    <row r="1907" spans="6:15" x14ac:dyDescent="0.3">
      <c r="F1907">
        <f>MONTH(Table1[[#This Row],[Date  (DMY)]])</f>
        <v>1</v>
      </c>
      <c r="G1907" s="2"/>
      <c r="L1907" s="5"/>
      <c r="M1907" s="4">
        <f>M1906-Table1[[#This Row],[Debits]]+Table1[[#This Row],[Income]]</f>
        <v>1900</v>
      </c>
      <c r="N1907" t="str">
        <f>IF(AND(Table1[[#This Row],[Category]]="pay",NOT(Table1[[#This Row],[Debits]]=0)),"bad","good")</f>
        <v>good</v>
      </c>
      <c r="O1907" s="5"/>
    </row>
    <row r="1908" spans="6:15" x14ac:dyDescent="0.3">
      <c r="F1908">
        <f>MONTH(Table1[[#This Row],[Date  (DMY)]])</f>
        <v>1</v>
      </c>
      <c r="G1908" s="2"/>
      <c r="L1908" s="5"/>
      <c r="M1908" s="4">
        <f>M1907-Table1[[#This Row],[Debits]]+Table1[[#This Row],[Income]]</f>
        <v>1900</v>
      </c>
      <c r="N1908" t="str">
        <f>IF(AND(Table1[[#This Row],[Category]]="pay",NOT(Table1[[#This Row],[Debits]]=0)),"bad","good")</f>
        <v>good</v>
      </c>
      <c r="O1908" s="5"/>
    </row>
    <row r="1909" spans="6:15" x14ac:dyDescent="0.3">
      <c r="F1909">
        <f>MONTH(Table1[[#This Row],[Date  (DMY)]])</f>
        <v>1</v>
      </c>
      <c r="G1909" s="2"/>
      <c r="L1909" s="5"/>
      <c r="M1909" s="4">
        <f>M1908-Table1[[#This Row],[Debits]]+Table1[[#This Row],[Income]]</f>
        <v>1900</v>
      </c>
      <c r="N1909" t="str">
        <f>IF(AND(Table1[[#This Row],[Category]]="pay",NOT(Table1[[#This Row],[Debits]]=0)),"bad","good")</f>
        <v>good</v>
      </c>
      <c r="O1909" s="5"/>
    </row>
    <row r="1910" spans="6:15" x14ac:dyDescent="0.3">
      <c r="F1910">
        <f>MONTH(Table1[[#This Row],[Date  (DMY)]])</f>
        <v>1</v>
      </c>
      <c r="G1910" s="2"/>
      <c r="L1910" s="5"/>
      <c r="M1910" s="4">
        <f>M1909-Table1[[#This Row],[Debits]]+Table1[[#This Row],[Income]]</f>
        <v>1900</v>
      </c>
      <c r="N1910" t="str">
        <f>IF(AND(Table1[[#This Row],[Category]]="pay",NOT(Table1[[#This Row],[Debits]]=0)),"bad","good")</f>
        <v>good</v>
      </c>
      <c r="O1910" s="5"/>
    </row>
    <row r="1911" spans="6:15" x14ac:dyDescent="0.3">
      <c r="F1911">
        <f>MONTH(Table1[[#This Row],[Date  (DMY)]])</f>
        <v>1</v>
      </c>
      <c r="G1911" s="2"/>
      <c r="L1911" s="5"/>
      <c r="M1911" s="4">
        <f>M1910-Table1[[#This Row],[Debits]]+Table1[[#This Row],[Income]]</f>
        <v>1900</v>
      </c>
      <c r="N1911" t="str">
        <f>IF(AND(Table1[[#This Row],[Category]]="pay",NOT(Table1[[#This Row],[Debits]]=0)),"bad","good")</f>
        <v>good</v>
      </c>
      <c r="O1911" s="5"/>
    </row>
    <row r="1912" spans="6:15" x14ac:dyDescent="0.3">
      <c r="F1912">
        <f>MONTH(Table1[[#This Row],[Date  (DMY)]])</f>
        <v>1</v>
      </c>
      <c r="G1912" s="2"/>
      <c r="L1912" s="5"/>
      <c r="M1912" s="4">
        <f>M1911-Table1[[#This Row],[Debits]]+Table1[[#This Row],[Income]]</f>
        <v>1900</v>
      </c>
      <c r="N1912" t="str">
        <f>IF(AND(Table1[[#This Row],[Category]]="pay",NOT(Table1[[#This Row],[Debits]]=0)),"bad","good")</f>
        <v>good</v>
      </c>
      <c r="O1912" s="5"/>
    </row>
    <row r="1913" spans="6:15" x14ac:dyDescent="0.3">
      <c r="F1913">
        <f>MONTH(Table1[[#This Row],[Date  (DMY)]])</f>
        <v>1</v>
      </c>
      <c r="G1913" s="2"/>
      <c r="L1913" s="5"/>
      <c r="M1913" s="4">
        <f>M1912-Table1[[#This Row],[Debits]]+Table1[[#This Row],[Income]]</f>
        <v>1900</v>
      </c>
      <c r="N1913" t="str">
        <f>IF(AND(Table1[[#This Row],[Category]]="pay",NOT(Table1[[#This Row],[Debits]]=0)),"bad","good")</f>
        <v>good</v>
      </c>
      <c r="O1913" s="5"/>
    </row>
    <row r="1914" spans="6:15" x14ac:dyDescent="0.3">
      <c r="F1914">
        <f>MONTH(Table1[[#This Row],[Date  (DMY)]])</f>
        <v>1</v>
      </c>
      <c r="G1914" s="2"/>
      <c r="L1914" s="5"/>
      <c r="M1914" s="4">
        <f>M1913-Table1[[#This Row],[Debits]]+Table1[[#This Row],[Income]]</f>
        <v>1900</v>
      </c>
      <c r="N1914" t="str">
        <f>IF(AND(Table1[[#This Row],[Category]]="pay",NOT(Table1[[#This Row],[Debits]]=0)),"bad","good")</f>
        <v>good</v>
      </c>
      <c r="O1914" s="5"/>
    </row>
    <row r="1915" spans="6:15" x14ac:dyDescent="0.3">
      <c r="F1915">
        <f>MONTH(Table1[[#This Row],[Date  (DMY)]])</f>
        <v>1</v>
      </c>
      <c r="G1915" s="2"/>
      <c r="L1915" s="5"/>
      <c r="M1915" s="4">
        <f>M1914-Table1[[#This Row],[Debits]]+Table1[[#This Row],[Income]]</f>
        <v>1900</v>
      </c>
      <c r="N1915" t="str">
        <f>IF(AND(Table1[[#This Row],[Category]]="pay",NOT(Table1[[#This Row],[Debits]]=0)),"bad","good")</f>
        <v>good</v>
      </c>
      <c r="O1915" s="5"/>
    </row>
    <row r="1916" spans="6:15" x14ac:dyDescent="0.3">
      <c r="F1916">
        <f>MONTH(Table1[[#This Row],[Date  (DMY)]])</f>
        <v>1</v>
      </c>
      <c r="G1916" s="2"/>
      <c r="L1916" s="5"/>
      <c r="M1916" s="4">
        <f>M1915-Table1[[#This Row],[Debits]]+Table1[[#This Row],[Income]]</f>
        <v>1900</v>
      </c>
      <c r="N1916" t="str">
        <f>IF(AND(Table1[[#This Row],[Category]]="pay",NOT(Table1[[#This Row],[Debits]]=0)),"bad","good")</f>
        <v>good</v>
      </c>
      <c r="O1916" s="5"/>
    </row>
    <row r="1917" spans="6:15" x14ac:dyDescent="0.3">
      <c r="F1917">
        <f>MONTH(Table1[[#This Row],[Date  (DMY)]])</f>
        <v>1</v>
      </c>
      <c r="G1917" s="2"/>
      <c r="L1917" s="5"/>
      <c r="M1917" s="4">
        <f>M1916-Table1[[#This Row],[Debits]]+Table1[[#This Row],[Income]]</f>
        <v>1900</v>
      </c>
      <c r="N1917" t="str">
        <f>IF(AND(Table1[[#This Row],[Category]]="pay",NOT(Table1[[#This Row],[Debits]]=0)),"bad","good")</f>
        <v>good</v>
      </c>
      <c r="O1917" s="5"/>
    </row>
    <row r="1918" spans="6:15" x14ac:dyDescent="0.3">
      <c r="F1918">
        <f>MONTH(Table1[[#This Row],[Date  (DMY)]])</f>
        <v>1</v>
      </c>
      <c r="G1918" s="2"/>
      <c r="L1918" s="5"/>
      <c r="M1918" s="4">
        <f>M1917-Table1[[#This Row],[Debits]]+Table1[[#This Row],[Income]]</f>
        <v>1900</v>
      </c>
      <c r="N1918" t="str">
        <f>IF(AND(Table1[[#This Row],[Category]]="pay",NOT(Table1[[#This Row],[Debits]]=0)),"bad","good")</f>
        <v>good</v>
      </c>
      <c r="O1918" s="5"/>
    </row>
    <row r="1919" spans="6:15" x14ac:dyDescent="0.3">
      <c r="F1919">
        <f>MONTH(Table1[[#This Row],[Date  (DMY)]])</f>
        <v>1</v>
      </c>
      <c r="G1919" s="2"/>
      <c r="L1919" s="5"/>
      <c r="M1919" s="4">
        <f>M1918-Table1[[#This Row],[Debits]]+Table1[[#This Row],[Income]]</f>
        <v>1900</v>
      </c>
      <c r="N1919" t="str">
        <f>IF(AND(Table1[[#This Row],[Category]]="pay",NOT(Table1[[#This Row],[Debits]]=0)),"bad","good")</f>
        <v>good</v>
      </c>
      <c r="O1919" s="5"/>
    </row>
    <row r="1920" spans="6:15" x14ac:dyDescent="0.3">
      <c r="F1920">
        <f>MONTH(Table1[[#This Row],[Date  (DMY)]])</f>
        <v>1</v>
      </c>
      <c r="G1920" s="2"/>
      <c r="L1920" s="5"/>
      <c r="M1920" s="4">
        <f>M1919-Table1[[#This Row],[Debits]]+Table1[[#This Row],[Income]]</f>
        <v>1900</v>
      </c>
      <c r="N1920" t="str">
        <f>IF(AND(Table1[[#This Row],[Category]]="pay",NOT(Table1[[#This Row],[Debits]]=0)),"bad","good")</f>
        <v>good</v>
      </c>
      <c r="O1920" s="5"/>
    </row>
    <row r="1921" spans="6:15" x14ac:dyDescent="0.3">
      <c r="F1921">
        <f>MONTH(Table1[[#This Row],[Date  (DMY)]])</f>
        <v>1</v>
      </c>
      <c r="G1921" s="2"/>
      <c r="L1921" s="5"/>
      <c r="M1921" s="4">
        <f>M1920-Table1[[#This Row],[Debits]]+Table1[[#This Row],[Income]]</f>
        <v>1900</v>
      </c>
      <c r="N1921" t="str">
        <f>IF(AND(Table1[[#This Row],[Category]]="pay",NOT(Table1[[#This Row],[Debits]]=0)),"bad","good")</f>
        <v>good</v>
      </c>
      <c r="O1921" s="5"/>
    </row>
    <row r="1922" spans="6:15" x14ac:dyDescent="0.3">
      <c r="F1922">
        <f>MONTH(Table1[[#This Row],[Date  (DMY)]])</f>
        <v>1</v>
      </c>
      <c r="G1922" s="2"/>
      <c r="L1922" s="5"/>
      <c r="M1922" s="4">
        <f>M1921-Table1[[#This Row],[Debits]]+Table1[[#This Row],[Income]]</f>
        <v>1900</v>
      </c>
      <c r="N1922" t="str">
        <f>IF(AND(Table1[[#This Row],[Category]]="pay",NOT(Table1[[#This Row],[Debits]]=0)),"bad","good")</f>
        <v>good</v>
      </c>
      <c r="O1922" s="5"/>
    </row>
    <row r="1923" spans="6:15" x14ac:dyDescent="0.3">
      <c r="F1923">
        <f>MONTH(Table1[[#This Row],[Date  (DMY)]])</f>
        <v>1</v>
      </c>
      <c r="G1923" s="2"/>
      <c r="L1923" s="5"/>
      <c r="M1923" s="4">
        <f>M1922-Table1[[#This Row],[Debits]]+Table1[[#This Row],[Income]]</f>
        <v>1900</v>
      </c>
      <c r="N1923" t="str">
        <f>IF(AND(Table1[[#This Row],[Category]]="pay",NOT(Table1[[#This Row],[Debits]]=0)),"bad","good")</f>
        <v>good</v>
      </c>
      <c r="O1923" s="5"/>
    </row>
    <row r="1924" spans="6:15" x14ac:dyDescent="0.3">
      <c r="F1924">
        <f>MONTH(Table1[[#This Row],[Date  (DMY)]])</f>
        <v>1</v>
      </c>
      <c r="G1924" s="2"/>
      <c r="L1924" s="5"/>
      <c r="M1924" s="4">
        <f>M1923-Table1[[#This Row],[Debits]]+Table1[[#This Row],[Income]]</f>
        <v>1900</v>
      </c>
      <c r="N1924" t="str">
        <f>IF(AND(Table1[[#This Row],[Category]]="pay",NOT(Table1[[#This Row],[Debits]]=0)),"bad","good")</f>
        <v>good</v>
      </c>
      <c r="O1924" s="5"/>
    </row>
    <row r="1925" spans="6:15" x14ac:dyDescent="0.3">
      <c r="F1925">
        <f>MONTH(Table1[[#This Row],[Date  (DMY)]])</f>
        <v>1</v>
      </c>
      <c r="G1925" s="2"/>
      <c r="L1925" s="5"/>
      <c r="M1925" s="4">
        <f>M1924-Table1[[#This Row],[Debits]]+Table1[[#This Row],[Income]]</f>
        <v>1900</v>
      </c>
      <c r="N1925" t="str">
        <f>IF(AND(Table1[[#This Row],[Category]]="pay",NOT(Table1[[#This Row],[Debits]]=0)),"bad","good")</f>
        <v>good</v>
      </c>
      <c r="O1925" s="5"/>
    </row>
    <row r="1926" spans="6:15" x14ac:dyDescent="0.3">
      <c r="F1926">
        <f>MONTH(Table1[[#This Row],[Date  (DMY)]])</f>
        <v>1</v>
      </c>
      <c r="G1926" s="2"/>
      <c r="L1926" s="5"/>
      <c r="M1926" s="4">
        <f>M1925-Table1[[#This Row],[Debits]]+Table1[[#This Row],[Income]]</f>
        <v>1900</v>
      </c>
      <c r="N1926" t="str">
        <f>IF(AND(Table1[[#This Row],[Category]]="pay",NOT(Table1[[#This Row],[Debits]]=0)),"bad","good")</f>
        <v>good</v>
      </c>
      <c r="O1926" s="5"/>
    </row>
    <row r="1927" spans="6:15" x14ac:dyDescent="0.3">
      <c r="F1927">
        <f>MONTH(Table1[[#This Row],[Date  (DMY)]])</f>
        <v>1</v>
      </c>
      <c r="G1927" s="2"/>
      <c r="L1927" s="5"/>
      <c r="M1927" s="4">
        <f>M1926-Table1[[#This Row],[Debits]]+Table1[[#This Row],[Income]]</f>
        <v>1900</v>
      </c>
      <c r="N1927" t="str">
        <f>IF(AND(Table1[[#This Row],[Category]]="pay",NOT(Table1[[#This Row],[Debits]]=0)),"bad","good")</f>
        <v>good</v>
      </c>
      <c r="O1927" s="5"/>
    </row>
    <row r="1928" spans="6:15" x14ac:dyDescent="0.3">
      <c r="F1928">
        <f>MONTH(Table1[[#This Row],[Date  (DMY)]])</f>
        <v>1</v>
      </c>
      <c r="G1928" s="2"/>
      <c r="L1928" s="5"/>
      <c r="M1928" s="4">
        <f>M1927-Table1[[#This Row],[Debits]]+Table1[[#This Row],[Income]]</f>
        <v>1900</v>
      </c>
      <c r="N1928" t="str">
        <f>IF(AND(Table1[[#This Row],[Category]]="pay",NOT(Table1[[#This Row],[Debits]]=0)),"bad","good")</f>
        <v>good</v>
      </c>
      <c r="O1928" s="5"/>
    </row>
    <row r="1929" spans="6:15" x14ac:dyDescent="0.3">
      <c r="F1929">
        <f>MONTH(Table1[[#This Row],[Date  (DMY)]])</f>
        <v>1</v>
      </c>
      <c r="G1929" s="2"/>
      <c r="L1929" s="5"/>
      <c r="M1929" s="4">
        <f>M1928-Table1[[#This Row],[Debits]]+Table1[[#This Row],[Income]]</f>
        <v>1900</v>
      </c>
      <c r="N1929" t="str">
        <f>IF(AND(Table1[[#This Row],[Category]]="pay",NOT(Table1[[#This Row],[Debits]]=0)),"bad","good")</f>
        <v>good</v>
      </c>
      <c r="O1929" s="5"/>
    </row>
    <row r="1930" spans="6:15" x14ac:dyDescent="0.3">
      <c r="F1930">
        <f>MONTH(Table1[[#This Row],[Date  (DMY)]])</f>
        <v>1</v>
      </c>
      <c r="G1930" s="2"/>
      <c r="L1930" s="5"/>
      <c r="M1930" s="4">
        <f>M1929-Table1[[#This Row],[Debits]]+Table1[[#This Row],[Income]]</f>
        <v>1900</v>
      </c>
      <c r="N1930" t="str">
        <f>IF(AND(Table1[[#This Row],[Category]]="pay",NOT(Table1[[#This Row],[Debits]]=0)),"bad","good")</f>
        <v>good</v>
      </c>
      <c r="O1930" s="5"/>
    </row>
    <row r="1931" spans="6:15" x14ac:dyDescent="0.3">
      <c r="F1931">
        <f>MONTH(Table1[[#This Row],[Date  (DMY)]])</f>
        <v>1</v>
      </c>
      <c r="G1931" s="2"/>
      <c r="L1931" s="5"/>
      <c r="M1931" s="4">
        <f>M1930-Table1[[#This Row],[Debits]]+Table1[[#This Row],[Income]]</f>
        <v>1900</v>
      </c>
      <c r="N1931" t="str">
        <f>IF(AND(Table1[[#This Row],[Category]]="pay",NOT(Table1[[#This Row],[Debits]]=0)),"bad","good")</f>
        <v>good</v>
      </c>
      <c r="O1931" s="5"/>
    </row>
    <row r="1932" spans="6:15" x14ac:dyDescent="0.3">
      <c r="F1932">
        <f>MONTH(Table1[[#This Row],[Date  (DMY)]])</f>
        <v>1</v>
      </c>
      <c r="G1932" s="2"/>
      <c r="L1932" s="5"/>
      <c r="M1932" s="4">
        <f>M1931-Table1[[#This Row],[Debits]]+Table1[[#This Row],[Income]]</f>
        <v>1900</v>
      </c>
      <c r="N1932" t="str">
        <f>IF(AND(Table1[[#This Row],[Category]]="pay",NOT(Table1[[#This Row],[Debits]]=0)),"bad","good")</f>
        <v>good</v>
      </c>
      <c r="O1932" s="5"/>
    </row>
    <row r="1933" spans="6:15" x14ac:dyDescent="0.3">
      <c r="F1933">
        <f>MONTH(Table1[[#This Row],[Date  (DMY)]])</f>
        <v>1</v>
      </c>
      <c r="G1933" s="2"/>
      <c r="L1933" s="5"/>
      <c r="M1933" s="4">
        <f>M1932-Table1[[#This Row],[Debits]]+Table1[[#This Row],[Income]]</f>
        <v>1900</v>
      </c>
      <c r="N1933" t="str">
        <f>IF(AND(Table1[[#This Row],[Category]]="pay",NOT(Table1[[#This Row],[Debits]]=0)),"bad","good")</f>
        <v>good</v>
      </c>
      <c r="O1933" s="5"/>
    </row>
    <row r="1934" spans="6:15" x14ac:dyDescent="0.3">
      <c r="F1934">
        <f>MONTH(Table1[[#This Row],[Date  (DMY)]])</f>
        <v>1</v>
      </c>
      <c r="G1934" s="2"/>
      <c r="L1934" s="5"/>
      <c r="M1934" s="4">
        <f>M1933-Table1[[#This Row],[Debits]]+Table1[[#This Row],[Income]]</f>
        <v>1900</v>
      </c>
      <c r="N1934" t="str">
        <f>IF(AND(Table1[[#This Row],[Category]]="pay",NOT(Table1[[#This Row],[Debits]]=0)),"bad","good")</f>
        <v>good</v>
      </c>
      <c r="O1934" s="5"/>
    </row>
    <row r="1935" spans="6:15" x14ac:dyDescent="0.3">
      <c r="F1935">
        <f>MONTH(Table1[[#This Row],[Date  (DMY)]])</f>
        <v>1</v>
      </c>
      <c r="G1935" s="2"/>
      <c r="L1935" s="5"/>
      <c r="M1935" s="4">
        <f>M1934-Table1[[#This Row],[Debits]]+Table1[[#This Row],[Income]]</f>
        <v>1900</v>
      </c>
      <c r="N1935" t="str">
        <f>IF(AND(Table1[[#This Row],[Category]]="pay",NOT(Table1[[#This Row],[Debits]]=0)),"bad","good")</f>
        <v>good</v>
      </c>
      <c r="O1935" s="5"/>
    </row>
    <row r="1936" spans="6:15" x14ac:dyDescent="0.3">
      <c r="F1936">
        <f>MONTH(Table1[[#This Row],[Date  (DMY)]])</f>
        <v>1</v>
      </c>
      <c r="G1936" s="2"/>
      <c r="L1936" s="5"/>
      <c r="M1936" s="4">
        <f>M1935-Table1[[#This Row],[Debits]]+Table1[[#This Row],[Income]]</f>
        <v>1900</v>
      </c>
      <c r="N1936" t="str">
        <f>IF(AND(Table1[[#This Row],[Category]]="pay",NOT(Table1[[#This Row],[Debits]]=0)),"bad","good")</f>
        <v>good</v>
      </c>
      <c r="O1936" s="5"/>
    </row>
    <row r="1937" spans="6:15" x14ac:dyDescent="0.3">
      <c r="F1937">
        <f>MONTH(Table1[[#This Row],[Date  (DMY)]])</f>
        <v>1</v>
      </c>
      <c r="G1937" s="2"/>
      <c r="L1937" s="5"/>
      <c r="M1937" s="4">
        <f>M1936-Table1[[#This Row],[Debits]]+Table1[[#This Row],[Income]]</f>
        <v>1900</v>
      </c>
      <c r="N1937" t="str">
        <f>IF(AND(Table1[[#This Row],[Category]]="pay",NOT(Table1[[#This Row],[Debits]]=0)),"bad","good")</f>
        <v>good</v>
      </c>
      <c r="O1937" s="5"/>
    </row>
    <row r="1938" spans="6:15" x14ac:dyDescent="0.3">
      <c r="F1938">
        <f>MONTH(Table1[[#This Row],[Date  (DMY)]])</f>
        <v>1</v>
      </c>
      <c r="G1938" s="2"/>
      <c r="L1938" s="5"/>
      <c r="M1938" s="4">
        <f>M1937-Table1[[#This Row],[Debits]]+Table1[[#This Row],[Income]]</f>
        <v>1900</v>
      </c>
      <c r="N1938" t="str">
        <f>IF(AND(Table1[[#This Row],[Category]]="pay",NOT(Table1[[#This Row],[Debits]]=0)),"bad","good")</f>
        <v>good</v>
      </c>
      <c r="O1938" s="5"/>
    </row>
    <row r="1939" spans="6:15" x14ac:dyDescent="0.3">
      <c r="F1939">
        <f>MONTH(Table1[[#This Row],[Date  (DMY)]])</f>
        <v>1</v>
      </c>
      <c r="G1939" s="2"/>
      <c r="L1939" s="5"/>
      <c r="M1939" s="4">
        <f>M1938-Table1[[#This Row],[Debits]]+Table1[[#This Row],[Income]]</f>
        <v>1900</v>
      </c>
      <c r="N1939" t="str">
        <f>IF(AND(Table1[[#This Row],[Category]]="pay",NOT(Table1[[#This Row],[Debits]]=0)),"bad","good")</f>
        <v>good</v>
      </c>
      <c r="O1939" s="5"/>
    </row>
    <row r="1940" spans="6:15" x14ac:dyDescent="0.3">
      <c r="F1940">
        <f>MONTH(Table1[[#This Row],[Date  (DMY)]])</f>
        <v>1</v>
      </c>
      <c r="G1940" s="2"/>
      <c r="L1940" s="5"/>
      <c r="M1940" s="4">
        <f>M1939-Table1[[#This Row],[Debits]]+Table1[[#This Row],[Income]]</f>
        <v>1900</v>
      </c>
      <c r="N1940" t="str">
        <f>IF(AND(Table1[[#This Row],[Category]]="pay",NOT(Table1[[#This Row],[Debits]]=0)),"bad","good")</f>
        <v>good</v>
      </c>
      <c r="O1940" s="5"/>
    </row>
    <row r="1941" spans="6:15" x14ac:dyDescent="0.3">
      <c r="F1941">
        <f>MONTH(Table1[[#This Row],[Date  (DMY)]])</f>
        <v>1</v>
      </c>
      <c r="G1941" s="2"/>
      <c r="L1941" s="5"/>
      <c r="M1941" s="4">
        <f>M1940-Table1[[#This Row],[Debits]]+Table1[[#This Row],[Income]]</f>
        <v>1900</v>
      </c>
      <c r="N1941" t="str">
        <f>IF(AND(Table1[[#This Row],[Category]]="pay",NOT(Table1[[#This Row],[Debits]]=0)),"bad","good")</f>
        <v>good</v>
      </c>
      <c r="O1941" s="5"/>
    </row>
    <row r="1942" spans="6:15" x14ac:dyDescent="0.3">
      <c r="F1942">
        <f>MONTH(Table1[[#This Row],[Date  (DMY)]])</f>
        <v>1</v>
      </c>
      <c r="G1942" s="2"/>
      <c r="L1942" s="5"/>
      <c r="M1942" s="4">
        <f>M1941-Table1[[#This Row],[Debits]]+Table1[[#This Row],[Income]]</f>
        <v>1900</v>
      </c>
      <c r="N1942" t="str">
        <f>IF(AND(Table1[[#This Row],[Category]]="pay",NOT(Table1[[#This Row],[Debits]]=0)),"bad","good")</f>
        <v>good</v>
      </c>
      <c r="O1942" s="5"/>
    </row>
    <row r="1943" spans="6:15" x14ac:dyDescent="0.3">
      <c r="F1943">
        <f>MONTH(Table1[[#This Row],[Date  (DMY)]])</f>
        <v>1</v>
      </c>
      <c r="G1943" s="2"/>
      <c r="L1943" s="5"/>
      <c r="M1943" s="4">
        <f>M1942-Table1[[#This Row],[Debits]]+Table1[[#This Row],[Income]]</f>
        <v>1900</v>
      </c>
      <c r="N1943" t="str">
        <f>IF(AND(Table1[[#This Row],[Category]]="pay",NOT(Table1[[#This Row],[Debits]]=0)),"bad","good")</f>
        <v>good</v>
      </c>
      <c r="O1943" s="5"/>
    </row>
    <row r="1944" spans="6:15" x14ac:dyDescent="0.3">
      <c r="F1944">
        <f>MONTH(Table1[[#This Row],[Date  (DMY)]])</f>
        <v>1</v>
      </c>
      <c r="G1944" s="2"/>
      <c r="L1944" s="5"/>
      <c r="M1944" s="4">
        <f>M1943-Table1[[#This Row],[Debits]]+Table1[[#This Row],[Income]]</f>
        <v>1900</v>
      </c>
      <c r="N1944" t="str">
        <f>IF(AND(Table1[[#This Row],[Category]]="pay",NOT(Table1[[#This Row],[Debits]]=0)),"bad","good")</f>
        <v>good</v>
      </c>
      <c r="O1944" s="5"/>
    </row>
    <row r="1945" spans="6:15" x14ac:dyDescent="0.3">
      <c r="F1945">
        <f>MONTH(Table1[[#This Row],[Date  (DMY)]])</f>
        <v>1</v>
      </c>
      <c r="G1945" s="2"/>
      <c r="L1945" s="5"/>
      <c r="M1945" s="4">
        <f>M1944-Table1[[#This Row],[Debits]]+Table1[[#This Row],[Income]]</f>
        <v>1900</v>
      </c>
      <c r="N1945" t="str">
        <f>IF(AND(Table1[[#This Row],[Category]]="pay",NOT(Table1[[#This Row],[Debits]]=0)),"bad","good")</f>
        <v>good</v>
      </c>
      <c r="O1945" s="5"/>
    </row>
    <row r="1946" spans="6:15" x14ac:dyDescent="0.3">
      <c r="F1946">
        <f>MONTH(Table1[[#This Row],[Date  (DMY)]])</f>
        <v>1</v>
      </c>
      <c r="G1946" s="2"/>
      <c r="L1946" s="5"/>
      <c r="M1946" s="4">
        <f>M1945-Table1[[#This Row],[Debits]]+Table1[[#This Row],[Income]]</f>
        <v>1900</v>
      </c>
      <c r="N1946" t="str">
        <f>IF(AND(Table1[[#This Row],[Category]]="pay",NOT(Table1[[#This Row],[Debits]]=0)),"bad","good")</f>
        <v>good</v>
      </c>
      <c r="O1946" s="5"/>
    </row>
    <row r="1947" spans="6:15" x14ac:dyDescent="0.3">
      <c r="F1947">
        <f>MONTH(Table1[[#This Row],[Date  (DMY)]])</f>
        <v>1</v>
      </c>
      <c r="G1947" s="2"/>
      <c r="L1947" s="5"/>
      <c r="M1947" s="4">
        <f>M1946-Table1[[#This Row],[Debits]]+Table1[[#This Row],[Income]]</f>
        <v>1900</v>
      </c>
      <c r="N1947" t="str">
        <f>IF(AND(Table1[[#This Row],[Category]]="pay",NOT(Table1[[#This Row],[Debits]]=0)),"bad","good")</f>
        <v>good</v>
      </c>
      <c r="O1947" s="5"/>
    </row>
    <row r="1948" spans="6:15" x14ac:dyDescent="0.3">
      <c r="F1948">
        <f>MONTH(Table1[[#This Row],[Date  (DMY)]])</f>
        <v>1</v>
      </c>
      <c r="G1948" s="2"/>
      <c r="L1948" s="5"/>
      <c r="M1948" s="4">
        <f>M1947-Table1[[#This Row],[Debits]]+Table1[[#This Row],[Income]]</f>
        <v>1900</v>
      </c>
      <c r="N1948" t="str">
        <f>IF(AND(Table1[[#This Row],[Category]]="pay",NOT(Table1[[#This Row],[Debits]]=0)),"bad","good")</f>
        <v>good</v>
      </c>
      <c r="O1948" s="5"/>
    </row>
    <row r="1949" spans="6:15" x14ac:dyDescent="0.3">
      <c r="F1949">
        <f>MONTH(Table1[[#This Row],[Date  (DMY)]])</f>
        <v>1</v>
      </c>
      <c r="G1949" s="2"/>
      <c r="L1949" s="5"/>
      <c r="M1949" s="4">
        <f>M1948-Table1[[#This Row],[Debits]]+Table1[[#This Row],[Income]]</f>
        <v>1900</v>
      </c>
      <c r="N1949" t="str">
        <f>IF(AND(Table1[[#This Row],[Category]]="pay",NOT(Table1[[#This Row],[Debits]]=0)),"bad","good")</f>
        <v>good</v>
      </c>
      <c r="O1949" s="5"/>
    </row>
    <row r="1950" spans="6:15" x14ac:dyDescent="0.3">
      <c r="F1950">
        <f>MONTH(Table1[[#This Row],[Date  (DMY)]])</f>
        <v>1</v>
      </c>
      <c r="G1950" s="2"/>
      <c r="L1950" s="5"/>
      <c r="M1950" s="4">
        <f>M1949-Table1[[#This Row],[Debits]]+Table1[[#This Row],[Income]]</f>
        <v>1900</v>
      </c>
      <c r="N1950" t="str">
        <f>IF(AND(Table1[[#This Row],[Category]]="pay",NOT(Table1[[#This Row],[Debits]]=0)),"bad","good")</f>
        <v>good</v>
      </c>
      <c r="O1950" s="5"/>
    </row>
    <row r="1951" spans="6:15" x14ac:dyDescent="0.3">
      <c r="F1951">
        <f>MONTH(Table1[[#This Row],[Date  (DMY)]])</f>
        <v>1</v>
      </c>
      <c r="G1951" s="2"/>
      <c r="L1951" s="5"/>
      <c r="M1951" s="4">
        <f>M1950-Table1[[#This Row],[Debits]]+Table1[[#This Row],[Income]]</f>
        <v>1900</v>
      </c>
      <c r="N1951" t="str">
        <f>IF(AND(Table1[[#This Row],[Category]]="pay",NOT(Table1[[#This Row],[Debits]]=0)),"bad","good")</f>
        <v>good</v>
      </c>
      <c r="O1951" s="5"/>
    </row>
    <row r="1952" spans="6:15" x14ac:dyDescent="0.3">
      <c r="F1952">
        <f>MONTH(Table1[[#This Row],[Date  (DMY)]])</f>
        <v>1</v>
      </c>
      <c r="G1952" s="2"/>
      <c r="L1952" s="5"/>
      <c r="M1952" s="4">
        <f>M1951-Table1[[#This Row],[Debits]]+Table1[[#This Row],[Income]]</f>
        <v>1900</v>
      </c>
      <c r="N1952" t="str">
        <f>IF(AND(Table1[[#This Row],[Category]]="pay",NOT(Table1[[#This Row],[Debits]]=0)),"bad","good")</f>
        <v>good</v>
      </c>
      <c r="O1952" s="5"/>
    </row>
    <row r="1953" spans="6:15" x14ac:dyDescent="0.3">
      <c r="F1953">
        <f>MONTH(Table1[[#This Row],[Date  (DMY)]])</f>
        <v>1</v>
      </c>
      <c r="G1953" s="2"/>
      <c r="L1953" s="5"/>
      <c r="M1953" s="4">
        <f>M1952-Table1[[#This Row],[Debits]]+Table1[[#This Row],[Income]]</f>
        <v>1900</v>
      </c>
      <c r="N1953" t="str">
        <f>IF(AND(Table1[[#This Row],[Category]]="pay",NOT(Table1[[#This Row],[Debits]]=0)),"bad","good")</f>
        <v>good</v>
      </c>
      <c r="O1953" s="5"/>
    </row>
    <row r="1954" spans="6:15" x14ac:dyDescent="0.3">
      <c r="F1954">
        <f>MONTH(Table1[[#This Row],[Date  (DMY)]])</f>
        <v>1</v>
      </c>
      <c r="G1954" s="2"/>
      <c r="L1954" s="5"/>
      <c r="M1954" s="4">
        <f>M1953-Table1[[#This Row],[Debits]]+Table1[[#This Row],[Income]]</f>
        <v>1900</v>
      </c>
      <c r="N1954" t="str">
        <f>IF(AND(Table1[[#This Row],[Category]]="pay",NOT(Table1[[#This Row],[Debits]]=0)),"bad","good")</f>
        <v>good</v>
      </c>
      <c r="O1954" s="5"/>
    </row>
    <row r="1955" spans="6:15" x14ac:dyDescent="0.3">
      <c r="F1955">
        <f>MONTH(Table1[[#This Row],[Date  (DMY)]])</f>
        <v>1</v>
      </c>
      <c r="G1955" s="2"/>
      <c r="L1955" s="5"/>
      <c r="M1955" s="4">
        <f>M1954-Table1[[#This Row],[Debits]]+Table1[[#This Row],[Income]]</f>
        <v>1900</v>
      </c>
      <c r="N1955" t="str">
        <f>IF(AND(Table1[[#This Row],[Category]]="pay",NOT(Table1[[#This Row],[Debits]]=0)),"bad","good")</f>
        <v>good</v>
      </c>
      <c r="O1955" s="5"/>
    </row>
    <row r="1956" spans="6:15" x14ac:dyDescent="0.3">
      <c r="F1956">
        <f>MONTH(Table1[[#This Row],[Date  (DMY)]])</f>
        <v>1</v>
      </c>
      <c r="G1956" s="2"/>
      <c r="L1956" s="5"/>
      <c r="M1956" s="4">
        <f>M1955-Table1[[#This Row],[Debits]]+Table1[[#This Row],[Income]]</f>
        <v>1900</v>
      </c>
      <c r="N1956" t="str">
        <f>IF(AND(Table1[[#This Row],[Category]]="pay",NOT(Table1[[#This Row],[Debits]]=0)),"bad","good")</f>
        <v>good</v>
      </c>
      <c r="O1956" s="5"/>
    </row>
    <row r="1957" spans="6:15" x14ac:dyDescent="0.3">
      <c r="F1957">
        <f>MONTH(Table1[[#This Row],[Date  (DMY)]])</f>
        <v>1</v>
      </c>
      <c r="G1957" s="2"/>
      <c r="L1957" s="5"/>
      <c r="M1957" s="4">
        <f>M1956-Table1[[#This Row],[Debits]]+Table1[[#This Row],[Income]]</f>
        <v>1900</v>
      </c>
      <c r="N1957" t="str">
        <f>IF(AND(Table1[[#This Row],[Category]]="pay",NOT(Table1[[#This Row],[Debits]]=0)),"bad","good")</f>
        <v>good</v>
      </c>
      <c r="O1957" s="5"/>
    </row>
    <row r="1958" spans="6:15" x14ac:dyDescent="0.3">
      <c r="F1958">
        <f>MONTH(Table1[[#This Row],[Date  (DMY)]])</f>
        <v>1</v>
      </c>
      <c r="G1958" s="2"/>
      <c r="L1958" s="5"/>
      <c r="M1958" s="4">
        <f>M1957-Table1[[#This Row],[Debits]]+Table1[[#This Row],[Income]]</f>
        <v>1900</v>
      </c>
      <c r="N1958" t="str">
        <f>IF(AND(Table1[[#This Row],[Category]]="pay",NOT(Table1[[#This Row],[Debits]]=0)),"bad","good")</f>
        <v>good</v>
      </c>
      <c r="O1958" s="5"/>
    </row>
    <row r="1959" spans="6:15" x14ac:dyDescent="0.3">
      <c r="F1959">
        <f>MONTH(Table1[[#This Row],[Date  (DMY)]])</f>
        <v>1</v>
      </c>
      <c r="G1959" s="2"/>
      <c r="L1959" s="5"/>
      <c r="M1959" s="4">
        <f>M1958-Table1[[#This Row],[Debits]]+Table1[[#This Row],[Income]]</f>
        <v>1900</v>
      </c>
      <c r="N1959" t="str">
        <f>IF(AND(Table1[[#This Row],[Category]]="pay",NOT(Table1[[#This Row],[Debits]]=0)),"bad","good")</f>
        <v>good</v>
      </c>
      <c r="O1959" s="5"/>
    </row>
    <row r="1960" spans="6:15" x14ac:dyDescent="0.3">
      <c r="F1960">
        <f>MONTH(Table1[[#This Row],[Date  (DMY)]])</f>
        <v>1</v>
      </c>
      <c r="G1960" s="2"/>
      <c r="L1960" s="5"/>
      <c r="M1960" s="4">
        <f>M1959-Table1[[#This Row],[Debits]]+Table1[[#This Row],[Income]]</f>
        <v>1900</v>
      </c>
      <c r="N1960" t="str">
        <f>IF(AND(Table1[[#This Row],[Category]]="pay",NOT(Table1[[#This Row],[Debits]]=0)),"bad","good")</f>
        <v>good</v>
      </c>
      <c r="O1960" s="5"/>
    </row>
    <row r="1961" spans="6:15" x14ac:dyDescent="0.3">
      <c r="F1961">
        <f>MONTH(Table1[[#This Row],[Date  (DMY)]])</f>
        <v>1</v>
      </c>
      <c r="G1961" s="2"/>
      <c r="L1961" s="5"/>
      <c r="M1961" s="4">
        <f>M1960-Table1[[#This Row],[Debits]]+Table1[[#This Row],[Income]]</f>
        <v>1900</v>
      </c>
      <c r="N1961" t="str">
        <f>IF(AND(Table1[[#This Row],[Category]]="pay",NOT(Table1[[#This Row],[Debits]]=0)),"bad","good")</f>
        <v>good</v>
      </c>
      <c r="O1961" s="5"/>
    </row>
    <row r="1962" spans="6:15" x14ac:dyDescent="0.3">
      <c r="F1962">
        <f>MONTH(Table1[[#This Row],[Date  (DMY)]])</f>
        <v>1</v>
      </c>
      <c r="G1962" s="2"/>
      <c r="L1962" s="5"/>
      <c r="M1962" s="4">
        <f>M1961-Table1[[#This Row],[Debits]]+Table1[[#This Row],[Income]]</f>
        <v>1900</v>
      </c>
      <c r="N1962" t="str">
        <f>IF(AND(Table1[[#This Row],[Category]]="pay",NOT(Table1[[#This Row],[Debits]]=0)),"bad","good")</f>
        <v>good</v>
      </c>
      <c r="O1962" s="5"/>
    </row>
    <row r="1963" spans="6:15" x14ac:dyDescent="0.3">
      <c r="F1963">
        <f>MONTH(Table1[[#This Row],[Date  (DMY)]])</f>
        <v>1</v>
      </c>
      <c r="G1963" s="2"/>
      <c r="L1963" s="5"/>
      <c r="M1963" s="4">
        <f>M1962-Table1[[#This Row],[Debits]]+Table1[[#This Row],[Income]]</f>
        <v>1900</v>
      </c>
      <c r="N1963" t="str">
        <f>IF(AND(Table1[[#This Row],[Category]]="pay",NOT(Table1[[#This Row],[Debits]]=0)),"bad","good")</f>
        <v>good</v>
      </c>
      <c r="O1963" s="5"/>
    </row>
    <row r="1964" spans="6:15" x14ac:dyDescent="0.3">
      <c r="F1964">
        <f>MONTH(Table1[[#This Row],[Date  (DMY)]])</f>
        <v>1</v>
      </c>
      <c r="G1964" s="2"/>
      <c r="L1964" s="5"/>
      <c r="M1964" s="4">
        <f>M1963-Table1[[#This Row],[Debits]]+Table1[[#This Row],[Income]]</f>
        <v>1900</v>
      </c>
      <c r="N1964" t="str">
        <f>IF(AND(Table1[[#This Row],[Category]]="pay",NOT(Table1[[#This Row],[Debits]]=0)),"bad","good")</f>
        <v>good</v>
      </c>
      <c r="O1964" s="5"/>
    </row>
    <row r="1965" spans="6:15" x14ac:dyDescent="0.3">
      <c r="F1965">
        <f>MONTH(Table1[[#This Row],[Date  (DMY)]])</f>
        <v>1</v>
      </c>
      <c r="G1965" s="2"/>
      <c r="L1965" s="5"/>
      <c r="M1965" s="4">
        <f>M1964-Table1[[#This Row],[Debits]]+Table1[[#This Row],[Income]]</f>
        <v>1900</v>
      </c>
      <c r="N1965" t="str">
        <f>IF(AND(Table1[[#This Row],[Category]]="pay",NOT(Table1[[#This Row],[Debits]]=0)),"bad","good")</f>
        <v>good</v>
      </c>
      <c r="O1965" s="5"/>
    </row>
    <row r="1966" spans="6:15" x14ac:dyDescent="0.3">
      <c r="F1966">
        <f>MONTH(Table1[[#This Row],[Date  (DMY)]])</f>
        <v>1</v>
      </c>
      <c r="G1966" s="2"/>
      <c r="L1966" s="5"/>
      <c r="M1966" s="4">
        <f>M1965-Table1[[#This Row],[Debits]]+Table1[[#This Row],[Income]]</f>
        <v>1900</v>
      </c>
      <c r="N1966" t="str">
        <f>IF(AND(Table1[[#This Row],[Category]]="pay",NOT(Table1[[#This Row],[Debits]]=0)),"bad","good")</f>
        <v>good</v>
      </c>
      <c r="O1966" s="5"/>
    </row>
    <row r="1967" spans="6:15" x14ac:dyDescent="0.3">
      <c r="F1967">
        <f>MONTH(Table1[[#This Row],[Date  (DMY)]])</f>
        <v>1</v>
      </c>
      <c r="G1967" s="2"/>
      <c r="L1967" s="5"/>
      <c r="M1967" s="4">
        <f>M1966-Table1[[#This Row],[Debits]]+Table1[[#This Row],[Income]]</f>
        <v>1900</v>
      </c>
      <c r="N1967" t="str">
        <f>IF(AND(Table1[[#This Row],[Category]]="pay",NOT(Table1[[#This Row],[Debits]]=0)),"bad","good")</f>
        <v>good</v>
      </c>
      <c r="O1967" s="5"/>
    </row>
    <row r="1968" spans="6:15" x14ac:dyDescent="0.3">
      <c r="F1968">
        <f>MONTH(Table1[[#This Row],[Date  (DMY)]])</f>
        <v>1</v>
      </c>
      <c r="G1968" s="2"/>
      <c r="L1968" s="5"/>
      <c r="M1968" s="4">
        <f>M1967-Table1[[#This Row],[Debits]]+Table1[[#This Row],[Income]]</f>
        <v>1900</v>
      </c>
      <c r="N1968" t="str">
        <f>IF(AND(Table1[[#This Row],[Category]]="pay",NOT(Table1[[#This Row],[Debits]]=0)),"bad","good")</f>
        <v>good</v>
      </c>
      <c r="O1968" s="5"/>
    </row>
    <row r="1969" spans="6:15" x14ac:dyDescent="0.3">
      <c r="F1969">
        <f>MONTH(Table1[[#This Row],[Date  (DMY)]])</f>
        <v>1</v>
      </c>
      <c r="G1969" s="2"/>
      <c r="L1969" s="5"/>
      <c r="M1969" s="4">
        <f>M1968-Table1[[#This Row],[Debits]]+Table1[[#This Row],[Income]]</f>
        <v>1900</v>
      </c>
      <c r="N1969" t="str">
        <f>IF(AND(Table1[[#This Row],[Category]]="pay",NOT(Table1[[#This Row],[Debits]]=0)),"bad","good")</f>
        <v>good</v>
      </c>
      <c r="O1969" s="5"/>
    </row>
    <row r="1970" spans="6:15" x14ac:dyDescent="0.3">
      <c r="F1970">
        <f>MONTH(Table1[[#This Row],[Date  (DMY)]])</f>
        <v>1</v>
      </c>
      <c r="G1970" s="2"/>
      <c r="L1970" s="5"/>
      <c r="M1970" s="4">
        <f>M1969-Table1[[#This Row],[Debits]]+Table1[[#This Row],[Income]]</f>
        <v>1900</v>
      </c>
      <c r="N1970" t="str">
        <f>IF(AND(Table1[[#This Row],[Category]]="pay",NOT(Table1[[#This Row],[Debits]]=0)),"bad","good")</f>
        <v>good</v>
      </c>
      <c r="O1970" s="5"/>
    </row>
    <row r="1971" spans="6:15" x14ac:dyDescent="0.3">
      <c r="F1971">
        <f>MONTH(Table1[[#This Row],[Date  (DMY)]])</f>
        <v>1</v>
      </c>
      <c r="G1971" s="2"/>
      <c r="L1971" s="5"/>
      <c r="M1971" s="4">
        <f>M1970-Table1[[#This Row],[Debits]]+Table1[[#This Row],[Income]]</f>
        <v>1900</v>
      </c>
      <c r="N1971" t="str">
        <f>IF(AND(Table1[[#This Row],[Category]]="pay",NOT(Table1[[#This Row],[Debits]]=0)),"bad","good")</f>
        <v>good</v>
      </c>
      <c r="O1971" s="5"/>
    </row>
    <row r="1972" spans="6:15" x14ac:dyDescent="0.3">
      <c r="F1972">
        <f>MONTH(Table1[[#This Row],[Date  (DMY)]])</f>
        <v>1</v>
      </c>
      <c r="G1972" s="2"/>
      <c r="L1972" s="5"/>
      <c r="M1972" s="4">
        <f>M1971-Table1[[#This Row],[Debits]]+Table1[[#This Row],[Income]]</f>
        <v>1900</v>
      </c>
      <c r="N1972" t="str">
        <f>IF(AND(Table1[[#This Row],[Category]]="pay",NOT(Table1[[#This Row],[Debits]]=0)),"bad","good")</f>
        <v>good</v>
      </c>
      <c r="O1972" s="5"/>
    </row>
    <row r="1973" spans="6:15" x14ac:dyDescent="0.3">
      <c r="F1973">
        <f>MONTH(Table1[[#This Row],[Date  (DMY)]])</f>
        <v>1</v>
      </c>
      <c r="G1973" s="2"/>
      <c r="L1973" s="5"/>
      <c r="M1973" s="4">
        <f>M1972-Table1[[#This Row],[Debits]]+Table1[[#This Row],[Income]]</f>
        <v>1900</v>
      </c>
      <c r="N1973" t="str">
        <f>IF(AND(Table1[[#This Row],[Category]]="pay",NOT(Table1[[#This Row],[Debits]]=0)),"bad","good")</f>
        <v>good</v>
      </c>
      <c r="O1973" s="5"/>
    </row>
    <row r="1974" spans="6:15" x14ac:dyDescent="0.3">
      <c r="F1974">
        <f>MONTH(Table1[[#This Row],[Date  (DMY)]])</f>
        <v>1</v>
      </c>
      <c r="G1974" s="2"/>
      <c r="L1974" s="5"/>
      <c r="M1974" s="4">
        <f>M1973-Table1[[#This Row],[Debits]]+Table1[[#This Row],[Income]]</f>
        <v>1900</v>
      </c>
      <c r="N1974" t="str">
        <f>IF(AND(Table1[[#This Row],[Category]]="pay",NOT(Table1[[#This Row],[Debits]]=0)),"bad","good")</f>
        <v>good</v>
      </c>
      <c r="O1974" s="5"/>
    </row>
    <row r="1975" spans="6:15" x14ac:dyDescent="0.3">
      <c r="F1975">
        <f>MONTH(Table1[[#This Row],[Date  (DMY)]])</f>
        <v>1</v>
      </c>
      <c r="G1975" s="2"/>
      <c r="L1975" s="5"/>
      <c r="M1975" s="4">
        <f>M1974-Table1[[#This Row],[Debits]]+Table1[[#This Row],[Income]]</f>
        <v>1900</v>
      </c>
      <c r="N1975" t="str">
        <f>IF(AND(Table1[[#This Row],[Category]]="pay",NOT(Table1[[#This Row],[Debits]]=0)),"bad","good")</f>
        <v>good</v>
      </c>
      <c r="O1975" s="5"/>
    </row>
    <row r="1976" spans="6:15" x14ac:dyDescent="0.3">
      <c r="F1976">
        <f>MONTH(Table1[[#This Row],[Date  (DMY)]])</f>
        <v>1</v>
      </c>
      <c r="G1976" s="2"/>
      <c r="L1976" s="5"/>
      <c r="M1976" s="4">
        <f>M1975-Table1[[#This Row],[Debits]]+Table1[[#This Row],[Income]]</f>
        <v>1900</v>
      </c>
      <c r="N1976" t="str">
        <f>IF(AND(Table1[[#This Row],[Category]]="pay",NOT(Table1[[#This Row],[Debits]]=0)),"bad","good")</f>
        <v>good</v>
      </c>
      <c r="O1976" s="5"/>
    </row>
    <row r="1977" spans="6:15" x14ac:dyDescent="0.3">
      <c r="F1977">
        <f>MONTH(Table1[[#This Row],[Date  (DMY)]])</f>
        <v>1</v>
      </c>
      <c r="G1977" s="2"/>
      <c r="L1977" s="5"/>
      <c r="M1977" s="4">
        <f>M1976-Table1[[#This Row],[Debits]]+Table1[[#This Row],[Income]]</f>
        <v>1900</v>
      </c>
      <c r="N1977" t="str">
        <f>IF(AND(Table1[[#This Row],[Category]]="pay",NOT(Table1[[#This Row],[Debits]]=0)),"bad","good")</f>
        <v>good</v>
      </c>
      <c r="O1977" s="5"/>
    </row>
    <row r="1978" spans="6:15" x14ac:dyDescent="0.3">
      <c r="F1978">
        <f>MONTH(Table1[[#This Row],[Date  (DMY)]])</f>
        <v>1</v>
      </c>
      <c r="G1978" s="2"/>
      <c r="L1978" s="5"/>
      <c r="M1978" s="4">
        <f>M1977-Table1[[#This Row],[Debits]]+Table1[[#This Row],[Income]]</f>
        <v>1900</v>
      </c>
      <c r="N1978" t="str">
        <f>IF(AND(Table1[[#This Row],[Category]]="pay",NOT(Table1[[#This Row],[Debits]]=0)),"bad","good")</f>
        <v>good</v>
      </c>
      <c r="O1978" s="5"/>
    </row>
    <row r="1979" spans="6:15" x14ac:dyDescent="0.3">
      <c r="F1979">
        <f>MONTH(Table1[[#This Row],[Date  (DMY)]])</f>
        <v>1</v>
      </c>
      <c r="G1979" s="2"/>
      <c r="L1979" s="5"/>
      <c r="M1979" s="4">
        <f>M1978-Table1[[#This Row],[Debits]]+Table1[[#This Row],[Income]]</f>
        <v>1900</v>
      </c>
      <c r="N1979" t="str">
        <f>IF(AND(Table1[[#This Row],[Category]]="pay",NOT(Table1[[#This Row],[Debits]]=0)),"bad","good")</f>
        <v>good</v>
      </c>
      <c r="O1979" s="5"/>
    </row>
    <row r="1980" spans="6:15" x14ac:dyDescent="0.3">
      <c r="F1980">
        <f>MONTH(Table1[[#This Row],[Date  (DMY)]])</f>
        <v>1</v>
      </c>
      <c r="G1980" s="2"/>
      <c r="L1980" s="5"/>
      <c r="M1980" s="4">
        <f>M1979-Table1[[#This Row],[Debits]]+Table1[[#This Row],[Income]]</f>
        <v>1900</v>
      </c>
      <c r="N1980" t="str">
        <f>IF(AND(Table1[[#This Row],[Category]]="pay",NOT(Table1[[#This Row],[Debits]]=0)),"bad","good")</f>
        <v>good</v>
      </c>
      <c r="O1980" s="5"/>
    </row>
    <row r="1981" spans="6:15" x14ac:dyDescent="0.3">
      <c r="F1981">
        <f>MONTH(Table1[[#This Row],[Date  (DMY)]])</f>
        <v>1</v>
      </c>
      <c r="G1981" s="2"/>
      <c r="L1981" s="5"/>
      <c r="M1981" s="4">
        <f>M1980-Table1[[#This Row],[Debits]]+Table1[[#This Row],[Income]]</f>
        <v>1900</v>
      </c>
      <c r="N1981" t="str">
        <f>IF(AND(Table1[[#This Row],[Category]]="pay",NOT(Table1[[#This Row],[Debits]]=0)),"bad","good")</f>
        <v>good</v>
      </c>
      <c r="O1981" s="5"/>
    </row>
    <row r="1982" spans="6:15" x14ac:dyDescent="0.3">
      <c r="F1982">
        <f>MONTH(Table1[[#This Row],[Date  (DMY)]])</f>
        <v>1</v>
      </c>
      <c r="G1982" s="2"/>
      <c r="L1982" s="5"/>
      <c r="M1982" s="4">
        <f>M1981-Table1[[#This Row],[Debits]]+Table1[[#This Row],[Income]]</f>
        <v>1900</v>
      </c>
      <c r="N1982" t="str">
        <f>IF(AND(Table1[[#This Row],[Category]]="pay",NOT(Table1[[#This Row],[Debits]]=0)),"bad","good")</f>
        <v>good</v>
      </c>
      <c r="O1982" s="5"/>
    </row>
    <row r="1983" spans="6:15" x14ac:dyDescent="0.3">
      <c r="F1983">
        <f>MONTH(Table1[[#This Row],[Date  (DMY)]])</f>
        <v>1</v>
      </c>
      <c r="G1983" s="2"/>
      <c r="L1983" s="5"/>
      <c r="M1983" s="4">
        <f>M1982-Table1[[#This Row],[Debits]]+Table1[[#This Row],[Income]]</f>
        <v>1900</v>
      </c>
      <c r="N1983" t="str">
        <f>IF(AND(Table1[[#This Row],[Category]]="pay",NOT(Table1[[#This Row],[Debits]]=0)),"bad","good")</f>
        <v>good</v>
      </c>
      <c r="O1983" s="5"/>
    </row>
    <row r="1984" spans="6:15" x14ac:dyDescent="0.3">
      <c r="F1984">
        <f>MONTH(Table1[[#This Row],[Date  (DMY)]])</f>
        <v>1</v>
      </c>
      <c r="G1984" s="2"/>
      <c r="L1984" s="5"/>
      <c r="M1984" s="4">
        <f>M1983-Table1[[#This Row],[Debits]]+Table1[[#This Row],[Income]]</f>
        <v>1900</v>
      </c>
      <c r="N1984" t="str">
        <f>IF(AND(Table1[[#This Row],[Category]]="pay",NOT(Table1[[#This Row],[Debits]]=0)),"bad","good")</f>
        <v>good</v>
      </c>
      <c r="O1984" s="5"/>
    </row>
    <row r="1985" spans="6:15" x14ac:dyDescent="0.3">
      <c r="F1985">
        <f>MONTH(Table1[[#This Row],[Date  (DMY)]])</f>
        <v>1</v>
      </c>
      <c r="G1985" s="2"/>
      <c r="L1985" s="5"/>
      <c r="M1985" s="4">
        <f>M1984-Table1[[#This Row],[Debits]]+Table1[[#This Row],[Income]]</f>
        <v>1900</v>
      </c>
      <c r="N1985" t="str">
        <f>IF(AND(Table1[[#This Row],[Category]]="pay",NOT(Table1[[#This Row],[Debits]]=0)),"bad","good")</f>
        <v>good</v>
      </c>
      <c r="O1985" s="5"/>
    </row>
    <row r="1986" spans="6:15" x14ac:dyDescent="0.3">
      <c r="F1986">
        <f>MONTH(Table1[[#This Row],[Date  (DMY)]])</f>
        <v>1</v>
      </c>
      <c r="G1986" s="2"/>
      <c r="L1986" s="5"/>
      <c r="M1986" s="4">
        <f>M1985-Table1[[#This Row],[Debits]]+Table1[[#This Row],[Income]]</f>
        <v>1900</v>
      </c>
      <c r="N1986" t="str">
        <f>IF(AND(Table1[[#This Row],[Category]]="pay",NOT(Table1[[#This Row],[Debits]]=0)),"bad","good")</f>
        <v>good</v>
      </c>
      <c r="O1986" s="5"/>
    </row>
    <row r="1987" spans="6:15" x14ac:dyDescent="0.3">
      <c r="F1987">
        <f>MONTH(Table1[[#This Row],[Date  (DMY)]])</f>
        <v>1</v>
      </c>
      <c r="G1987" s="2"/>
      <c r="L1987" s="5"/>
      <c r="M1987" s="4">
        <f>M1986-Table1[[#This Row],[Debits]]+Table1[[#This Row],[Income]]</f>
        <v>1900</v>
      </c>
      <c r="N1987" t="str">
        <f>IF(AND(Table1[[#This Row],[Category]]="pay",NOT(Table1[[#This Row],[Debits]]=0)),"bad","good")</f>
        <v>good</v>
      </c>
      <c r="O1987" s="5"/>
    </row>
    <row r="1988" spans="6:15" x14ac:dyDescent="0.3">
      <c r="F1988">
        <f>MONTH(Table1[[#This Row],[Date  (DMY)]])</f>
        <v>1</v>
      </c>
      <c r="G1988" s="2"/>
      <c r="L1988" s="5"/>
      <c r="M1988" s="4">
        <f>M1987-Table1[[#This Row],[Debits]]+Table1[[#This Row],[Income]]</f>
        <v>1900</v>
      </c>
      <c r="N1988" t="str">
        <f>IF(AND(Table1[[#This Row],[Category]]="pay",NOT(Table1[[#This Row],[Debits]]=0)),"bad","good")</f>
        <v>good</v>
      </c>
      <c r="O1988" s="5"/>
    </row>
    <row r="1989" spans="6:15" x14ac:dyDescent="0.3">
      <c r="F1989">
        <f>MONTH(Table1[[#This Row],[Date  (DMY)]])</f>
        <v>1</v>
      </c>
      <c r="G1989" s="2"/>
      <c r="L1989" s="5"/>
      <c r="M1989" s="4">
        <f>M1988-Table1[[#This Row],[Debits]]+Table1[[#This Row],[Income]]</f>
        <v>1900</v>
      </c>
      <c r="N1989" t="str">
        <f>IF(AND(Table1[[#This Row],[Category]]="pay",NOT(Table1[[#This Row],[Debits]]=0)),"bad","good")</f>
        <v>good</v>
      </c>
      <c r="O1989" s="5"/>
    </row>
    <row r="1990" spans="6:15" x14ac:dyDescent="0.3">
      <c r="F1990">
        <f>MONTH(Table1[[#This Row],[Date  (DMY)]])</f>
        <v>1</v>
      </c>
      <c r="G1990" s="2"/>
      <c r="L1990" s="5"/>
      <c r="M1990" s="4">
        <f>M1989-Table1[[#This Row],[Debits]]+Table1[[#This Row],[Income]]</f>
        <v>1900</v>
      </c>
      <c r="N1990" t="str">
        <f>IF(AND(Table1[[#This Row],[Category]]="pay",NOT(Table1[[#This Row],[Debits]]=0)),"bad","good")</f>
        <v>good</v>
      </c>
      <c r="O1990" s="5"/>
    </row>
    <row r="1991" spans="6:15" x14ac:dyDescent="0.3">
      <c r="F1991">
        <f>MONTH(Table1[[#This Row],[Date  (DMY)]])</f>
        <v>1</v>
      </c>
      <c r="G1991" s="2"/>
      <c r="L1991" s="5"/>
      <c r="M1991" s="4">
        <f>M1990-Table1[[#This Row],[Debits]]+Table1[[#This Row],[Income]]</f>
        <v>1900</v>
      </c>
      <c r="N1991" t="str">
        <f>IF(AND(Table1[[#This Row],[Category]]="pay",NOT(Table1[[#This Row],[Debits]]=0)),"bad","good")</f>
        <v>good</v>
      </c>
      <c r="O1991" s="5"/>
    </row>
    <row r="1992" spans="6:15" x14ac:dyDescent="0.3">
      <c r="F1992">
        <f>MONTH(Table1[[#This Row],[Date  (DMY)]])</f>
        <v>1</v>
      </c>
      <c r="G1992" s="2"/>
      <c r="L1992" s="5"/>
      <c r="M1992" s="4">
        <f>M1991-Table1[[#This Row],[Debits]]+Table1[[#This Row],[Income]]</f>
        <v>1900</v>
      </c>
      <c r="N1992" t="str">
        <f>IF(AND(Table1[[#This Row],[Category]]="pay",NOT(Table1[[#This Row],[Debits]]=0)),"bad","good")</f>
        <v>good</v>
      </c>
      <c r="O1992" s="5"/>
    </row>
    <row r="1993" spans="6:15" x14ac:dyDescent="0.3">
      <c r="F1993">
        <f>MONTH(Table1[[#This Row],[Date  (DMY)]])</f>
        <v>1</v>
      </c>
      <c r="G1993" s="2"/>
      <c r="L1993" s="5"/>
      <c r="M1993" s="4">
        <f>M1992-Table1[[#This Row],[Debits]]+Table1[[#This Row],[Income]]</f>
        <v>1900</v>
      </c>
      <c r="N1993" t="str">
        <f>IF(AND(Table1[[#This Row],[Category]]="pay",NOT(Table1[[#This Row],[Debits]]=0)),"bad","good")</f>
        <v>good</v>
      </c>
      <c r="O1993" s="5"/>
    </row>
    <row r="1994" spans="6:15" x14ac:dyDescent="0.3">
      <c r="F1994">
        <f>MONTH(Table1[[#This Row],[Date  (DMY)]])</f>
        <v>1</v>
      </c>
      <c r="G1994" s="2"/>
      <c r="L1994" s="5"/>
      <c r="M1994" s="4">
        <f>M1993-Table1[[#This Row],[Debits]]+Table1[[#This Row],[Income]]</f>
        <v>1900</v>
      </c>
      <c r="N1994" t="str">
        <f>IF(AND(Table1[[#This Row],[Category]]="pay",NOT(Table1[[#This Row],[Debits]]=0)),"bad","good")</f>
        <v>good</v>
      </c>
      <c r="O1994" s="5"/>
    </row>
    <row r="1995" spans="6:15" x14ac:dyDescent="0.3">
      <c r="F1995">
        <f>MONTH(Table1[[#This Row],[Date  (DMY)]])</f>
        <v>1</v>
      </c>
      <c r="G1995" s="2"/>
      <c r="L1995" s="5"/>
      <c r="M1995" s="4">
        <f>M1994-Table1[[#This Row],[Debits]]+Table1[[#This Row],[Income]]</f>
        <v>1900</v>
      </c>
      <c r="N1995" t="str">
        <f>IF(AND(Table1[[#This Row],[Category]]="pay",NOT(Table1[[#This Row],[Debits]]=0)),"bad","good")</f>
        <v>good</v>
      </c>
      <c r="O1995" s="5"/>
    </row>
    <row r="1996" spans="6:15" x14ac:dyDescent="0.3">
      <c r="F1996">
        <f>MONTH(Table1[[#This Row],[Date  (DMY)]])</f>
        <v>1</v>
      </c>
      <c r="G1996" s="2"/>
      <c r="L1996" s="5"/>
      <c r="M1996" s="4">
        <f>M1995-Table1[[#This Row],[Debits]]+Table1[[#This Row],[Income]]</f>
        <v>1900</v>
      </c>
      <c r="N1996" t="str">
        <f>IF(AND(Table1[[#This Row],[Category]]="pay",NOT(Table1[[#This Row],[Debits]]=0)),"bad","good")</f>
        <v>good</v>
      </c>
      <c r="O1996" s="5"/>
    </row>
    <row r="1997" spans="6:15" x14ac:dyDescent="0.3">
      <c r="F1997">
        <f>MONTH(Table1[[#This Row],[Date  (DMY)]])</f>
        <v>1</v>
      </c>
      <c r="G1997" s="2"/>
      <c r="L1997" s="5"/>
      <c r="M1997" s="4">
        <f>M1996-Table1[[#This Row],[Debits]]+Table1[[#This Row],[Income]]</f>
        <v>1900</v>
      </c>
      <c r="N1997" t="str">
        <f>IF(AND(Table1[[#This Row],[Category]]="pay",NOT(Table1[[#This Row],[Debits]]=0)),"bad","good")</f>
        <v>good</v>
      </c>
      <c r="O1997" s="5"/>
    </row>
    <row r="1998" spans="6:15" x14ac:dyDescent="0.3">
      <c r="F1998">
        <f>MONTH(Table1[[#This Row],[Date  (DMY)]])</f>
        <v>1</v>
      </c>
      <c r="G1998" s="2"/>
      <c r="L1998" s="5"/>
      <c r="M1998" s="4">
        <f>M1997-Table1[[#This Row],[Debits]]+Table1[[#This Row],[Income]]</f>
        <v>1900</v>
      </c>
      <c r="N1998" t="str">
        <f>IF(AND(Table1[[#This Row],[Category]]="pay",NOT(Table1[[#This Row],[Debits]]=0)),"bad","good")</f>
        <v>good</v>
      </c>
      <c r="O1998" s="5"/>
    </row>
    <row r="1999" spans="6:15" x14ac:dyDescent="0.3">
      <c r="F1999">
        <f>MONTH(Table1[[#This Row],[Date  (DMY)]])</f>
        <v>1</v>
      </c>
      <c r="G1999" s="2"/>
      <c r="L1999" s="5"/>
      <c r="M1999" s="4">
        <f>M1998-Table1[[#This Row],[Debits]]+Table1[[#This Row],[Income]]</f>
        <v>1900</v>
      </c>
      <c r="N1999" t="str">
        <f>IF(AND(Table1[[#This Row],[Category]]="pay",NOT(Table1[[#This Row],[Debits]]=0)),"bad","good")</f>
        <v>good</v>
      </c>
      <c r="O1999" s="5"/>
    </row>
    <row r="2000" spans="6:15" x14ac:dyDescent="0.3">
      <c r="F2000">
        <f>MONTH(Table1[[#This Row],[Date  (DMY)]])</f>
        <v>1</v>
      </c>
      <c r="G2000" s="2"/>
      <c r="L2000" s="5"/>
      <c r="M2000" s="4">
        <f>M1999-Table1[[#This Row],[Debits]]+Table1[[#This Row],[Income]]</f>
        <v>1900</v>
      </c>
      <c r="N2000" t="str">
        <f>IF(AND(Table1[[#This Row],[Category]]="pay",NOT(Table1[[#This Row],[Debits]]=0)),"bad","good")</f>
        <v>good</v>
      </c>
      <c r="O2000" s="5"/>
    </row>
    <row r="2001" spans="6:15" x14ac:dyDescent="0.3">
      <c r="F2001">
        <f>MONTH(Table1[[#This Row],[Date  (DMY)]])</f>
        <v>1</v>
      </c>
      <c r="G2001" s="2"/>
      <c r="L2001" s="5"/>
      <c r="M2001" s="4">
        <f>M2000-Table1[[#This Row],[Debits]]+Table1[[#This Row],[Income]]</f>
        <v>1900</v>
      </c>
      <c r="N2001" t="str">
        <f>IF(AND(Table1[[#This Row],[Category]]="pay",NOT(Table1[[#This Row],[Debits]]=0)),"bad","good")</f>
        <v>good</v>
      </c>
      <c r="O2001" s="5"/>
    </row>
    <row r="2002" spans="6:15" x14ac:dyDescent="0.3">
      <c r="F2002">
        <f>MONTH(Table1[[#This Row],[Date  (DMY)]])</f>
        <v>1</v>
      </c>
      <c r="G2002" s="2"/>
      <c r="L2002" s="5"/>
      <c r="M2002" s="4">
        <f>M2001-Table1[[#This Row],[Debits]]+Table1[[#This Row],[Income]]</f>
        <v>1900</v>
      </c>
      <c r="N2002" t="str">
        <f>IF(AND(Table1[[#This Row],[Category]]="pay",NOT(Table1[[#This Row],[Debits]]=0)),"bad","good")</f>
        <v>good</v>
      </c>
      <c r="O2002" s="5"/>
    </row>
    <row r="2003" spans="6:15" x14ac:dyDescent="0.3">
      <c r="F2003">
        <f>MONTH(Table1[[#This Row],[Date  (DMY)]])</f>
        <v>1</v>
      </c>
      <c r="G2003" s="2"/>
      <c r="L2003" s="5"/>
      <c r="M2003" s="4">
        <f>M2002-Table1[[#This Row],[Debits]]+Table1[[#This Row],[Income]]</f>
        <v>1900</v>
      </c>
      <c r="N2003" t="str">
        <f>IF(AND(Table1[[#This Row],[Category]]="pay",NOT(Table1[[#This Row],[Debits]]=0)),"bad","good")</f>
        <v>good</v>
      </c>
      <c r="O2003" s="5"/>
    </row>
    <row r="2004" spans="6:15" x14ac:dyDescent="0.3">
      <c r="F2004">
        <f>MONTH(Table1[[#This Row],[Date  (DMY)]])</f>
        <v>1</v>
      </c>
      <c r="G2004" s="2"/>
      <c r="L2004" s="5"/>
      <c r="M2004" s="4">
        <f>M2003-Table1[[#This Row],[Debits]]+Table1[[#This Row],[Income]]</f>
        <v>1900</v>
      </c>
      <c r="N2004" t="str">
        <f>IF(AND(Table1[[#This Row],[Category]]="pay",NOT(Table1[[#This Row],[Debits]]=0)),"bad","good")</f>
        <v>good</v>
      </c>
      <c r="O2004" s="5"/>
    </row>
    <row r="2005" spans="6:15" x14ac:dyDescent="0.3">
      <c r="F2005">
        <f>MONTH(Table1[[#This Row],[Date  (DMY)]])</f>
        <v>1</v>
      </c>
      <c r="G2005" s="2"/>
      <c r="L2005" s="5"/>
      <c r="M2005" s="4">
        <f>M2004-Table1[[#This Row],[Debits]]+Table1[[#This Row],[Income]]</f>
        <v>1900</v>
      </c>
      <c r="N2005" t="str">
        <f>IF(AND(Table1[[#This Row],[Category]]="pay",NOT(Table1[[#This Row],[Debits]]=0)),"bad","good")</f>
        <v>good</v>
      </c>
      <c r="O2005" s="5"/>
    </row>
    <row r="2006" spans="6:15" x14ac:dyDescent="0.3">
      <c r="F2006">
        <f>MONTH(Table1[[#This Row],[Date  (DMY)]])</f>
        <v>1</v>
      </c>
      <c r="G2006" s="2"/>
      <c r="L2006" s="5"/>
      <c r="M2006" s="4">
        <f>M2005-Table1[[#This Row],[Debits]]+Table1[[#This Row],[Income]]</f>
        <v>1900</v>
      </c>
      <c r="N2006" t="str">
        <f>IF(AND(Table1[[#This Row],[Category]]="pay",NOT(Table1[[#This Row],[Debits]]=0)),"bad","good")</f>
        <v>good</v>
      </c>
      <c r="O2006" s="5"/>
    </row>
    <row r="2007" spans="6:15" x14ac:dyDescent="0.3">
      <c r="F2007">
        <f>MONTH(Table1[[#This Row],[Date  (DMY)]])</f>
        <v>1</v>
      </c>
      <c r="G2007" s="2"/>
      <c r="L2007" s="5"/>
      <c r="M2007" s="4">
        <f>M2006-Table1[[#This Row],[Debits]]+Table1[[#This Row],[Income]]</f>
        <v>1900</v>
      </c>
      <c r="N2007" t="str">
        <f>IF(AND(Table1[[#This Row],[Category]]="pay",NOT(Table1[[#This Row],[Debits]]=0)),"bad","good")</f>
        <v>good</v>
      </c>
      <c r="O2007" s="5"/>
    </row>
    <row r="2008" spans="6:15" x14ac:dyDescent="0.3">
      <c r="F2008">
        <f>MONTH(Table1[[#This Row],[Date  (DMY)]])</f>
        <v>1</v>
      </c>
      <c r="G2008" s="2"/>
      <c r="L2008" s="5"/>
      <c r="M2008" s="4">
        <f>M2007-Table1[[#This Row],[Debits]]+Table1[[#This Row],[Income]]</f>
        <v>1900</v>
      </c>
      <c r="N2008" t="str">
        <f>IF(AND(Table1[[#This Row],[Category]]="pay",NOT(Table1[[#This Row],[Debits]]=0)),"bad","good")</f>
        <v>good</v>
      </c>
      <c r="O2008" s="5"/>
    </row>
    <row r="2009" spans="6:15" x14ac:dyDescent="0.3">
      <c r="F2009">
        <f>MONTH(Table1[[#This Row],[Date  (DMY)]])</f>
        <v>1</v>
      </c>
      <c r="G2009" s="2"/>
      <c r="L2009" s="5"/>
      <c r="M2009" s="4">
        <f>M2008-Table1[[#This Row],[Debits]]+Table1[[#This Row],[Income]]</f>
        <v>1900</v>
      </c>
      <c r="N2009" t="str">
        <f>IF(AND(Table1[[#This Row],[Category]]="pay",NOT(Table1[[#This Row],[Debits]]=0)),"bad","good")</f>
        <v>good</v>
      </c>
      <c r="O2009" s="5"/>
    </row>
    <row r="2010" spans="6:15" x14ac:dyDescent="0.3">
      <c r="F2010">
        <f>MONTH(Table1[[#This Row],[Date  (DMY)]])</f>
        <v>1</v>
      </c>
      <c r="G2010" s="2"/>
      <c r="L2010" s="5"/>
      <c r="M2010" s="4">
        <f>M2009-Table1[[#This Row],[Debits]]+Table1[[#This Row],[Income]]</f>
        <v>1900</v>
      </c>
      <c r="N2010" t="str">
        <f>IF(AND(Table1[[#This Row],[Category]]="pay",NOT(Table1[[#This Row],[Debits]]=0)),"bad","good")</f>
        <v>good</v>
      </c>
      <c r="O2010" s="5"/>
    </row>
    <row r="2011" spans="6:15" x14ac:dyDescent="0.3">
      <c r="F2011">
        <f>MONTH(Table1[[#This Row],[Date  (DMY)]])</f>
        <v>1</v>
      </c>
      <c r="G2011" s="2"/>
      <c r="L2011" s="5"/>
      <c r="M2011" s="4">
        <f>M2010-Table1[[#This Row],[Debits]]+Table1[[#This Row],[Income]]</f>
        <v>1900</v>
      </c>
      <c r="N2011" t="str">
        <f>IF(AND(Table1[[#This Row],[Category]]="pay",NOT(Table1[[#This Row],[Debits]]=0)),"bad","good")</f>
        <v>good</v>
      </c>
      <c r="O2011" s="5"/>
    </row>
    <row r="2012" spans="6:15" x14ac:dyDescent="0.3">
      <c r="F2012">
        <f>MONTH(Table1[[#This Row],[Date  (DMY)]])</f>
        <v>1</v>
      </c>
      <c r="G2012" s="2"/>
      <c r="L2012" s="5"/>
      <c r="M2012" s="4">
        <f>M2011-Table1[[#This Row],[Debits]]+Table1[[#This Row],[Income]]</f>
        <v>1900</v>
      </c>
      <c r="N2012" t="str">
        <f>IF(AND(Table1[[#This Row],[Category]]="pay",NOT(Table1[[#This Row],[Debits]]=0)),"bad","good")</f>
        <v>good</v>
      </c>
      <c r="O2012" s="5"/>
    </row>
    <row r="2013" spans="6:15" x14ac:dyDescent="0.3">
      <c r="F2013">
        <f>MONTH(Table1[[#This Row],[Date  (DMY)]])</f>
        <v>1</v>
      </c>
      <c r="G2013" s="2"/>
      <c r="L2013" s="5"/>
      <c r="M2013" s="4">
        <f>M2012-Table1[[#This Row],[Debits]]+Table1[[#This Row],[Income]]</f>
        <v>1900</v>
      </c>
      <c r="N2013" t="str">
        <f>IF(AND(Table1[[#This Row],[Category]]="pay",NOT(Table1[[#This Row],[Debits]]=0)),"bad","good")</f>
        <v>good</v>
      </c>
      <c r="O2013" s="5"/>
    </row>
    <row r="2014" spans="6:15" x14ac:dyDescent="0.3">
      <c r="F2014">
        <f>MONTH(Table1[[#This Row],[Date  (DMY)]])</f>
        <v>1</v>
      </c>
      <c r="G2014" s="2"/>
      <c r="L2014" s="5"/>
      <c r="M2014" s="4">
        <f>M2013-Table1[[#This Row],[Debits]]+Table1[[#This Row],[Income]]</f>
        <v>1900</v>
      </c>
      <c r="N2014" t="str">
        <f>IF(AND(Table1[[#This Row],[Category]]="pay",NOT(Table1[[#This Row],[Debits]]=0)),"bad","good")</f>
        <v>good</v>
      </c>
      <c r="O2014" s="5"/>
    </row>
    <row r="2015" spans="6:15" x14ac:dyDescent="0.3">
      <c r="F2015">
        <f>MONTH(Table1[[#This Row],[Date  (DMY)]])</f>
        <v>1</v>
      </c>
      <c r="G2015" s="2"/>
      <c r="L2015" s="5"/>
      <c r="M2015" s="4">
        <f>M2014-Table1[[#This Row],[Debits]]+Table1[[#This Row],[Income]]</f>
        <v>1900</v>
      </c>
      <c r="N2015" t="str">
        <f>IF(AND(Table1[[#This Row],[Category]]="pay",NOT(Table1[[#This Row],[Debits]]=0)),"bad","good")</f>
        <v>good</v>
      </c>
      <c r="O2015" s="5"/>
    </row>
    <row r="2016" spans="6:15" x14ac:dyDescent="0.3">
      <c r="F2016">
        <f>MONTH(Table1[[#This Row],[Date  (DMY)]])</f>
        <v>1</v>
      </c>
      <c r="G2016" s="2"/>
      <c r="L2016" s="5"/>
      <c r="M2016" s="4">
        <f>M2015-Table1[[#This Row],[Debits]]+Table1[[#This Row],[Income]]</f>
        <v>1900</v>
      </c>
      <c r="N2016" t="str">
        <f>IF(AND(Table1[[#This Row],[Category]]="pay",NOT(Table1[[#This Row],[Debits]]=0)),"bad","good")</f>
        <v>good</v>
      </c>
      <c r="O2016" s="5"/>
    </row>
    <row r="2017" spans="6:15" x14ac:dyDescent="0.3">
      <c r="F2017">
        <f>MONTH(Table1[[#This Row],[Date  (DMY)]])</f>
        <v>1</v>
      </c>
      <c r="G2017" s="2"/>
      <c r="L2017" s="5"/>
      <c r="M2017" s="4">
        <f>M2016-Table1[[#This Row],[Debits]]+Table1[[#This Row],[Income]]</f>
        <v>1900</v>
      </c>
      <c r="N2017" t="str">
        <f>IF(AND(Table1[[#This Row],[Category]]="pay",NOT(Table1[[#This Row],[Debits]]=0)),"bad","good")</f>
        <v>good</v>
      </c>
      <c r="O2017" s="5"/>
    </row>
    <row r="2018" spans="6:15" x14ac:dyDescent="0.3">
      <c r="F2018">
        <f>MONTH(Table1[[#This Row],[Date  (DMY)]])</f>
        <v>1</v>
      </c>
      <c r="G2018" s="2"/>
      <c r="L2018" s="5"/>
      <c r="M2018" s="4">
        <f>M2017-Table1[[#This Row],[Debits]]+Table1[[#This Row],[Income]]</f>
        <v>1900</v>
      </c>
      <c r="N2018" t="str">
        <f>IF(AND(Table1[[#This Row],[Category]]="pay",NOT(Table1[[#This Row],[Debits]]=0)),"bad","good")</f>
        <v>good</v>
      </c>
      <c r="O2018" s="5"/>
    </row>
    <row r="2019" spans="6:15" x14ac:dyDescent="0.3">
      <c r="F2019">
        <f>MONTH(Table1[[#This Row],[Date  (DMY)]])</f>
        <v>1</v>
      </c>
      <c r="G2019" s="2"/>
      <c r="L2019" s="5"/>
      <c r="M2019" s="4">
        <f>M2018-Table1[[#This Row],[Debits]]+Table1[[#This Row],[Income]]</f>
        <v>1900</v>
      </c>
      <c r="N2019" t="str">
        <f>IF(AND(Table1[[#This Row],[Category]]="pay",NOT(Table1[[#This Row],[Debits]]=0)),"bad","good")</f>
        <v>good</v>
      </c>
      <c r="O2019" s="5"/>
    </row>
    <row r="2020" spans="6:15" x14ac:dyDescent="0.3">
      <c r="F2020">
        <f>MONTH(Table1[[#This Row],[Date  (DMY)]])</f>
        <v>1</v>
      </c>
      <c r="G2020" s="2"/>
      <c r="L2020" s="5"/>
      <c r="M2020" s="4">
        <f>M2019-Table1[[#This Row],[Debits]]+Table1[[#This Row],[Income]]</f>
        <v>1900</v>
      </c>
      <c r="N2020" t="str">
        <f>IF(AND(Table1[[#This Row],[Category]]="pay",NOT(Table1[[#This Row],[Debits]]=0)),"bad","good")</f>
        <v>good</v>
      </c>
      <c r="O2020" s="5"/>
    </row>
    <row r="2021" spans="6:15" x14ac:dyDescent="0.3">
      <c r="F2021">
        <f>MONTH(Table1[[#This Row],[Date  (DMY)]])</f>
        <v>1</v>
      </c>
      <c r="G2021" s="2"/>
      <c r="L2021" s="5"/>
      <c r="M2021" s="4">
        <f>M2020-Table1[[#This Row],[Debits]]+Table1[[#This Row],[Income]]</f>
        <v>1900</v>
      </c>
      <c r="N2021" t="str">
        <f>IF(AND(Table1[[#This Row],[Category]]="pay",NOT(Table1[[#This Row],[Debits]]=0)),"bad","good")</f>
        <v>good</v>
      </c>
      <c r="O2021" s="5"/>
    </row>
    <row r="2022" spans="6:15" x14ac:dyDescent="0.3">
      <c r="F2022">
        <f>MONTH(Table1[[#This Row],[Date  (DMY)]])</f>
        <v>1</v>
      </c>
      <c r="G2022" s="2"/>
      <c r="L2022" s="5"/>
      <c r="M2022" s="4">
        <f>M2021-Table1[[#This Row],[Debits]]+Table1[[#This Row],[Income]]</f>
        <v>1900</v>
      </c>
      <c r="N2022" t="str">
        <f>IF(AND(Table1[[#This Row],[Category]]="pay",NOT(Table1[[#This Row],[Debits]]=0)),"bad","good")</f>
        <v>good</v>
      </c>
      <c r="O2022" s="5"/>
    </row>
    <row r="2023" spans="6:15" x14ac:dyDescent="0.3">
      <c r="F2023">
        <f>MONTH(Table1[[#This Row],[Date  (DMY)]])</f>
        <v>1</v>
      </c>
      <c r="G2023" s="2"/>
      <c r="L2023" s="5"/>
      <c r="M2023" s="4">
        <f>M2022-Table1[[#This Row],[Debits]]+Table1[[#This Row],[Income]]</f>
        <v>1900</v>
      </c>
      <c r="N2023" t="str">
        <f>IF(AND(Table1[[#This Row],[Category]]="pay",NOT(Table1[[#This Row],[Debits]]=0)),"bad","good")</f>
        <v>good</v>
      </c>
      <c r="O2023" s="5"/>
    </row>
    <row r="2024" spans="6:15" x14ac:dyDescent="0.3">
      <c r="F2024">
        <f>MONTH(Table1[[#This Row],[Date  (DMY)]])</f>
        <v>1</v>
      </c>
      <c r="G2024" s="2"/>
      <c r="L2024" s="5"/>
      <c r="M2024" s="4">
        <f>M2023-Table1[[#This Row],[Debits]]+Table1[[#This Row],[Income]]</f>
        <v>1900</v>
      </c>
      <c r="N2024" t="str">
        <f>IF(AND(Table1[[#This Row],[Category]]="pay",NOT(Table1[[#This Row],[Debits]]=0)),"bad","good")</f>
        <v>good</v>
      </c>
      <c r="O2024" s="5"/>
    </row>
    <row r="2025" spans="6:15" x14ac:dyDescent="0.3">
      <c r="F2025">
        <f>MONTH(Table1[[#This Row],[Date  (DMY)]])</f>
        <v>1</v>
      </c>
      <c r="G2025" s="2"/>
      <c r="L2025" s="5"/>
      <c r="M2025" s="4">
        <f>M2024-Table1[[#This Row],[Debits]]+Table1[[#This Row],[Income]]</f>
        <v>1900</v>
      </c>
      <c r="N2025" t="str">
        <f>IF(AND(Table1[[#This Row],[Category]]="pay",NOT(Table1[[#This Row],[Debits]]=0)),"bad","good")</f>
        <v>good</v>
      </c>
      <c r="O2025" s="5"/>
    </row>
    <row r="2026" spans="6:15" x14ac:dyDescent="0.3">
      <c r="F2026">
        <f>MONTH(Table1[[#This Row],[Date  (DMY)]])</f>
        <v>1</v>
      </c>
      <c r="G2026" s="2"/>
      <c r="L2026" s="5"/>
      <c r="M2026" s="4">
        <f>M2025-Table1[[#This Row],[Debits]]+Table1[[#This Row],[Income]]</f>
        <v>1900</v>
      </c>
      <c r="N2026" t="str">
        <f>IF(AND(Table1[[#This Row],[Category]]="pay",NOT(Table1[[#This Row],[Debits]]=0)),"bad","good")</f>
        <v>good</v>
      </c>
      <c r="O2026" s="5"/>
    </row>
    <row r="2027" spans="6:15" x14ac:dyDescent="0.3">
      <c r="F2027">
        <f>MONTH(Table1[[#This Row],[Date  (DMY)]])</f>
        <v>1</v>
      </c>
      <c r="G2027" s="2"/>
      <c r="L2027" s="5"/>
      <c r="M2027" s="4">
        <f>M2026-Table1[[#This Row],[Debits]]+Table1[[#This Row],[Income]]</f>
        <v>1900</v>
      </c>
      <c r="N2027" t="str">
        <f>IF(AND(Table1[[#This Row],[Category]]="pay",NOT(Table1[[#This Row],[Debits]]=0)),"bad","good")</f>
        <v>good</v>
      </c>
      <c r="O2027" s="5"/>
    </row>
    <row r="2028" spans="6:15" x14ac:dyDescent="0.3">
      <c r="F2028">
        <f>MONTH(Table1[[#This Row],[Date  (DMY)]])</f>
        <v>1</v>
      </c>
      <c r="G2028" s="2"/>
      <c r="L2028" s="5"/>
      <c r="M2028" s="4">
        <f>M2027-Table1[[#This Row],[Debits]]+Table1[[#This Row],[Income]]</f>
        <v>1900</v>
      </c>
      <c r="N2028" t="str">
        <f>IF(AND(Table1[[#This Row],[Category]]="pay",NOT(Table1[[#This Row],[Debits]]=0)),"bad","good")</f>
        <v>good</v>
      </c>
      <c r="O2028" s="5"/>
    </row>
    <row r="2029" spans="6:15" x14ac:dyDescent="0.3">
      <c r="L2029" s="5"/>
      <c r="M2029" s="4"/>
      <c r="N2029" s="5" t="str">
        <f>IF(AND(Table1[[#This Row],[Category]]="pay",NOT(Table1[[#This Row],[Debits]]=0)),"bad","good")</f>
        <v>good</v>
      </c>
      <c r="O2029" s="5"/>
    </row>
    <row r="2030" spans="6:15" x14ac:dyDescent="0.3">
      <c r="L2030" s="5"/>
      <c r="M2030" s="4"/>
      <c r="N2030" s="5" t="str">
        <f>IF(AND(Table1[[#This Row],[Category]]="pay",NOT(Table1[[#This Row],[Debits]]=0)),"bad","good")</f>
        <v>good</v>
      </c>
      <c r="O2030" s="5"/>
    </row>
    <row r="2031" spans="6:15" x14ac:dyDescent="0.3">
      <c r="L2031" s="5"/>
      <c r="M2031" s="4"/>
      <c r="N2031" s="5" t="str">
        <f>IF(AND(Table1[[#This Row],[Category]]="pay",NOT(Table1[[#This Row],[Debits]]=0)),"bad","good")</f>
        <v>good</v>
      </c>
      <c r="O2031" s="5"/>
    </row>
    <row r="2032" spans="6:15" x14ac:dyDescent="0.3">
      <c r="L2032" s="5"/>
      <c r="M2032" s="4"/>
      <c r="N2032" s="5" t="str">
        <f>IF(AND(Table1[[#This Row],[Category]]="pay",NOT(Table1[[#This Row],[Debits]]=0)),"bad","good")</f>
        <v>good</v>
      </c>
      <c r="O2032" s="5"/>
    </row>
    <row r="2033" spans="12:15" x14ac:dyDescent="0.3">
      <c r="L2033" s="5"/>
      <c r="M2033" s="4"/>
      <c r="N2033" s="5" t="str">
        <f>IF(AND(Table1[[#This Row],[Category]]="pay",NOT(Table1[[#This Row],[Debits]]=0)),"bad","good")</f>
        <v>good</v>
      </c>
      <c r="O2033" s="5"/>
    </row>
    <row r="2034" spans="12:15" x14ac:dyDescent="0.3">
      <c r="L2034" s="5"/>
      <c r="M2034" s="4"/>
      <c r="N2034" s="5" t="str">
        <f>IF(AND(Table1[[#This Row],[Category]]="pay",NOT(Table1[[#This Row],[Debits]]=0)),"bad","good")</f>
        <v>good</v>
      </c>
      <c r="O2034" s="5"/>
    </row>
    <row r="2035" spans="12:15" x14ac:dyDescent="0.3">
      <c r="L2035" s="5"/>
      <c r="M2035" s="4"/>
      <c r="N2035" s="5" t="str">
        <f>IF(AND(Table1[[#This Row],[Category]]="pay",NOT(Table1[[#This Row],[Debits]]=0)),"bad","good")</f>
        <v>good</v>
      </c>
      <c r="O2035" s="5"/>
    </row>
    <row r="2036" spans="12:15" x14ac:dyDescent="0.3">
      <c r="L2036" s="5"/>
      <c r="M2036" s="4"/>
      <c r="N2036" s="5" t="str">
        <f>IF(AND(Table1[[#This Row],[Category]]="pay",NOT(Table1[[#This Row],[Debits]]=0)),"bad","good")</f>
        <v>good</v>
      </c>
      <c r="O2036" s="5"/>
    </row>
    <row r="2037" spans="12:15" x14ac:dyDescent="0.3">
      <c r="L2037" s="5"/>
      <c r="M2037" s="4"/>
      <c r="N2037" s="5" t="str">
        <f>IF(AND(Table1[[#This Row],[Category]]="pay",NOT(Table1[[#This Row],[Debits]]=0)),"bad","good")</f>
        <v>good</v>
      </c>
      <c r="O2037" s="5"/>
    </row>
    <row r="2038" spans="12:15" x14ac:dyDescent="0.3">
      <c r="L2038" s="5"/>
      <c r="M2038" s="4"/>
      <c r="N2038" s="5" t="str">
        <f>IF(AND(Table1[[#This Row],[Category]]="pay",NOT(Table1[[#This Row],[Debits]]=0)),"bad","good")</f>
        <v>good</v>
      </c>
      <c r="O2038" s="5"/>
    </row>
    <row r="2039" spans="12:15" x14ac:dyDescent="0.3">
      <c r="L2039" s="5"/>
      <c r="M2039" s="4"/>
      <c r="N2039" s="5" t="str">
        <f>IF(AND(Table1[[#This Row],[Category]]="pay",NOT(Table1[[#This Row],[Debits]]=0)),"bad","good")</f>
        <v>good</v>
      </c>
      <c r="O2039" s="5"/>
    </row>
    <row r="2040" spans="12:15" x14ac:dyDescent="0.3">
      <c r="L2040" s="5"/>
      <c r="M2040" s="4"/>
      <c r="N2040" s="5" t="str">
        <f>IF(AND(Table1[[#This Row],[Category]]="pay",NOT(Table1[[#This Row],[Debits]]=0)),"bad","good")</f>
        <v>good</v>
      </c>
      <c r="O2040" s="5"/>
    </row>
    <row r="2041" spans="12:15" x14ac:dyDescent="0.3">
      <c r="L2041" s="5"/>
      <c r="M2041" s="4"/>
      <c r="N2041" s="5" t="str">
        <f>IF(AND(Table1[[#This Row],[Category]]="pay",NOT(Table1[[#This Row],[Debits]]=0)),"bad","good")</f>
        <v>good</v>
      </c>
      <c r="O2041" s="5"/>
    </row>
    <row r="2042" spans="12:15" x14ac:dyDescent="0.3">
      <c r="L2042" s="5"/>
      <c r="M2042" s="4"/>
      <c r="N2042" s="5" t="str">
        <f>IF(AND(Table1[[#This Row],[Category]]="pay",NOT(Table1[[#This Row],[Debits]]=0)),"bad","good")</f>
        <v>good</v>
      </c>
      <c r="O2042" s="5"/>
    </row>
  </sheetData>
  <conditionalFormatting sqref="M2043:M1048576 L1:O94 M95:N95 M96:O109 L95:L109 L110:O131 M132:O134 M135:N135 M136:O142 L143:O190 L2029:O2042 L241:L2028 M191:O2028">
    <cfRule type="cellIs" dxfId="7" priority="19" operator="equal">
      <formula>"bad"</formula>
    </cfRule>
  </conditionalFormatting>
  <conditionalFormatting sqref="H48">
    <cfRule type="dataBar" priority="18">
      <dataBar>
        <cfvo type="num" val="0"/>
        <cfvo type="num" val="3500"/>
        <color rgb="FF63C384"/>
      </dataBar>
      <extLst>
        <ext xmlns:x14="http://schemas.microsoft.com/office/spreadsheetml/2009/9/main" uri="{B025F937-C7B1-47D3-B67F-A62EFF666E3E}">
          <x14:id>{9245F9F7-D503-468F-A9C4-1F4C3E61FA4D}</x14:id>
        </ext>
      </extLst>
    </cfRule>
  </conditionalFormatting>
  <conditionalFormatting sqref="H49">
    <cfRule type="dataBar" priority="17">
      <dataBar>
        <cfvo type="num" val="0"/>
        <cfvo type="num" val="1800"/>
        <color rgb="FF63C384"/>
      </dataBar>
      <extLst>
        <ext xmlns:x14="http://schemas.microsoft.com/office/spreadsheetml/2009/9/main" uri="{B025F937-C7B1-47D3-B67F-A62EFF666E3E}">
          <x14:id>{275609A3-755E-4E31-99FD-E7AB2020E152}</x14:id>
        </ext>
      </extLst>
    </cfRule>
  </conditionalFormatting>
  <conditionalFormatting sqref="H5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{904571F2-1F97-447B-938D-67A49A09700A}</x14:id>
        </ext>
      </extLst>
    </cfRule>
  </conditionalFormatting>
  <conditionalFormatting sqref="H51">
    <cfRule type="dataBar" priority="15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{08CAF77F-18B9-42F7-864B-9C3190E2BB8D}</x14:id>
        </ext>
      </extLst>
    </cfRule>
  </conditionalFormatting>
  <conditionalFormatting sqref="H53">
    <cfRule type="dataBar" priority="12">
      <dataBar>
        <cfvo type="num" val="0"/>
        <cfvo type="num" val="400"/>
        <color rgb="FFFFC000"/>
      </dataBar>
      <extLst>
        <ext xmlns:x14="http://schemas.microsoft.com/office/spreadsheetml/2009/9/main" uri="{B025F937-C7B1-47D3-B67F-A62EFF666E3E}">
          <x14:id>{3AAAB086-ACB9-4C81-AA37-A6E84B537BC0}</x14:id>
        </ext>
      </extLst>
    </cfRule>
  </conditionalFormatting>
  <conditionalFormatting sqref="H59">
    <cfRule type="dataBar" priority="8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{EFE6A7DA-B385-499F-B23D-7FF1A7269285}</x14:id>
        </ext>
      </extLst>
    </cfRule>
  </conditionalFormatting>
  <conditionalFormatting sqref="H57">
    <cfRule type="dataBar" priority="11">
      <dataBar>
        <cfvo type="num" val="0"/>
        <cfvo type="num" val="3500"/>
        <color rgb="FF63C384"/>
      </dataBar>
      <extLst>
        <ext xmlns:x14="http://schemas.microsoft.com/office/spreadsheetml/2009/9/main" uri="{B025F937-C7B1-47D3-B67F-A62EFF666E3E}">
          <x14:id>{7240F45E-6DF9-4349-B4F6-62C12E65AE19}</x14:id>
        </ext>
      </extLst>
    </cfRule>
  </conditionalFormatting>
  <conditionalFormatting sqref="H58">
    <cfRule type="dataBar" priority="10">
      <dataBar>
        <cfvo type="num" val="0"/>
        <cfvo type="num" val="1800"/>
        <color rgb="FF63C384"/>
      </dataBar>
      <extLst>
        <ext xmlns:x14="http://schemas.microsoft.com/office/spreadsheetml/2009/9/main" uri="{B025F937-C7B1-47D3-B67F-A62EFF666E3E}">
          <x14:id>{6A096793-9467-454B-9D87-29EF97F5ACAA}</x14:id>
        </ext>
      </extLst>
    </cfRule>
  </conditionalFormatting>
  <conditionalFormatting sqref="B2">
    <cfRule type="dataBar" priority="7">
      <dataBar>
        <cfvo type="num" val="0"/>
        <cfvo type="num" val="3500"/>
        <color rgb="FF63C384"/>
      </dataBar>
      <extLst>
        <ext xmlns:x14="http://schemas.microsoft.com/office/spreadsheetml/2009/9/main" uri="{B025F937-C7B1-47D3-B67F-A62EFF666E3E}">
          <x14:id>{7D7461DA-41D0-451E-861A-4025A0987CEC}</x14:id>
        </ext>
      </extLst>
    </cfRule>
  </conditionalFormatting>
  <conditionalFormatting sqref="B3">
    <cfRule type="dataBar" priority="6">
      <dataBar>
        <cfvo type="num" val="0"/>
        <cfvo type="num" val="1800"/>
        <color rgb="FF63C384"/>
      </dataBar>
      <extLst>
        <ext xmlns:x14="http://schemas.microsoft.com/office/spreadsheetml/2009/9/main" uri="{B025F937-C7B1-47D3-B67F-A62EFF666E3E}">
          <x14:id>{E3C79D1E-9BEB-42C7-A804-F3B9F75E6923}</x14:id>
        </ext>
      </extLst>
    </cfRule>
  </conditionalFormatting>
  <conditionalFormatting sqref="B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{095EFFAB-EA10-49D3-8712-4A7CBE4D8AFD}</x14:id>
        </ext>
      </extLst>
    </cfRule>
  </conditionalFormatting>
  <conditionalFormatting sqref="B5">
    <cfRule type="dataBar" priority="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{AF1E15C2-3B5A-467A-9D85-28D37E599277}</x14:id>
        </ext>
      </extLst>
    </cfRule>
  </conditionalFormatting>
  <conditionalFormatting sqref="B6">
    <cfRule type="dataBar" priority="3">
      <dataBar>
        <cfvo type="num" val="0"/>
        <cfvo type="num" val="200"/>
        <color rgb="FF7030A0"/>
      </dataBar>
      <extLst>
        <ext xmlns:x14="http://schemas.microsoft.com/office/spreadsheetml/2009/9/main" uri="{B025F937-C7B1-47D3-B67F-A62EFF666E3E}">
          <x14:id>{429EDD8B-9C3D-44F2-974D-A62E7C0E05F7}</x14:id>
        </ext>
      </extLst>
    </cfRule>
  </conditionalFormatting>
  <conditionalFormatting sqref="B7">
    <cfRule type="dataBar" priority="2">
      <dataBar>
        <cfvo type="num" val="0"/>
        <cfvo type="num" val="$D$7"/>
        <color rgb="FFC00000"/>
      </dataBar>
      <extLst>
        <ext xmlns:x14="http://schemas.microsoft.com/office/spreadsheetml/2009/9/main" uri="{B025F937-C7B1-47D3-B67F-A62EFF666E3E}">
          <x14:id>{F83A67F2-D268-4E7D-B261-A044018B240A}</x14:id>
        </ext>
      </extLst>
    </cfRule>
  </conditionalFormatting>
  <conditionalFormatting sqref="B8">
    <cfRule type="dataBar" priority="1">
      <dataBar>
        <cfvo type="num" val="0"/>
        <cfvo type="num" val="400"/>
        <color rgb="FFFFC000"/>
      </dataBar>
      <extLst>
        <ext xmlns:x14="http://schemas.microsoft.com/office/spreadsheetml/2009/9/main" uri="{B025F937-C7B1-47D3-B67F-A62EFF666E3E}">
          <x14:id>{3012842D-BD9B-47C9-BD85-C9CBB5406D12}</x14:id>
        </ext>
      </extLst>
    </cfRule>
  </conditionalFormatting>
  <dataValidations disablePrompts="1" count="1">
    <dataValidation type="list" allowBlank="1" showInputMessage="1" showErrorMessage="1" sqref="I2029:I1048576" xr:uid="{D7251A5D-A3DC-45FE-AE2B-CBAC930AD4A1}">
      <formula1>"utilities,transportation,personal,rent,investment,groceries,income"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5F9F7-D503-468F-A9C4-1F4C3E61FA4D}">
            <x14:dataBar minLength="0" maxLength="100" gradient="0">
              <x14:cfvo type="num">
                <xm:f>0</xm:f>
              </x14:cfvo>
              <x14:cfvo type="num">
                <xm:f>3500</xm:f>
              </x14:cfvo>
              <x14:negativeFill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275609A3-755E-4E31-99FD-E7AB2020E152}">
            <x14:dataBar minLength="0" maxLength="100" gradient="0">
              <x14:cfvo type="num">
                <xm:f>0</xm:f>
              </x14:cfvo>
              <x14:cfvo type="num">
                <xm:f>1800</xm:f>
              </x14:cfvo>
              <x14:negativeFill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904571F2-1F97-447B-938D-67A49A0970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08CAF77F-18B9-42F7-864B-9C3190E2BB8D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3AAAB086-ACB9-4C81-AA37-A6E84B537BC0}">
            <x14:dataBar minLength="0" maxLength="100" gradient="0">
              <x14:cfvo type="num">
                <xm:f>0</xm:f>
              </x14:cfvo>
              <x14:cfvo type="num">
                <xm:f>400</xm:f>
              </x14:cfvo>
              <x14:negativeFill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EFE6A7DA-B385-499F-B23D-7FF1A7269285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7240F45E-6DF9-4349-B4F6-62C12E65AE19}">
            <x14:dataBar minLength="0" maxLength="100" gradient="0">
              <x14:cfvo type="num">
                <xm:f>0</xm:f>
              </x14:cfvo>
              <x14:cfvo type="num">
                <xm:f>3500</xm:f>
              </x14:cfvo>
              <x14:negativeFill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6A096793-9467-454B-9D87-29EF97F5ACAA}">
            <x14:dataBar minLength="0" maxLength="100" gradient="0">
              <x14:cfvo type="num">
                <xm:f>0</xm:f>
              </x14:cfvo>
              <x14:cfvo type="num">
                <xm:f>1800</xm:f>
              </x14:cfvo>
              <x14:negativeFill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7D7461DA-41D0-451E-861A-4025A0987CEC}">
            <x14:dataBar minLength="0" maxLength="100" gradient="0">
              <x14:cfvo type="num">
                <xm:f>0</xm:f>
              </x14:cfvo>
              <x14:cfvo type="num">
                <xm:f>3500</xm:f>
              </x14:cfvo>
              <x14:negativeFillColor rgb="FFFF0000"/>
              <x14:axisColor rgb="FF000000"/>
            </x14:dataBar>
          </x14:cfRule>
          <xm:sqref>B2</xm:sqref>
        </x14:conditionalFormatting>
        <x14:conditionalFormatting xmlns:xm="http://schemas.microsoft.com/office/excel/2006/main">
          <x14:cfRule type="dataBar" id="{E3C79D1E-9BEB-42C7-A804-F3B9F75E6923}">
            <x14:dataBar minLength="0" maxLength="100" gradient="0">
              <x14:cfvo type="num">
                <xm:f>0</xm:f>
              </x14:cfvo>
              <x14:cfvo type="num">
                <xm:f>1800</xm:f>
              </x14:cfvo>
              <x14:negativeFillColor rgb="FFFF0000"/>
              <x14:axisColor rgb="FF000000"/>
            </x14:dataBar>
          </x14:cfRule>
          <xm:sqref>B3</xm:sqref>
        </x14:conditionalFormatting>
        <x14:conditionalFormatting xmlns:xm="http://schemas.microsoft.com/office/excel/2006/main">
          <x14:cfRule type="dataBar" id="{095EFFAB-EA10-49D3-8712-4A7CBE4D8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</xm:sqref>
        </x14:conditionalFormatting>
        <x14:conditionalFormatting xmlns:xm="http://schemas.microsoft.com/office/excel/2006/main">
          <x14:cfRule type="dataBar" id="{AF1E15C2-3B5A-467A-9D85-28D37E599277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429EDD8B-9C3D-44F2-974D-A62E7C0E05F7}">
            <x14:dataBar minLength="0" maxLength="100" gradient="0">
              <x14:cfvo type="num">
                <xm:f>0</xm:f>
              </x14:cfvo>
              <x14:cfvo type="num">
                <xm:f>200</xm:f>
              </x14:cfvo>
              <x14:negativeFillColor rgb="FFFF0000"/>
              <x14:axisColor rgb="FF000000"/>
            </x14:dataBar>
          </x14:cfRule>
          <xm:sqref>B6</xm:sqref>
        </x14:conditionalFormatting>
        <x14:conditionalFormatting xmlns:xm="http://schemas.microsoft.com/office/excel/2006/main">
          <x14:cfRule type="dataBar" id="{F83A67F2-D268-4E7D-B261-A044018B240A}">
            <x14:dataBar minLength="0" maxLength="100" gradient="0">
              <x14:cfvo type="num">
                <xm:f>0</xm:f>
              </x14:cfvo>
              <x14:cfvo type="num">
                <xm:f>$D$7</xm:f>
              </x14:cfvo>
              <x14:negativeFillColor rgb="FFFF0000"/>
              <x14:axisColor rgb="FF000000"/>
            </x14:dataBar>
          </x14:cfRule>
          <xm:sqref>B7</xm:sqref>
        </x14:conditionalFormatting>
        <x14:conditionalFormatting xmlns:xm="http://schemas.microsoft.com/office/excel/2006/main">
          <x14:cfRule type="dataBar" id="{3012842D-BD9B-47C9-BD85-C9CBB5406D12}">
            <x14:dataBar minLength="0" maxLength="100" gradient="0">
              <x14:cfvo type="num">
                <xm:f>0</xm:f>
              </x14:cfvo>
              <x14:cfvo type="num">
                <xm:f>400</xm:f>
              </x14:cfvo>
              <x14:negativeFillColor rgb="FFFF0000"/>
              <x14:axisColor rgb="FF000000"/>
            </x14:dataBar>
          </x14:cfRule>
          <xm:sqref>B8</xm:sqref>
        </x14:conditionalFormatting>
        <x14:conditionalFormatting xmlns:xm="http://schemas.microsoft.com/office/excel/2006/main">
          <x14:cfRule type="dataBar" priority="22" id="{7F7725DA-31A7-4FD5-8E9B-EBC729435253}">
            <x14:dataBar minLength="0" maxLength="100" gradient="0">
              <x14:cfvo type="num">
                <xm:f>0</xm:f>
              </x14:cfvo>
              <x14:cfvo type="num">
                <xm:f>Sheet1!$D$7</xm:f>
              </x14:cfvo>
              <x14:fillColor rgb="FFC00000"/>
              <x14:negativeFillColor rgb="FFFF0000"/>
              <x14:axisColor rgb="FF000000"/>
            </x14:dataBar>
          </x14:cfRule>
          <xm:sqref>H52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238FBE0-2D01-4DCE-8B28-38AB523ED1E4}">
          <x14:formula1>
            <xm:f>Sheet1!$A$2:$A$8</xm:f>
          </x14:formula1>
          <xm:sqref>I2 I25:I56 I241:I2028 I58:I190 I4:I23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8D468-D636-448E-ABFF-E8280F7E6B00}">
  <sheetPr codeName="Sheet7"/>
  <dimension ref="A1:D10"/>
  <sheetViews>
    <sheetView workbookViewId="0">
      <selection activeCell="B6" sqref="B6"/>
    </sheetView>
  </sheetViews>
  <sheetFormatPr defaultRowHeight="14.4" x14ac:dyDescent="0.3"/>
  <cols>
    <col min="2" max="2" width="23.109375" customWidth="1"/>
  </cols>
  <sheetData>
    <row r="1" spans="1:4" x14ac:dyDescent="0.3">
      <c r="A1" t="s">
        <v>0</v>
      </c>
      <c r="B1">
        <v>1</v>
      </c>
      <c r="D1" t="s">
        <v>13</v>
      </c>
    </row>
    <row r="2" spans="1:4" x14ac:dyDescent="0.3">
      <c r="A2" t="s">
        <v>44</v>
      </c>
      <c r="B2" s="4">
        <f>SUMIFS('2022'!K:K,'2022'!F:F,$B$1,'2022'!I:I,A2)-SUMIFS('2022'!J:J,'2022'!F:F,$B$1,'2022'!I:I,A2)</f>
        <v>0</v>
      </c>
      <c r="D2">
        <v>3500</v>
      </c>
    </row>
    <row r="3" spans="1:4" x14ac:dyDescent="0.3">
      <c r="A3" t="s">
        <v>7</v>
      </c>
      <c r="B3" s="4">
        <f>SUMIFS('2022'!J:J,'2022'!F:F,$B$1,'2022'!I:I,A3)-SUMIFS('2022'!K:K,'2022'!F:F,$B$1,'2022'!I:I,A3)</f>
        <v>0</v>
      </c>
      <c r="D3">
        <v>1800</v>
      </c>
    </row>
    <row r="4" spans="1:4" x14ac:dyDescent="0.3">
      <c r="A4" t="s">
        <v>9</v>
      </c>
      <c r="B4" s="4">
        <f>SUMIFS('2022'!J:J,'2022'!F:F,$B$1,'2022'!I:I,A4)-SUMIFS('2022'!K:K,'2022'!F:F,$B$1,'2022'!I:I,A4)</f>
        <v>0</v>
      </c>
      <c r="D4">
        <v>700</v>
      </c>
    </row>
    <row r="5" spans="1:4" x14ac:dyDescent="0.3">
      <c r="A5" t="s">
        <v>10</v>
      </c>
      <c r="B5" s="4">
        <f>SUMIFS('2022'!J:J,'2022'!F:F,$B$1,'2022'!I:I,A5)-SUMIFS('2022'!K:K,'2022'!F:F,$B$1,'2022'!I:I,A5)</f>
        <v>0</v>
      </c>
      <c r="D5">
        <v>120</v>
      </c>
    </row>
    <row r="6" spans="1:4" x14ac:dyDescent="0.3">
      <c r="A6" t="s">
        <v>16</v>
      </c>
      <c r="B6" s="4">
        <f>SUMIFS('2022'!J:J,'2022'!F:F,$B$1,'2022'!I:I,A6)-SUMIFS('2022'!K:K,'2022'!F:F,$B$1,'2022'!I:I,A6)</f>
        <v>0</v>
      </c>
      <c r="D6">
        <v>200</v>
      </c>
    </row>
    <row r="7" spans="1:4" x14ac:dyDescent="0.3">
      <c r="A7" t="s">
        <v>11</v>
      </c>
      <c r="B7">
        <f>SUMIFS('2022'!J:J,'2022'!F:F,$B$1,'2022'!I:I,A7)</f>
        <v>0</v>
      </c>
      <c r="D7">
        <v>100</v>
      </c>
    </row>
    <row r="8" spans="1:4" x14ac:dyDescent="0.3">
      <c r="A8" t="s">
        <v>12</v>
      </c>
      <c r="B8">
        <f>SUMIFS('2022'!J:J,'2022'!F:F,$B$1,'2022'!I:I,A8)</f>
        <v>0</v>
      </c>
      <c r="D8">
        <v>400</v>
      </c>
    </row>
    <row r="9" spans="1:4" x14ac:dyDescent="0.3">
      <c r="C9" t="s">
        <v>15</v>
      </c>
      <c r="D9">
        <f>D2-SUM(D3:D8)</f>
        <v>180</v>
      </c>
    </row>
    <row r="10" spans="1:4" x14ac:dyDescent="0.3">
      <c r="A10" t="s">
        <v>14</v>
      </c>
      <c r="B10">
        <f>B2-SUM(B3:B8)</f>
        <v>0</v>
      </c>
    </row>
  </sheetData>
  <conditionalFormatting sqref="B2">
    <cfRule type="dataBar" priority="7">
      <dataBar>
        <cfvo type="num" val="0"/>
        <cfvo type="num" val="3500"/>
        <color rgb="FF63C384"/>
      </dataBar>
      <extLst>
        <ext xmlns:x14="http://schemas.microsoft.com/office/spreadsheetml/2009/9/main" uri="{B025F937-C7B1-47D3-B67F-A62EFF666E3E}">
          <x14:id>{CBA2755F-5649-4CB6-AF37-B89B487CCE78}</x14:id>
        </ext>
      </extLst>
    </cfRule>
  </conditionalFormatting>
  <conditionalFormatting sqref="B3">
    <cfRule type="dataBar" priority="6">
      <dataBar>
        <cfvo type="num" val="0"/>
        <cfvo type="num" val="1800"/>
        <color rgb="FF63C384"/>
      </dataBar>
      <extLst>
        <ext xmlns:x14="http://schemas.microsoft.com/office/spreadsheetml/2009/9/main" uri="{B025F937-C7B1-47D3-B67F-A62EFF666E3E}">
          <x14:id>{89123C6A-6163-4E75-8F64-5DA5D68369BA}</x14:id>
        </ext>
      </extLst>
    </cfRule>
  </conditionalFormatting>
  <conditionalFormatting sqref="B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{312B6AAE-DB84-49F7-92DA-FCAEEB2D9031}</x14:id>
        </ext>
      </extLst>
    </cfRule>
  </conditionalFormatting>
  <conditionalFormatting sqref="B5">
    <cfRule type="dataBar" priority="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{F1E447C2-FF6C-448B-8C29-5745A494F96A}</x14:id>
        </ext>
      </extLst>
    </cfRule>
  </conditionalFormatting>
  <conditionalFormatting sqref="B6">
    <cfRule type="dataBar" priority="3">
      <dataBar>
        <cfvo type="num" val="0"/>
        <cfvo type="num" val="200"/>
        <color rgb="FF7030A0"/>
      </dataBar>
      <extLst>
        <ext xmlns:x14="http://schemas.microsoft.com/office/spreadsheetml/2009/9/main" uri="{B025F937-C7B1-47D3-B67F-A62EFF666E3E}">
          <x14:id>{EBC1349F-2F60-4062-A589-7C3FFD3B0436}</x14:id>
        </ext>
      </extLst>
    </cfRule>
  </conditionalFormatting>
  <conditionalFormatting sqref="B7">
    <cfRule type="dataBar" priority="2">
      <dataBar>
        <cfvo type="num" val="0"/>
        <cfvo type="num" val="$D$7"/>
        <color rgb="FFC00000"/>
      </dataBar>
      <extLst>
        <ext xmlns:x14="http://schemas.microsoft.com/office/spreadsheetml/2009/9/main" uri="{B025F937-C7B1-47D3-B67F-A62EFF666E3E}">
          <x14:id>{001B5615-9ACA-4A59-A806-EDC9FF84593A}</x14:id>
        </ext>
      </extLst>
    </cfRule>
  </conditionalFormatting>
  <conditionalFormatting sqref="B8">
    <cfRule type="dataBar" priority="1">
      <dataBar>
        <cfvo type="num" val="0"/>
        <cfvo type="num" val="400"/>
        <color rgb="FFFFC000"/>
      </dataBar>
      <extLst>
        <ext xmlns:x14="http://schemas.microsoft.com/office/spreadsheetml/2009/9/main" uri="{B025F937-C7B1-47D3-B67F-A62EFF666E3E}">
          <x14:id>{1F27D41D-498E-4BAD-A32C-F5E4DD5428F7}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A2755F-5649-4CB6-AF37-B89B487CCE78}">
            <x14:dataBar minLength="0" maxLength="100" gradient="0">
              <x14:cfvo type="num">
                <xm:f>0</xm:f>
              </x14:cfvo>
              <x14:cfvo type="num">
                <xm:f>3500</xm:f>
              </x14:cfvo>
              <x14:negativeFillColor rgb="FFFF0000"/>
              <x14:axisColor rgb="FF000000"/>
            </x14:dataBar>
          </x14:cfRule>
          <xm:sqref>B2</xm:sqref>
        </x14:conditionalFormatting>
        <x14:conditionalFormatting xmlns:xm="http://schemas.microsoft.com/office/excel/2006/main">
          <x14:cfRule type="dataBar" id="{89123C6A-6163-4E75-8F64-5DA5D68369BA}">
            <x14:dataBar minLength="0" maxLength="100" gradient="0">
              <x14:cfvo type="num">
                <xm:f>0</xm:f>
              </x14:cfvo>
              <x14:cfvo type="num">
                <xm:f>1800</xm:f>
              </x14:cfvo>
              <x14:negativeFillColor rgb="FFFF0000"/>
              <x14:axisColor rgb="FF000000"/>
            </x14:dataBar>
          </x14:cfRule>
          <xm:sqref>B3</xm:sqref>
        </x14:conditionalFormatting>
        <x14:conditionalFormatting xmlns:xm="http://schemas.microsoft.com/office/excel/2006/main">
          <x14:cfRule type="dataBar" id="{312B6AAE-DB84-49F7-92DA-FCAEEB2D90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</xm:sqref>
        </x14:conditionalFormatting>
        <x14:conditionalFormatting xmlns:xm="http://schemas.microsoft.com/office/excel/2006/main">
          <x14:cfRule type="dataBar" id="{F1E447C2-FF6C-448B-8C29-5745A494F96A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EBC1349F-2F60-4062-A589-7C3FFD3B0436}">
            <x14:dataBar minLength="0" maxLength="100" gradient="0">
              <x14:cfvo type="num">
                <xm:f>0</xm:f>
              </x14:cfvo>
              <x14:cfvo type="num">
                <xm:f>200</xm:f>
              </x14:cfvo>
              <x14:negativeFillColor rgb="FFFF0000"/>
              <x14:axisColor rgb="FF000000"/>
            </x14:dataBar>
          </x14:cfRule>
          <xm:sqref>B6</xm:sqref>
        </x14:conditionalFormatting>
        <x14:conditionalFormatting xmlns:xm="http://schemas.microsoft.com/office/excel/2006/main">
          <x14:cfRule type="dataBar" id="{001B5615-9ACA-4A59-A806-EDC9FF84593A}">
            <x14:dataBar minLength="0" maxLength="100" gradient="0">
              <x14:cfvo type="num">
                <xm:f>0</xm:f>
              </x14:cfvo>
              <x14:cfvo type="num">
                <xm:f>$D$7</xm:f>
              </x14:cfvo>
              <x14:negativeFillColor rgb="FFFF0000"/>
              <x14:axisColor rgb="FF000000"/>
            </x14:dataBar>
          </x14:cfRule>
          <xm:sqref>B7</xm:sqref>
        </x14:conditionalFormatting>
        <x14:conditionalFormatting xmlns:xm="http://schemas.microsoft.com/office/excel/2006/main">
          <x14:cfRule type="dataBar" id="{1F27D41D-498E-4BAD-A32C-F5E4DD5428F7}">
            <x14:dataBar minLength="0" maxLength="100" gradient="0">
              <x14:cfvo type="num">
                <xm:f>0</xm:f>
              </x14:cfvo>
              <x14:cfvo type="num">
                <xm:f>400</xm:f>
              </x14:cfvo>
              <x14:negativeFillColor rgb="FFFF0000"/>
              <x14:axisColor rgb="FF000000"/>
            </x14:dataBar>
          </x14:cfRule>
          <xm:sqref>B8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32227-D323-4E06-8CA3-9AA96B1649DC}">
  <sheetPr codeName="Sheet2"/>
  <dimension ref="A1:D10"/>
  <sheetViews>
    <sheetView workbookViewId="0">
      <selection activeCell="B1" sqref="B1"/>
    </sheetView>
  </sheetViews>
  <sheetFormatPr defaultRowHeight="14.4" x14ac:dyDescent="0.3"/>
  <cols>
    <col min="2" max="2" width="23.109375" customWidth="1"/>
  </cols>
  <sheetData>
    <row r="1" spans="1:4" x14ac:dyDescent="0.3">
      <c r="A1" t="s">
        <v>0</v>
      </c>
      <c r="B1">
        <v>8</v>
      </c>
      <c r="D1" t="s">
        <v>13</v>
      </c>
    </row>
    <row r="2" spans="1:4" x14ac:dyDescent="0.3">
      <c r="A2" t="s">
        <v>44</v>
      </c>
      <c r="B2" s="4">
        <f>SUMIFS('2021'!K:K,'2021'!F:F,$B$1,'2021'!I:I,A2)-SUMIFS('2021'!J:J,'2021'!F:F,$B$1,'2021'!I:I,A2)</f>
        <v>0</v>
      </c>
      <c r="D2">
        <v>3500</v>
      </c>
    </row>
    <row r="3" spans="1:4" x14ac:dyDescent="0.3">
      <c r="A3" t="s">
        <v>7</v>
      </c>
      <c r="B3" s="4">
        <f>SUMIFS('2021'!J:J,'2021'!F:F,$B$1,'2021'!I:I,A3)-SUMIFS('2021'!K:K,'2021'!F:F,$B$1,'2021'!I:I,A3)</f>
        <v>0</v>
      </c>
      <c r="D3">
        <v>1800</v>
      </c>
    </row>
    <row r="4" spans="1:4" x14ac:dyDescent="0.3">
      <c r="A4" t="s">
        <v>9</v>
      </c>
      <c r="B4" s="4">
        <f>SUMIFS('2021'!J:J,'2021'!F:F,$B$1,'2021'!I:I,A4)-SUMIFS('2021'!K:K,'2021'!F:F,$B$1,'2021'!I:I,A4)</f>
        <v>0</v>
      </c>
      <c r="D4">
        <v>700</v>
      </c>
    </row>
    <row r="5" spans="1:4" x14ac:dyDescent="0.3">
      <c r="A5" t="s">
        <v>10</v>
      </c>
      <c r="B5" s="4">
        <f>SUMIFS('2021'!J:J,'2021'!F:F,$B$1,'2021'!I:I,A5)-SUMIFS('2021'!K:K,'2021'!F:F,$B$1,'2021'!I:I,A5)</f>
        <v>0</v>
      </c>
      <c r="D5">
        <v>120</v>
      </c>
    </row>
    <row r="6" spans="1:4" x14ac:dyDescent="0.3">
      <c r="A6" t="s">
        <v>16</v>
      </c>
      <c r="B6" s="4">
        <f>SUMIFS('2021'!J:J,'2021'!F:F,$B$1,'2021'!I:I,A6)-SUMIFS('2021'!K:K,'2021'!F:F,$B$1,'2021'!I:I,A6)</f>
        <v>0</v>
      </c>
      <c r="D6">
        <v>200</v>
      </c>
    </row>
    <row r="7" spans="1:4" x14ac:dyDescent="0.3">
      <c r="A7" t="s">
        <v>11</v>
      </c>
      <c r="B7">
        <f>SUMIFS('2021'!J:J,'2021'!F:F,$B$1,'2021'!I:I,A7)</f>
        <v>0</v>
      </c>
      <c r="D7">
        <v>100</v>
      </c>
    </row>
    <row r="8" spans="1:4" x14ac:dyDescent="0.3">
      <c r="A8" t="s">
        <v>12</v>
      </c>
      <c r="B8">
        <f>SUMIFS('2021'!J:J,'2021'!F:F,$B$1,'2021'!I:I,A8)</f>
        <v>0</v>
      </c>
      <c r="D8">
        <v>400</v>
      </c>
    </row>
    <row r="9" spans="1:4" x14ac:dyDescent="0.3">
      <c r="C9" t="s">
        <v>15</v>
      </c>
      <c r="D9">
        <f>D2-SUM(D3:D8)</f>
        <v>180</v>
      </c>
    </row>
    <row r="10" spans="1:4" x14ac:dyDescent="0.3">
      <c r="A10" t="s">
        <v>14</v>
      </c>
      <c r="B10">
        <f>B2-SUM(B3:B8)</f>
        <v>0</v>
      </c>
    </row>
  </sheetData>
  <conditionalFormatting sqref="B2">
    <cfRule type="dataBar" priority="7">
      <dataBar>
        <cfvo type="num" val="0"/>
        <cfvo type="num" val="3500"/>
        <color rgb="FF63C384"/>
      </dataBar>
      <extLst>
        <ext xmlns:x14="http://schemas.microsoft.com/office/spreadsheetml/2009/9/main" uri="{B025F937-C7B1-47D3-B67F-A62EFF666E3E}">
          <x14:id>{CF230791-8334-438F-A233-3ECC372A82A4}</x14:id>
        </ext>
      </extLst>
    </cfRule>
  </conditionalFormatting>
  <conditionalFormatting sqref="B3">
    <cfRule type="dataBar" priority="6">
      <dataBar>
        <cfvo type="num" val="0"/>
        <cfvo type="num" val="1800"/>
        <color rgb="FF63C384"/>
      </dataBar>
      <extLst>
        <ext xmlns:x14="http://schemas.microsoft.com/office/spreadsheetml/2009/9/main" uri="{B025F937-C7B1-47D3-B67F-A62EFF666E3E}">
          <x14:id>{AE015886-1528-4F75-8213-EFDDC43CCA37}</x14:id>
        </ext>
      </extLst>
    </cfRule>
  </conditionalFormatting>
  <conditionalFormatting sqref="B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{9F40ED8C-311A-49CD-90AF-BD2A9AA0212F}</x14:id>
        </ext>
      </extLst>
    </cfRule>
  </conditionalFormatting>
  <conditionalFormatting sqref="B5">
    <cfRule type="dataBar" priority="4">
      <dataBar>
        <cfvo type="num" val="0"/>
        <cfvo type="num" val="100"/>
        <color rgb="FFFFC000"/>
      </dataBar>
      <extLst>
        <ext xmlns:x14="http://schemas.microsoft.com/office/spreadsheetml/2009/9/main" uri="{B025F937-C7B1-47D3-B67F-A62EFF666E3E}">
          <x14:id>{5B5B741C-645B-4B15-B78D-62B147DFFD61}</x14:id>
        </ext>
      </extLst>
    </cfRule>
  </conditionalFormatting>
  <conditionalFormatting sqref="B6">
    <cfRule type="dataBar" priority="3">
      <dataBar>
        <cfvo type="num" val="0"/>
        <cfvo type="num" val="200"/>
        <color rgb="FF7030A0"/>
      </dataBar>
      <extLst>
        <ext xmlns:x14="http://schemas.microsoft.com/office/spreadsheetml/2009/9/main" uri="{B025F937-C7B1-47D3-B67F-A62EFF666E3E}">
          <x14:id>{DADF927D-CCDC-47A5-A42B-C3BDFBB71AF3}</x14:id>
        </ext>
      </extLst>
    </cfRule>
  </conditionalFormatting>
  <conditionalFormatting sqref="B7">
    <cfRule type="dataBar" priority="2">
      <dataBar>
        <cfvo type="num" val="0"/>
        <cfvo type="num" val="$D$7"/>
        <color rgb="FFC00000"/>
      </dataBar>
      <extLst>
        <ext xmlns:x14="http://schemas.microsoft.com/office/spreadsheetml/2009/9/main" uri="{B025F937-C7B1-47D3-B67F-A62EFF666E3E}">
          <x14:id>{D724DBB1-C215-4930-8510-05A1A868D88C}</x14:id>
        </ext>
      </extLst>
    </cfRule>
  </conditionalFormatting>
  <conditionalFormatting sqref="B8">
    <cfRule type="dataBar" priority="1">
      <dataBar>
        <cfvo type="num" val="0"/>
        <cfvo type="num" val="400"/>
        <color rgb="FFFFC000"/>
      </dataBar>
      <extLst>
        <ext xmlns:x14="http://schemas.microsoft.com/office/spreadsheetml/2009/9/main" uri="{B025F937-C7B1-47D3-B67F-A62EFF666E3E}">
          <x14:id>{7742AF6E-2EB1-4778-8A31-3FF3C0F32435}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30791-8334-438F-A233-3ECC372A82A4}">
            <x14:dataBar minLength="0" maxLength="100" gradient="0">
              <x14:cfvo type="num">
                <xm:f>0</xm:f>
              </x14:cfvo>
              <x14:cfvo type="num">
                <xm:f>3500</xm:f>
              </x14:cfvo>
              <x14:negativeFillColor rgb="FFFF0000"/>
              <x14:axisColor rgb="FF000000"/>
            </x14:dataBar>
          </x14:cfRule>
          <xm:sqref>B2</xm:sqref>
        </x14:conditionalFormatting>
        <x14:conditionalFormatting xmlns:xm="http://schemas.microsoft.com/office/excel/2006/main">
          <x14:cfRule type="dataBar" id="{AE015886-1528-4F75-8213-EFDDC43CCA37}">
            <x14:dataBar minLength="0" maxLength="100" gradient="0">
              <x14:cfvo type="num">
                <xm:f>0</xm:f>
              </x14:cfvo>
              <x14:cfvo type="num">
                <xm:f>1800</xm:f>
              </x14:cfvo>
              <x14:negativeFillColor rgb="FFFF0000"/>
              <x14:axisColor rgb="FF000000"/>
            </x14:dataBar>
          </x14:cfRule>
          <xm:sqref>B3</xm:sqref>
        </x14:conditionalFormatting>
        <x14:conditionalFormatting xmlns:xm="http://schemas.microsoft.com/office/excel/2006/main">
          <x14:cfRule type="dataBar" id="{9F40ED8C-311A-49CD-90AF-BD2A9AA021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</xm:sqref>
        </x14:conditionalFormatting>
        <x14:conditionalFormatting xmlns:xm="http://schemas.microsoft.com/office/excel/2006/main">
          <x14:cfRule type="dataBar" id="{5B5B741C-645B-4B15-B78D-62B147DFFD61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DADF927D-CCDC-47A5-A42B-C3BDFBB71AF3}">
            <x14:dataBar minLength="0" maxLength="100" gradient="0">
              <x14:cfvo type="num">
                <xm:f>0</xm:f>
              </x14:cfvo>
              <x14:cfvo type="num">
                <xm:f>200</xm:f>
              </x14:cfvo>
              <x14:negativeFillColor rgb="FFFF0000"/>
              <x14:axisColor rgb="FF000000"/>
            </x14:dataBar>
          </x14:cfRule>
          <xm:sqref>B6</xm:sqref>
        </x14:conditionalFormatting>
        <x14:conditionalFormatting xmlns:xm="http://schemas.microsoft.com/office/excel/2006/main">
          <x14:cfRule type="dataBar" id="{D724DBB1-C215-4930-8510-05A1A868D88C}">
            <x14:dataBar minLength="0" maxLength="100" gradient="0">
              <x14:cfvo type="num">
                <xm:f>0</xm:f>
              </x14:cfvo>
              <x14:cfvo type="num">
                <xm:f>$D$7</xm:f>
              </x14:cfvo>
              <x14:negativeFillColor rgb="FFFF0000"/>
              <x14:axisColor rgb="FF000000"/>
            </x14:dataBar>
          </x14:cfRule>
          <xm:sqref>B7</xm:sqref>
        </x14:conditionalFormatting>
        <x14:conditionalFormatting xmlns:xm="http://schemas.microsoft.com/office/excel/2006/main">
          <x14:cfRule type="dataBar" id="{7742AF6E-2EB1-4778-8A31-3FF3C0F32435}">
            <x14:dataBar minLength="0" maxLength="100" gradient="0">
              <x14:cfvo type="num">
                <xm:f>0</xm:f>
              </x14:cfvo>
              <x14:cfvo type="num">
                <xm:f>400</xm:f>
              </x14:cfvo>
              <x14:negativeFillColor rgb="FFFF0000"/>
              <x14:axisColor rgb="FF000000"/>
            </x14:dataBar>
          </x14:cfRule>
          <xm:sqref>B8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707DE-F820-4A84-ADE5-A0B15CC80ECD}">
  <sheetPr codeName="Sheet3"/>
  <dimension ref="A1:F13"/>
  <sheetViews>
    <sheetView workbookViewId="0">
      <selection activeCell="F14" sqref="F14"/>
    </sheetView>
  </sheetViews>
  <sheetFormatPr defaultRowHeight="14.4" x14ac:dyDescent="0.3"/>
  <cols>
    <col min="1" max="1" width="23.109375" customWidth="1"/>
    <col min="6" max="6" width="10.33203125" bestFit="1" customWidth="1"/>
  </cols>
  <sheetData>
    <row r="1" spans="1:6" x14ac:dyDescent="0.3">
      <c r="A1" t="s">
        <v>19</v>
      </c>
      <c r="B1">
        <v>50</v>
      </c>
    </row>
    <row r="2" spans="1:6" x14ac:dyDescent="0.3">
      <c r="A2" t="s">
        <v>20</v>
      </c>
      <c r="B2">
        <v>112</v>
      </c>
      <c r="E2" s="11">
        <v>111.1</v>
      </c>
    </row>
    <row r="3" spans="1:6" x14ac:dyDescent="0.3">
      <c r="E3" s="12">
        <v>28</v>
      </c>
    </row>
    <row r="4" spans="1:6" x14ac:dyDescent="0.3">
      <c r="E4" s="11">
        <v>377.42</v>
      </c>
    </row>
    <row r="5" spans="1:6" x14ac:dyDescent="0.3">
      <c r="E5" s="12">
        <v>0</v>
      </c>
    </row>
    <row r="6" spans="1:6" x14ac:dyDescent="0.3">
      <c r="E6" s="11">
        <v>846.37</v>
      </c>
    </row>
    <row r="7" spans="1:6" x14ac:dyDescent="0.3">
      <c r="E7" s="12">
        <v>159.75</v>
      </c>
    </row>
    <row r="8" spans="1:6" x14ac:dyDescent="0.3">
      <c r="E8" s="11">
        <v>5.64</v>
      </c>
    </row>
    <row r="9" spans="1:6" x14ac:dyDescent="0.3">
      <c r="E9" s="12">
        <v>58.73</v>
      </c>
    </row>
    <row r="10" spans="1:6" x14ac:dyDescent="0.3">
      <c r="E10" s="11">
        <v>22.59</v>
      </c>
    </row>
    <row r="11" spans="1:6" x14ac:dyDescent="0.3">
      <c r="E11" s="12">
        <v>81.36</v>
      </c>
    </row>
    <row r="12" spans="1:6" x14ac:dyDescent="0.3">
      <c r="E12" s="13">
        <v>8.5</v>
      </c>
    </row>
    <row r="13" spans="1:6" x14ac:dyDescent="0.3">
      <c r="F13" s="9">
        <f>SUM(E2:E12)</f>
        <v>1699.4599999999998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2F2EF-0DBD-4F53-A128-BAFDE09C2F7D}">
  <sheetPr codeName="Sheet4"/>
  <dimension ref="A7:K33"/>
  <sheetViews>
    <sheetView topLeftCell="A10" zoomScaleNormal="100" workbookViewId="0">
      <selection activeCell="F13" sqref="F13:K33"/>
    </sheetView>
  </sheetViews>
  <sheetFormatPr defaultRowHeight="14.4" x14ac:dyDescent="0.3"/>
  <cols>
    <col min="9" max="10" width="8.88671875" style="9"/>
  </cols>
  <sheetData>
    <row r="7" spans="1:11" x14ac:dyDescent="0.3">
      <c r="A7" t="s">
        <v>46</v>
      </c>
    </row>
    <row r="10" spans="1:11" x14ac:dyDescent="0.3">
      <c r="A10" t="s">
        <v>26</v>
      </c>
      <c r="B10" t="s">
        <v>27</v>
      </c>
      <c r="C10" t="s">
        <v>28</v>
      </c>
      <c r="D10" t="s">
        <v>29</v>
      </c>
      <c r="E10" t="s">
        <v>1</v>
      </c>
    </row>
    <row r="13" spans="1:11" x14ac:dyDescent="0.3">
      <c r="A13" t="s">
        <v>30</v>
      </c>
      <c r="B13" t="s">
        <v>33</v>
      </c>
      <c r="C13">
        <v>20220131</v>
      </c>
      <c r="D13">
        <v>-500</v>
      </c>
      <c r="E13" t="s">
        <v>34</v>
      </c>
      <c r="F13" s="10">
        <f>DATE(LEFT(C13,4),MID(C13,5,2),RIGHT(C13,2))</f>
        <v>44592</v>
      </c>
      <c r="G13" s="5" t="str">
        <f>RIGHT(E13,LEN(E13)-4)</f>
        <v xml:space="preserve">QUESTRADE INC                                                              </v>
      </c>
      <c r="I13" s="9">
        <f>-(D13-ABS(D13))/2</f>
        <v>500</v>
      </c>
      <c r="J13" s="9">
        <f>(D13+ABS(D13))/2</f>
        <v>0</v>
      </c>
      <c r="K13" t="s">
        <v>25</v>
      </c>
    </row>
    <row r="14" spans="1:11" x14ac:dyDescent="0.3">
      <c r="A14" t="s">
        <v>30</v>
      </c>
      <c r="B14" t="s">
        <v>33</v>
      </c>
      <c r="C14">
        <v>20220131</v>
      </c>
      <c r="D14">
        <v>-50</v>
      </c>
      <c r="E14" t="s">
        <v>45</v>
      </c>
      <c r="F14" s="10">
        <f t="shared" ref="F14:F33" si="0">DATE(LEFT(C14,4),MID(C14,5,2),RIGHT(C14,2))</f>
        <v>44592</v>
      </c>
      <c r="G14" s="5" t="str">
        <f t="shared" ref="G14:G33" si="1">RIGHT(E14,LEN(E14)-4)</f>
        <v xml:space="preserve">INTERAC ETRNSFR SENT     KARTIKEYA                20220301936D1F6BA        </v>
      </c>
      <c r="I14" s="9">
        <f t="shared" ref="I14:I33" si="2">-(D14-ABS(D14))/2</f>
        <v>50</v>
      </c>
      <c r="J14" s="9">
        <f t="shared" ref="J14:J33" si="3">(D14+ABS(D14))/2</f>
        <v>0</v>
      </c>
      <c r="K14" t="s">
        <v>25</v>
      </c>
    </row>
    <row r="15" spans="1:11" x14ac:dyDescent="0.3">
      <c r="A15" t="s">
        <v>30</v>
      </c>
      <c r="B15" t="s">
        <v>31</v>
      </c>
      <c r="C15">
        <v>20220204</v>
      </c>
      <c r="D15">
        <v>981.45</v>
      </c>
      <c r="E15" t="s">
        <v>32</v>
      </c>
      <c r="F15" s="10">
        <f t="shared" si="0"/>
        <v>44596</v>
      </c>
      <c r="G15" s="5" t="str">
        <f t="shared" si="1"/>
        <v xml:space="preserve">HONDA OF CANADA PAY/PAY                                                    </v>
      </c>
      <c r="I15" s="9">
        <f t="shared" si="2"/>
        <v>0</v>
      </c>
      <c r="J15" s="9">
        <f t="shared" si="3"/>
        <v>981.45</v>
      </c>
      <c r="K15" t="s">
        <v>25</v>
      </c>
    </row>
    <row r="16" spans="1:11" x14ac:dyDescent="0.3">
      <c r="A16" t="s">
        <v>30</v>
      </c>
      <c r="B16" t="s">
        <v>33</v>
      </c>
      <c r="C16">
        <v>20220207</v>
      </c>
      <c r="D16">
        <v>-13</v>
      </c>
      <c r="E16" t="s">
        <v>47</v>
      </c>
      <c r="F16" s="10">
        <f t="shared" si="0"/>
        <v>44599</v>
      </c>
      <c r="G16" s="5" t="str">
        <f t="shared" si="1"/>
        <v xml:space="preserve">INTERAC ETRNSFR SENT     SCOTT DENNIS             202203710593F5493        </v>
      </c>
      <c r="I16" s="9">
        <f t="shared" si="2"/>
        <v>13</v>
      </c>
      <c r="J16" s="9">
        <f t="shared" si="3"/>
        <v>0</v>
      </c>
      <c r="K16" t="s">
        <v>25</v>
      </c>
    </row>
    <row r="17" spans="1:11" x14ac:dyDescent="0.3">
      <c r="A17" t="s">
        <v>30</v>
      </c>
      <c r="B17" t="s">
        <v>33</v>
      </c>
      <c r="C17">
        <v>20220207</v>
      </c>
      <c r="D17">
        <v>-700</v>
      </c>
      <c r="E17" t="s">
        <v>35</v>
      </c>
      <c r="F17" s="10">
        <f t="shared" si="0"/>
        <v>44599</v>
      </c>
      <c r="G17" s="5" t="str">
        <f t="shared" si="1"/>
        <v xml:space="preserve">PC MC                                                                      </v>
      </c>
      <c r="I17" s="9">
        <f t="shared" si="2"/>
        <v>700</v>
      </c>
      <c r="J17" s="9">
        <f t="shared" si="3"/>
        <v>0</v>
      </c>
      <c r="K17" t="s">
        <v>25</v>
      </c>
    </row>
    <row r="18" spans="1:11" x14ac:dyDescent="0.3">
      <c r="A18" t="s">
        <v>30</v>
      </c>
      <c r="B18" t="s">
        <v>33</v>
      </c>
      <c r="C18">
        <v>20220208</v>
      </c>
      <c r="D18">
        <v>-500</v>
      </c>
      <c r="E18" t="s">
        <v>34</v>
      </c>
      <c r="F18" s="10">
        <f t="shared" si="0"/>
        <v>44600</v>
      </c>
      <c r="G18" s="5" t="str">
        <f t="shared" si="1"/>
        <v xml:space="preserve">QUESTRADE INC                                                              </v>
      </c>
      <c r="I18" s="9">
        <f t="shared" si="2"/>
        <v>500</v>
      </c>
      <c r="J18" s="9">
        <f t="shared" si="3"/>
        <v>0</v>
      </c>
      <c r="K18" t="s">
        <v>25</v>
      </c>
    </row>
    <row r="19" spans="1:11" x14ac:dyDescent="0.3">
      <c r="A19" t="s">
        <v>30</v>
      </c>
      <c r="B19" t="s">
        <v>33</v>
      </c>
      <c r="C19">
        <v>20220209</v>
      </c>
      <c r="D19">
        <v>-125</v>
      </c>
      <c r="E19" t="s">
        <v>48</v>
      </c>
      <c r="F19" s="10">
        <f t="shared" si="0"/>
        <v>44601</v>
      </c>
      <c r="G19" s="5" t="str">
        <f t="shared" si="1"/>
        <v xml:space="preserve">INTERAC ETRNSFR SENT     SELIN                    20220400511764FE9        </v>
      </c>
      <c r="I19" s="9">
        <f t="shared" si="2"/>
        <v>125</v>
      </c>
      <c r="J19" s="9">
        <f t="shared" si="3"/>
        <v>0</v>
      </c>
      <c r="K19" t="s">
        <v>25</v>
      </c>
    </row>
    <row r="20" spans="1:11" x14ac:dyDescent="0.3">
      <c r="A20" t="s">
        <v>30</v>
      </c>
      <c r="B20" t="s">
        <v>31</v>
      </c>
      <c r="C20">
        <v>20220210</v>
      </c>
      <c r="D20">
        <v>10</v>
      </c>
      <c r="E20" t="s">
        <v>49</v>
      </c>
      <c r="F20" s="10">
        <f t="shared" si="0"/>
        <v>44602</v>
      </c>
      <c r="G20" s="5" t="str">
        <f t="shared" si="1"/>
        <v xml:space="preserve">INTERAC ETRNSFR AD RECVD BRYAN CHI SING NG        20220411615P5AWMT        </v>
      </c>
      <c r="I20" s="9">
        <f t="shared" si="2"/>
        <v>0</v>
      </c>
      <c r="J20" s="9">
        <f t="shared" si="3"/>
        <v>10</v>
      </c>
      <c r="K20" t="s">
        <v>25</v>
      </c>
    </row>
    <row r="21" spans="1:11" x14ac:dyDescent="0.3">
      <c r="A21" t="s">
        <v>30</v>
      </c>
      <c r="B21" t="s">
        <v>31</v>
      </c>
      <c r="C21">
        <v>20220211</v>
      </c>
      <c r="D21">
        <v>1091.1099999999999</v>
      </c>
      <c r="E21" t="s">
        <v>32</v>
      </c>
      <c r="F21" s="10">
        <f t="shared" si="0"/>
        <v>44603</v>
      </c>
      <c r="G21" s="5" t="str">
        <f t="shared" si="1"/>
        <v xml:space="preserve">HONDA OF CANADA PAY/PAY                                                    </v>
      </c>
      <c r="I21" s="9">
        <f t="shared" si="2"/>
        <v>0</v>
      </c>
      <c r="J21" s="9">
        <f t="shared" si="3"/>
        <v>1091.1099999999999</v>
      </c>
      <c r="K21" t="s">
        <v>25</v>
      </c>
    </row>
    <row r="22" spans="1:11" x14ac:dyDescent="0.3">
      <c r="A22" t="s">
        <v>30</v>
      </c>
      <c r="B22" t="s">
        <v>33</v>
      </c>
      <c r="C22">
        <v>20220211</v>
      </c>
      <c r="D22">
        <v>-500</v>
      </c>
      <c r="E22" t="s">
        <v>34</v>
      </c>
      <c r="F22" s="10">
        <f t="shared" si="0"/>
        <v>44603</v>
      </c>
      <c r="G22" s="5" t="str">
        <f t="shared" si="1"/>
        <v xml:space="preserve">QUESTRADE INC                                                              </v>
      </c>
      <c r="I22" s="9">
        <f t="shared" si="2"/>
        <v>500</v>
      </c>
      <c r="J22" s="9">
        <f t="shared" si="3"/>
        <v>0</v>
      </c>
      <c r="K22" t="s">
        <v>25</v>
      </c>
    </row>
    <row r="23" spans="1:11" x14ac:dyDescent="0.3">
      <c r="A23" t="s">
        <v>30</v>
      </c>
      <c r="B23" t="s">
        <v>33</v>
      </c>
      <c r="C23">
        <v>20220216</v>
      </c>
      <c r="D23">
        <v>-217.88</v>
      </c>
      <c r="E23" t="s">
        <v>35</v>
      </c>
      <c r="F23" s="10">
        <f t="shared" si="0"/>
        <v>44608</v>
      </c>
      <c r="G23" s="5" t="str">
        <f t="shared" si="1"/>
        <v xml:space="preserve">PC MC                                                                      </v>
      </c>
      <c r="I23" s="9">
        <f t="shared" si="2"/>
        <v>217.88</v>
      </c>
      <c r="J23" s="9">
        <f t="shared" si="3"/>
        <v>0</v>
      </c>
      <c r="K23" t="s">
        <v>25</v>
      </c>
    </row>
    <row r="24" spans="1:11" x14ac:dyDescent="0.3">
      <c r="A24" t="s">
        <v>30</v>
      </c>
      <c r="B24" t="s">
        <v>31</v>
      </c>
      <c r="C24">
        <v>20220217</v>
      </c>
      <c r="D24">
        <v>34</v>
      </c>
      <c r="E24" t="s">
        <v>50</v>
      </c>
      <c r="F24" s="10">
        <f t="shared" si="0"/>
        <v>44609</v>
      </c>
      <c r="G24" s="5" t="str">
        <f t="shared" si="1"/>
        <v xml:space="preserve">INTERAC ETRNSFR AD RECVD SELIN ERTAN              20220480902GJYYF6        </v>
      </c>
      <c r="I24" s="9">
        <f t="shared" si="2"/>
        <v>0</v>
      </c>
      <c r="J24" s="9">
        <f t="shared" si="3"/>
        <v>34</v>
      </c>
      <c r="K24" t="s">
        <v>25</v>
      </c>
    </row>
    <row r="25" spans="1:11" x14ac:dyDescent="0.3">
      <c r="A25" t="s">
        <v>30</v>
      </c>
      <c r="B25" t="s">
        <v>31</v>
      </c>
      <c r="C25">
        <v>20220218</v>
      </c>
      <c r="D25">
        <v>962.98</v>
      </c>
      <c r="E25" t="s">
        <v>32</v>
      </c>
      <c r="F25" s="10">
        <f t="shared" si="0"/>
        <v>44610</v>
      </c>
      <c r="G25" s="5" t="str">
        <f t="shared" si="1"/>
        <v xml:space="preserve">HONDA OF CANADA PAY/PAY                                                    </v>
      </c>
      <c r="I25" s="9">
        <f t="shared" si="2"/>
        <v>0</v>
      </c>
      <c r="J25" s="9">
        <f t="shared" si="3"/>
        <v>962.98</v>
      </c>
      <c r="K25" t="s">
        <v>25</v>
      </c>
    </row>
    <row r="26" spans="1:11" x14ac:dyDescent="0.3">
      <c r="A26" t="s">
        <v>30</v>
      </c>
      <c r="B26" t="s">
        <v>33</v>
      </c>
      <c r="C26">
        <v>20220218</v>
      </c>
      <c r="D26">
        <v>-38</v>
      </c>
      <c r="E26" t="s">
        <v>51</v>
      </c>
      <c r="F26" s="10">
        <f t="shared" si="0"/>
        <v>44610</v>
      </c>
      <c r="G26" s="5" t="str">
        <f t="shared" si="1"/>
        <v xml:space="preserve">INTERAC ETRNSFR SENT     SELIN                    20220490902EC192A        </v>
      </c>
      <c r="I26" s="9">
        <f t="shared" si="2"/>
        <v>38</v>
      </c>
      <c r="J26" s="9">
        <f t="shared" si="3"/>
        <v>0</v>
      </c>
      <c r="K26" t="s">
        <v>25</v>
      </c>
    </row>
    <row r="27" spans="1:11" x14ac:dyDescent="0.3">
      <c r="A27" t="s">
        <v>30</v>
      </c>
      <c r="B27" t="s">
        <v>33</v>
      </c>
      <c r="C27">
        <v>20220222</v>
      </c>
      <c r="D27">
        <v>-500</v>
      </c>
      <c r="E27" t="s">
        <v>34</v>
      </c>
      <c r="F27" s="10">
        <f t="shared" si="0"/>
        <v>44614</v>
      </c>
      <c r="G27" s="5" t="str">
        <f t="shared" si="1"/>
        <v xml:space="preserve">QUESTRADE INC                                                              </v>
      </c>
      <c r="I27" s="9">
        <f t="shared" si="2"/>
        <v>500</v>
      </c>
      <c r="J27" s="9">
        <f t="shared" si="3"/>
        <v>0</v>
      </c>
      <c r="K27" t="s">
        <v>25</v>
      </c>
    </row>
    <row r="28" spans="1:11" x14ac:dyDescent="0.3">
      <c r="A28" t="s">
        <v>30</v>
      </c>
      <c r="B28" t="s">
        <v>33</v>
      </c>
      <c r="C28">
        <v>20220222</v>
      </c>
      <c r="D28">
        <v>-50</v>
      </c>
      <c r="E28" t="s">
        <v>52</v>
      </c>
      <c r="F28" s="10">
        <f t="shared" si="0"/>
        <v>44614</v>
      </c>
      <c r="G28" s="5" t="str">
        <f t="shared" si="1"/>
        <v xml:space="preserve">INTERAC ETRNSFR SENT     JOHN BOOTH RETIREMENT FU 20220531038E46D77        </v>
      </c>
      <c r="I28" s="9">
        <f t="shared" si="2"/>
        <v>50</v>
      </c>
      <c r="J28" s="9">
        <f t="shared" si="3"/>
        <v>0</v>
      </c>
      <c r="K28" t="s">
        <v>25</v>
      </c>
    </row>
    <row r="29" spans="1:11" x14ac:dyDescent="0.3">
      <c r="A29" t="s">
        <v>30</v>
      </c>
      <c r="B29" t="s">
        <v>31</v>
      </c>
      <c r="C29">
        <v>20220225</v>
      </c>
      <c r="D29">
        <v>883.4</v>
      </c>
      <c r="E29" t="s">
        <v>32</v>
      </c>
      <c r="F29" s="10">
        <f t="shared" si="0"/>
        <v>44617</v>
      </c>
      <c r="G29" s="5" t="str">
        <f t="shared" si="1"/>
        <v xml:space="preserve">HONDA OF CANADA PAY/PAY                                                    </v>
      </c>
      <c r="I29" s="9">
        <f t="shared" si="2"/>
        <v>0</v>
      </c>
      <c r="J29" s="9">
        <f t="shared" si="3"/>
        <v>883.4</v>
      </c>
      <c r="K29" t="s">
        <v>25</v>
      </c>
    </row>
    <row r="30" spans="1:11" x14ac:dyDescent="0.3">
      <c r="A30" t="s">
        <v>30</v>
      </c>
      <c r="B30" t="s">
        <v>31</v>
      </c>
      <c r="C30">
        <v>20220228</v>
      </c>
      <c r="D30">
        <v>50</v>
      </c>
      <c r="E30" t="s">
        <v>53</v>
      </c>
      <c r="F30" s="10">
        <f t="shared" si="0"/>
        <v>44620</v>
      </c>
      <c r="G30" s="5" t="str">
        <f t="shared" si="1"/>
        <v xml:space="preserve">INTERAC ETRNSFR AD RECVD MARYAM FATIMA            20220580915UEJPAV        </v>
      </c>
      <c r="I30" s="9">
        <f t="shared" si="2"/>
        <v>0</v>
      </c>
      <c r="J30" s="9">
        <f t="shared" si="3"/>
        <v>50</v>
      </c>
      <c r="K30" t="s">
        <v>25</v>
      </c>
    </row>
    <row r="31" spans="1:11" x14ac:dyDescent="0.3">
      <c r="A31" t="s">
        <v>30</v>
      </c>
      <c r="B31" t="s">
        <v>33</v>
      </c>
      <c r="C31">
        <v>20220301</v>
      </c>
      <c r="D31">
        <v>-700</v>
      </c>
      <c r="E31" t="s">
        <v>35</v>
      </c>
      <c r="F31" s="10">
        <f t="shared" si="0"/>
        <v>44621</v>
      </c>
      <c r="G31" s="5" t="str">
        <f t="shared" si="1"/>
        <v xml:space="preserve">PC MC                                                                      </v>
      </c>
      <c r="I31" s="9">
        <f t="shared" si="2"/>
        <v>700</v>
      </c>
      <c r="J31" s="9">
        <f t="shared" si="3"/>
        <v>0</v>
      </c>
      <c r="K31" t="s">
        <v>25</v>
      </c>
    </row>
    <row r="32" spans="1:11" x14ac:dyDescent="0.3">
      <c r="A32" t="s">
        <v>30</v>
      </c>
      <c r="B32" t="s">
        <v>31</v>
      </c>
      <c r="C32">
        <v>20220304</v>
      </c>
      <c r="D32">
        <v>923.45</v>
      </c>
      <c r="E32" t="s">
        <v>32</v>
      </c>
      <c r="F32" s="10">
        <f t="shared" si="0"/>
        <v>44624</v>
      </c>
      <c r="G32" s="5" t="str">
        <f t="shared" si="1"/>
        <v xml:space="preserve">HONDA OF CANADA PAY/PAY                                                    </v>
      </c>
      <c r="I32" s="9">
        <f t="shared" si="2"/>
        <v>0</v>
      </c>
      <c r="J32" s="9">
        <f t="shared" si="3"/>
        <v>923.45</v>
      </c>
      <c r="K32" t="s">
        <v>25</v>
      </c>
    </row>
    <row r="33" spans="1:11" x14ac:dyDescent="0.3">
      <c r="A33" t="s">
        <v>30</v>
      </c>
      <c r="B33" t="s">
        <v>33</v>
      </c>
      <c r="C33">
        <v>20220307</v>
      </c>
      <c r="D33">
        <v>-30</v>
      </c>
      <c r="E33" t="s">
        <v>54</v>
      </c>
      <c r="F33" s="10">
        <f t="shared" si="0"/>
        <v>44627</v>
      </c>
      <c r="G33" s="5" t="str">
        <f t="shared" si="1"/>
        <v xml:space="preserve">INTERAC ETRNSFR SENT     LEE CHIANG               2022064171755A5E9        </v>
      </c>
      <c r="I33" s="9">
        <f t="shared" si="2"/>
        <v>30</v>
      </c>
      <c r="J33" s="9">
        <f t="shared" si="3"/>
        <v>0</v>
      </c>
      <c r="K33" t="s">
        <v>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Chequing">
                <anchor moveWithCells="1" sizeWithCells="1">
                  <from>
                    <xdr:col>14</xdr:col>
                    <xdr:colOff>15240</xdr:colOff>
                    <xdr:row>4</xdr:row>
                    <xdr:rowOff>167640</xdr:rowOff>
                  </from>
                  <to>
                    <xdr:col>16</xdr:col>
                    <xdr:colOff>7620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atChequingwithoutDeletion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17</xdr:col>
                    <xdr:colOff>7620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B1ABC-A527-4EC5-8DE6-0CDD6F5084B9}">
  <sheetPr codeName="Sheet6"/>
  <dimension ref="A1:J50"/>
  <sheetViews>
    <sheetView topLeftCell="A13" workbookViewId="0">
      <selection activeCell="E2" sqref="E2:J34"/>
    </sheetView>
  </sheetViews>
  <sheetFormatPr defaultRowHeight="14.4" x14ac:dyDescent="0.3"/>
  <cols>
    <col min="1" max="1" width="15" bestFit="1" customWidth="1"/>
    <col min="2" max="2" width="11.21875" bestFit="1" customWidth="1"/>
    <col min="3" max="3" width="45.21875" bestFit="1" customWidth="1"/>
    <col min="4" max="4" width="10.21875" bestFit="1" customWidth="1"/>
    <col min="5" max="5" width="10.33203125" bestFit="1" customWidth="1"/>
    <col min="6" max="6" width="45.21875" bestFit="1" customWidth="1"/>
    <col min="8" max="8" width="10.33203125" style="9" bestFit="1" customWidth="1"/>
    <col min="9" max="10" width="8.88671875" style="9"/>
  </cols>
  <sheetData>
    <row r="1" spans="1:10" x14ac:dyDescent="0.3">
      <c r="G1" s="7"/>
    </row>
    <row r="2" spans="1:10" x14ac:dyDescent="0.3">
      <c r="A2" s="6" t="s">
        <v>55</v>
      </c>
      <c r="B2" s="6" t="s">
        <v>56</v>
      </c>
      <c r="C2" t="s">
        <v>43</v>
      </c>
      <c r="D2" s="1">
        <v>25</v>
      </c>
      <c r="E2" s="10">
        <f>DATE(RIGHT(B2,4),MID(B2,4,2),LEFT(B2,2))+0.5</f>
        <v>44599.5</v>
      </c>
      <c r="F2" s="5" t="str">
        <f>C2</f>
        <v>ALT. ROCK BARRIE ON</v>
      </c>
      <c r="G2" s="7"/>
      <c r="H2" s="9">
        <f>(D2+ABS(D2))/2</f>
        <v>25</v>
      </c>
      <c r="I2" s="9">
        <f>-(D2-ABS(D2))/2</f>
        <v>0</v>
      </c>
      <c r="J2" s="5" t="s">
        <v>24</v>
      </c>
    </row>
    <row r="3" spans="1:10" x14ac:dyDescent="0.3">
      <c r="A3" t="s">
        <v>55</v>
      </c>
      <c r="B3" s="6" t="s">
        <v>57</v>
      </c>
      <c r="C3" t="s">
        <v>21</v>
      </c>
      <c r="D3" s="1">
        <v>49.86</v>
      </c>
      <c r="E3" s="10">
        <f t="shared" ref="E3:E34" si="0">DATE(RIGHT(B3,4),MID(B3,4,2),LEFT(B3,2))+0.5</f>
        <v>44600.5</v>
      </c>
      <c r="F3" s="5" t="str">
        <f t="shared" ref="F3:F34" si="1">C3</f>
        <v>FRESHCO #9688 ALLISTON ON</v>
      </c>
      <c r="G3" s="7"/>
      <c r="H3" s="9">
        <f t="shared" ref="H3:H34" si="2">(D3+ABS(D3))/2</f>
        <v>49.86</v>
      </c>
      <c r="I3" s="9">
        <f t="shared" ref="I3:I34" si="3">-(D3-ABS(D3))/2</f>
        <v>0</v>
      </c>
      <c r="J3" s="5" t="s">
        <v>24</v>
      </c>
    </row>
    <row r="4" spans="1:10" x14ac:dyDescent="0.3">
      <c r="A4" t="s">
        <v>58</v>
      </c>
      <c r="B4" t="s">
        <v>56</v>
      </c>
      <c r="C4" t="s">
        <v>59</v>
      </c>
      <c r="D4" s="1">
        <v>7.46</v>
      </c>
      <c r="E4" s="10">
        <f t="shared" si="0"/>
        <v>44599.5</v>
      </c>
      <c r="F4" s="5" t="str">
        <f t="shared" si="1"/>
        <v>Amazon Downloads www.Amazon.caON</v>
      </c>
      <c r="G4" s="7"/>
      <c r="H4" s="9">
        <f t="shared" si="2"/>
        <v>7.46</v>
      </c>
      <c r="I4" s="9">
        <f t="shared" si="3"/>
        <v>0</v>
      </c>
      <c r="J4" s="5" t="s">
        <v>24</v>
      </c>
    </row>
    <row r="5" spans="1:10" x14ac:dyDescent="0.3">
      <c r="A5" t="s">
        <v>56</v>
      </c>
      <c r="B5" t="s">
        <v>57</v>
      </c>
      <c r="C5" t="s">
        <v>42</v>
      </c>
      <c r="D5" s="1">
        <v>16.95</v>
      </c>
      <c r="E5" s="10">
        <f t="shared" si="0"/>
        <v>44600.5</v>
      </c>
      <c r="F5" s="5" t="str">
        <f t="shared" si="1"/>
        <v>METAL SUPERMARKETS - B BARRIE ON</v>
      </c>
      <c r="G5" s="7"/>
      <c r="H5" s="9">
        <f t="shared" si="2"/>
        <v>16.95</v>
      </c>
      <c r="I5" s="9">
        <f t="shared" si="3"/>
        <v>0</v>
      </c>
      <c r="J5" s="5" t="s">
        <v>24</v>
      </c>
    </row>
    <row r="6" spans="1:10" x14ac:dyDescent="0.3">
      <c r="A6" t="s">
        <v>56</v>
      </c>
      <c r="B6" t="s">
        <v>57</v>
      </c>
      <c r="C6" t="s">
        <v>43</v>
      </c>
      <c r="D6" s="1">
        <v>76.5</v>
      </c>
      <c r="E6" s="10">
        <f t="shared" si="0"/>
        <v>44600.5</v>
      </c>
      <c r="F6" s="5" t="str">
        <f t="shared" si="1"/>
        <v>ALT. ROCK BARRIE ON</v>
      </c>
      <c r="G6" s="7"/>
      <c r="H6" s="9">
        <f t="shared" si="2"/>
        <v>76.5</v>
      </c>
      <c r="I6" s="9">
        <f t="shared" si="3"/>
        <v>0</v>
      </c>
      <c r="J6" s="5" t="s">
        <v>24</v>
      </c>
    </row>
    <row r="7" spans="1:10" x14ac:dyDescent="0.3">
      <c r="A7" t="s">
        <v>56</v>
      </c>
      <c r="B7" t="s">
        <v>57</v>
      </c>
      <c r="C7" t="s">
        <v>43</v>
      </c>
      <c r="D7" s="1">
        <v>5</v>
      </c>
      <c r="E7" s="10">
        <f t="shared" si="0"/>
        <v>44600.5</v>
      </c>
      <c r="F7" s="5" t="str">
        <f t="shared" si="1"/>
        <v>ALT. ROCK BARRIE ON</v>
      </c>
      <c r="G7" s="7"/>
      <c r="H7" s="9">
        <f t="shared" si="2"/>
        <v>5</v>
      </c>
      <c r="I7" s="9">
        <f t="shared" si="3"/>
        <v>0</v>
      </c>
      <c r="J7" s="5" t="s">
        <v>24</v>
      </c>
    </row>
    <row r="8" spans="1:10" x14ac:dyDescent="0.3">
      <c r="A8" t="s">
        <v>60</v>
      </c>
      <c r="B8" t="s">
        <v>61</v>
      </c>
      <c r="C8" t="s">
        <v>41</v>
      </c>
      <c r="D8" s="1">
        <v>15.77</v>
      </c>
      <c r="E8" s="10">
        <f t="shared" si="0"/>
        <v>44603.5</v>
      </c>
      <c r="F8" s="5" t="str">
        <f t="shared" si="1"/>
        <v>HERBERT ELSNER SHOES ALLISTON ON</v>
      </c>
      <c r="G8" s="7"/>
      <c r="H8" s="9">
        <f t="shared" si="2"/>
        <v>15.77</v>
      </c>
      <c r="I8" s="9">
        <f t="shared" si="3"/>
        <v>0</v>
      </c>
      <c r="J8" s="5" t="s">
        <v>24</v>
      </c>
    </row>
    <row r="9" spans="1:10" x14ac:dyDescent="0.3">
      <c r="A9" t="s">
        <v>60</v>
      </c>
      <c r="B9" t="s">
        <v>61</v>
      </c>
      <c r="C9" t="s">
        <v>18</v>
      </c>
      <c r="D9" s="1">
        <v>-29.36</v>
      </c>
      <c r="E9" s="10">
        <f t="shared" si="0"/>
        <v>44603.5</v>
      </c>
      <c r="F9" s="5" t="str">
        <f t="shared" si="1"/>
        <v>CDN TIRE STORE #00001 ALLISTON ON</v>
      </c>
      <c r="G9" s="7"/>
      <c r="H9" s="9">
        <f t="shared" si="2"/>
        <v>0</v>
      </c>
      <c r="I9" s="9">
        <f t="shared" si="3"/>
        <v>29.36</v>
      </c>
      <c r="J9" s="5" t="s">
        <v>24</v>
      </c>
    </row>
    <row r="10" spans="1:10" x14ac:dyDescent="0.3">
      <c r="A10" t="s">
        <v>60</v>
      </c>
      <c r="B10" t="s">
        <v>61</v>
      </c>
      <c r="C10" t="s">
        <v>18</v>
      </c>
      <c r="D10" s="1">
        <v>96.15</v>
      </c>
      <c r="E10" s="10">
        <f t="shared" si="0"/>
        <v>44603.5</v>
      </c>
      <c r="F10" s="5" t="str">
        <f t="shared" si="1"/>
        <v>CDN TIRE STORE #00001 ALLISTON ON</v>
      </c>
      <c r="G10" s="7"/>
      <c r="H10" s="9">
        <f t="shared" si="2"/>
        <v>96.15</v>
      </c>
      <c r="I10" s="9">
        <f t="shared" si="3"/>
        <v>0</v>
      </c>
      <c r="J10" s="5" t="s">
        <v>24</v>
      </c>
    </row>
    <row r="11" spans="1:10" x14ac:dyDescent="0.3">
      <c r="A11" t="s">
        <v>62</v>
      </c>
      <c r="B11" t="s">
        <v>61</v>
      </c>
      <c r="C11" t="s">
        <v>40</v>
      </c>
      <c r="D11" s="1">
        <v>4.1900000000000004</v>
      </c>
      <c r="E11" s="10">
        <f t="shared" si="0"/>
        <v>44603.5</v>
      </c>
      <c r="F11" s="5" t="str">
        <f t="shared" si="1"/>
        <v>EUREST-23581 ALLISTON ON</v>
      </c>
      <c r="G11" s="7"/>
      <c r="H11" s="9">
        <f t="shared" si="2"/>
        <v>4.1900000000000004</v>
      </c>
      <c r="I11" s="9">
        <f t="shared" si="3"/>
        <v>0</v>
      </c>
      <c r="J11" s="5" t="s">
        <v>24</v>
      </c>
    </row>
    <row r="12" spans="1:10" x14ac:dyDescent="0.3">
      <c r="A12" t="s">
        <v>63</v>
      </c>
      <c r="B12" t="s">
        <v>64</v>
      </c>
      <c r="C12" t="s">
        <v>65</v>
      </c>
      <c r="D12" s="1">
        <v>41.81</v>
      </c>
      <c r="E12" s="10">
        <f t="shared" si="0"/>
        <v>44606.5</v>
      </c>
      <c r="F12" s="5" t="str">
        <f t="shared" si="1"/>
        <v>THE ROCK OASIS TORONTO ON</v>
      </c>
      <c r="G12" s="7"/>
      <c r="H12" s="9">
        <f t="shared" si="2"/>
        <v>41.81</v>
      </c>
      <c r="I12" s="9">
        <f t="shared" si="3"/>
        <v>0</v>
      </c>
      <c r="J12" s="5" t="s">
        <v>24</v>
      </c>
    </row>
    <row r="13" spans="1:10" x14ac:dyDescent="0.3">
      <c r="A13" t="s">
        <v>66</v>
      </c>
      <c r="B13" t="s">
        <v>67</v>
      </c>
      <c r="C13" t="s">
        <v>68</v>
      </c>
      <c r="D13" s="1">
        <v>25.99</v>
      </c>
      <c r="E13" s="10">
        <f t="shared" si="0"/>
        <v>44609.5</v>
      </c>
      <c r="F13" s="5" t="str">
        <f t="shared" si="1"/>
        <v>BULL AND BARREL PUB BARRIE ON</v>
      </c>
      <c r="G13" s="7"/>
      <c r="H13" s="9">
        <f t="shared" si="2"/>
        <v>25.99</v>
      </c>
      <c r="I13" s="9">
        <f t="shared" si="3"/>
        <v>0</v>
      </c>
      <c r="J13" s="5" t="s">
        <v>24</v>
      </c>
    </row>
    <row r="14" spans="1:10" x14ac:dyDescent="0.3">
      <c r="A14" t="s">
        <v>69</v>
      </c>
      <c r="B14" t="s">
        <v>70</v>
      </c>
      <c r="C14" t="s">
        <v>71</v>
      </c>
      <c r="D14" s="1">
        <v>60</v>
      </c>
      <c r="E14" s="10">
        <f t="shared" si="0"/>
        <v>44613.5</v>
      </c>
      <c r="F14" s="5" t="str">
        <f t="shared" si="1"/>
        <v>BARNSTORM BREWPUB ALLISTON ON</v>
      </c>
      <c r="G14" s="7"/>
      <c r="H14" s="9">
        <f t="shared" si="2"/>
        <v>60</v>
      </c>
      <c r="I14" s="9">
        <f t="shared" si="3"/>
        <v>0</v>
      </c>
      <c r="J14" s="5" t="s">
        <v>24</v>
      </c>
    </row>
    <row r="15" spans="1:10" x14ac:dyDescent="0.3">
      <c r="A15" t="s">
        <v>72</v>
      </c>
      <c r="B15" t="s">
        <v>73</v>
      </c>
      <c r="C15" t="s">
        <v>21</v>
      </c>
      <c r="D15" s="1">
        <v>35.56</v>
      </c>
      <c r="E15" s="10">
        <f t="shared" si="0"/>
        <v>44614.5</v>
      </c>
      <c r="F15" s="5" t="str">
        <f t="shared" si="1"/>
        <v>FRESHCO #9688 ALLISTON ON</v>
      </c>
      <c r="G15" s="7"/>
      <c r="H15" s="9">
        <f t="shared" si="2"/>
        <v>35.56</v>
      </c>
      <c r="I15" s="9">
        <f t="shared" si="3"/>
        <v>0</v>
      </c>
      <c r="J15" s="5" t="s">
        <v>24</v>
      </c>
    </row>
    <row r="16" spans="1:10" x14ac:dyDescent="0.3">
      <c r="A16" t="s">
        <v>74</v>
      </c>
      <c r="B16" t="s">
        <v>70</v>
      </c>
      <c r="C16" t="s">
        <v>43</v>
      </c>
      <c r="D16" s="1">
        <v>5</v>
      </c>
      <c r="E16" s="10">
        <f t="shared" si="0"/>
        <v>44613.5</v>
      </c>
      <c r="F16" s="5" t="str">
        <f t="shared" si="1"/>
        <v>ALT. ROCK BARRIE ON</v>
      </c>
      <c r="G16" s="7"/>
      <c r="H16" s="9">
        <f t="shared" si="2"/>
        <v>5</v>
      </c>
      <c r="I16" s="9">
        <f t="shared" si="3"/>
        <v>0</v>
      </c>
      <c r="J16" s="5" t="s">
        <v>24</v>
      </c>
    </row>
    <row r="17" spans="1:10" x14ac:dyDescent="0.3">
      <c r="A17" t="s">
        <v>70</v>
      </c>
      <c r="B17" t="s">
        <v>75</v>
      </c>
      <c r="C17" t="s">
        <v>18</v>
      </c>
      <c r="D17" s="1">
        <v>56.09</v>
      </c>
      <c r="E17" s="10">
        <f t="shared" si="0"/>
        <v>44615.5</v>
      </c>
      <c r="F17" s="5" t="str">
        <f t="shared" si="1"/>
        <v>CDN TIRE STORE #00001 ALLISTON ON</v>
      </c>
      <c r="G17" s="7"/>
      <c r="H17" s="9">
        <f t="shared" si="2"/>
        <v>56.09</v>
      </c>
      <c r="I17" s="9">
        <f t="shared" si="3"/>
        <v>0</v>
      </c>
      <c r="J17" s="5" t="s">
        <v>24</v>
      </c>
    </row>
    <row r="18" spans="1:10" x14ac:dyDescent="0.3">
      <c r="A18" t="s">
        <v>75</v>
      </c>
      <c r="B18" t="s">
        <v>76</v>
      </c>
      <c r="C18" t="s">
        <v>39</v>
      </c>
      <c r="D18" s="1">
        <v>83.61</v>
      </c>
      <c r="E18" s="10">
        <f t="shared" si="0"/>
        <v>44616.5</v>
      </c>
      <c r="F18" s="5" t="str">
        <f t="shared" si="1"/>
        <v>ROGERS *905509121 888-764-3771 ON</v>
      </c>
      <c r="G18" s="7"/>
      <c r="H18" s="9">
        <f t="shared" si="2"/>
        <v>83.61</v>
      </c>
      <c r="I18" s="9">
        <f t="shared" si="3"/>
        <v>0</v>
      </c>
      <c r="J18" s="5" t="s">
        <v>24</v>
      </c>
    </row>
    <row r="19" spans="1:10" x14ac:dyDescent="0.3">
      <c r="A19" t="s">
        <v>75</v>
      </c>
      <c r="B19" t="s">
        <v>76</v>
      </c>
      <c r="C19" t="s">
        <v>43</v>
      </c>
      <c r="D19" s="1">
        <v>7</v>
      </c>
      <c r="E19" s="10">
        <f t="shared" si="0"/>
        <v>44616.5</v>
      </c>
      <c r="F19" s="5" t="str">
        <f t="shared" si="1"/>
        <v>ALT. ROCK BARRIE ON</v>
      </c>
      <c r="G19" s="7"/>
      <c r="H19" s="9">
        <f t="shared" si="2"/>
        <v>7</v>
      </c>
      <c r="I19" s="9">
        <f t="shared" si="3"/>
        <v>0</v>
      </c>
      <c r="J19" s="5" t="s">
        <v>24</v>
      </c>
    </row>
    <row r="20" spans="1:10" x14ac:dyDescent="0.3">
      <c r="A20" t="s">
        <v>75</v>
      </c>
      <c r="B20" t="s">
        <v>76</v>
      </c>
      <c r="C20" t="s">
        <v>77</v>
      </c>
      <c r="D20" s="1">
        <v>11.29</v>
      </c>
      <c r="E20" s="10">
        <f t="shared" si="0"/>
        <v>44616.5</v>
      </c>
      <c r="F20" s="5" t="str">
        <f t="shared" si="1"/>
        <v>MARY BROWN'S #6245 BARRIE ON</v>
      </c>
      <c r="G20" s="7"/>
      <c r="H20" s="9">
        <f t="shared" si="2"/>
        <v>11.29</v>
      </c>
      <c r="I20" s="9">
        <f t="shared" si="3"/>
        <v>0</v>
      </c>
      <c r="J20" s="5" t="s">
        <v>24</v>
      </c>
    </row>
    <row r="21" spans="1:10" x14ac:dyDescent="0.3">
      <c r="A21" t="s">
        <v>76</v>
      </c>
      <c r="B21" t="s">
        <v>78</v>
      </c>
      <c r="C21" t="s">
        <v>38</v>
      </c>
      <c r="D21" s="1">
        <v>15.45</v>
      </c>
      <c r="E21" s="10">
        <f t="shared" si="0"/>
        <v>44617.5</v>
      </c>
      <c r="F21" s="5" t="str">
        <f t="shared" si="1"/>
        <v>TIM HORTONS #0548 ALLISTON ON</v>
      </c>
      <c r="G21" s="7"/>
      <c r="H21" s="9">
        <f t="shared" si="2"/>
        <v>15.45</v>
      </c>
      <c r="I21" s="9">
        <f t="shared" si="3"/>
        <v>0</v>
      </c>
      <c r="J21" s="5" t="s">
        <v>24</v>
      </c>
    </row>
    <row r="22" spans="1:10" x14ac:dyDescent="0.3">
      <c r="A22" t="s">
        <v>76</v>
      </c>
      <c r="B22" t="s">
        <v>78</v>
      </c>
      <c r="C22" t="s">
        <v>79</v>
      </c>
      <c r="D22" s="1">
        <v>47.46</v>
      </c>
      <c r="E22" s="10">
        <f t="shared" si="0"/>
        <v>44617.5</v>
      </c>
      <c r="F22" s="5" t="str">
        <f t="shared" si="1"/>
        <v>NASH FADES ALLISTON ON</v>
      </c>
      <c r="G22" s="7"/>
      <c r="H22" s="9">
        <f t="shared" si="2"/>
        <v>47.46</v>
      </c>
      <c r="I22" s="9">
        <f t="shared" si="3"/>
        <v>0</v>
      </c>
      <c r="J22" s="5" t="s">
        <v>24</v>
      </c>
    </row>
    <row r="23" spans="1:10" x14ac:dyDescent="0.3">
      <c r="A23" t="s">
        <v>78</v>
      </c>
      <c r="B23" t="s">
        <v>80</v>
      </c>
      <c r="C23" t="s">
        <v>81</v>
      </c>
      <c r="D23" s="1">
        <v>160</v>
      </c>
      <c r="E23" s="10">
        <f t="shared" si="0"/>
        <v>44620.5</v>
      </c>
      <c r="F23" s="5" t="str">
        <f t="shared" si="1"/>
        <v>U OF T - MIE TORONTO ON</v>
      </c>
      <c r="G23" s="7"/>
      <c r="H23" s="9">
        <f t="shared" si="2"/>
        <v>160</v>
      </c>
      <c r="I23" s="9">
        <f t="shared" si="3"/>
        <v>0</v>
      </c>
      <c r="J23" s="5" t="s">
        <v>24</v>
      </c>
    </row>
    <row r="24" spans="1:10" x14ac:dyDescent="0.3">
      <c r="A24" t="s">
        <v>78</v>
      </c>
      <c r="B24" t="s">
        <v>80</v>
      </c>
      <c r="C24" t="s">
        <v>82</v>
      </c>
      <c r="D24" s="1">
        <v>7.46</v>
      </c>
      <c r="E24" s="10">
        <f t="shared" si="0"/>
        <v>44620.5</v>
      </c>
      <c r="F24" s="5" t="str">
        <f t="shared" si="1"/>
        <v>CHATIME BARRIE ON</v>
      </c>
      <c r="G24" s="7"/>
      <c r="H24" s="9">
        <f t="shared" si="2"/>
        <v>7.46</v>
      </c>
      <c r="I24" s="9">
        <f t="shared" si="3"/>
        <v>0</v>
      </c>
      <c r="J24" s="5" t="s">
        <v>24</v>
      </c>
    </row>
    <row r="25" spans="1:10" x14ac:dyDescent="0.3">
      <c r="A25" t="s">
        <v>78</v>
      </c>
      <c r="B25" t="s">
        <v>80</v>
      </c>
      <c r="C25" t="s">
        <v>83</v>
      </c>
      <c r="D25" s="1">
        <v>28</v>
      </c>
      <c r="E25" s="10">
        <f t="shared" si="0"/>
        <v>44620.5</v>
      </c>
      <c r="F25" s="5" t="str">
        <f t="shared" si="1"/>
        <v>STATE &amp; MAIN BARRIE BARRIE ON</v>
      </c>
      <c r="G25" s="7"/>
      <c r="H25" s="9">
        <f t="shared" si="2"/>
        <v>28</v>
      </c>
      <c r="I25" s="9">
        <f t="shared" si="3"/>
        <v>0</v>
      </c>
      <c r="J25" s="5" t="s">
        <v>24</v>
      </c>
    </row>
    <row r="26" spans="1:10" x14ac:dyDescent="0.3">
      <c r="A26" t="s">
        <v>84</v>
      </c>
      <c r="B26" t="s">
        <v>80</v>
      </c>
      <c r="C26" t="s">
        <v>85</v>
      </c>
      <c r="D26" s="1">
        <v>16.89</v>
      </c>
      <c r="E26" s="10">
        <f t="shared" si="0"/>
        <v>44620.5</v>
      </c>
      <c r="F26" s="5" t="str">
        <f t="shared" si="1"/>
        <v>ROBINSONS MARINA AND P Dorset ON</v>
      </c>
      <c r="G26" s="7"/>
      <c r="H26" s="9">
        <f t="shared" si="2"/>
        <v>16.89</v>
      </c>
      <c r="I26" s="9">
        <f t="shared" si="3"/>
        <v>0</v>
      </c>
      <c r="J26" s="5" t="s">
        <v>24</v>
      </c>
    </row>
    <row r="27" spans="1:10" x14ac:dyDescent="0.3">
      <c r="A27" t="s">
        <v>84</v>
      </c>
      <c r="B27" t="s">
        <v>80</v>
      </c>
      <c r="C27" t="s">
        <v>86</v>
      </c>
      <c r="D27" s="1">
        <v>142.29</v>
      </c>
      <c r="E27" s="10">
        <f t="shared" si="0"/>
        <v>44620.5</v>
      </c>
      <c r="F27" s="5" t="str">
        <f t="shared" si="1"/>
        <v>ROBINSON'S GENERAL STO DORSET ON</v>
      </c>
      <c r="G27" s="7"/>
      <c r="H27" s="9">
        <f t="shared" si="2"/>
        <v>142.29</v>
      </c>
      <c r="I27" s="9">
        <f t="shared" si="3"/>
        <v>0</v>
      </c>
      <c r="J27" s="5" t="s">
        <v>24</v>
      </c>
    </row>
    <row r="28" spans="1:10" x14ac:dyDescent="0.3">
      <c r="A28" t="s">
        <v>87</v>
      </c>
      <c r="B28" t="s">
        <v>80</v>
      </c>
      <c r="C28" t="s">
        <v>88</v>
      </c>
      <c r="D28" s="1">
        <v>7.22</v>
      </c>
      <c r="E28" s="10">
        <f t="shared" si="0"/>
        <v>44620.5</v>
      </c>
      <c r="F28" s="5" t="str">
        <f t="shared" si="1"/>
        <v>TIM HORTONS #0399 GRAVENHURST ON</v>
      </c>
      <c r="G28" s="7"/>
      <c r="H28" s="9">
        <f t="shared" si="2"/>
        <v>7.22</v>
      </c>
      <c r="I28" s="9">
        <f t="shared" si="3"/>
        <v>0</v>
      </c>
      <c r="J28" s="5" t="s">
        <v>24</v>
      </c>
    </row>
    <row r="29" spans="1:10" x14ac:dyDescent="0.3">
      <c r="A29" t="s">
        <v>89</v>
      </c>
      <c r="B29" t="s">
        <v>90</v>
      </c>
      <c r="C29" t="s">
        <v>8</v>
      </c>
      <c r="D29" s="1">
        <v>95.82</v>
      </c>
      <c r="E29" s="10">
        <f t="shared" si="0"/>
        <v>44623.5</v>
      </c>
      <c r="F29" s="5" t="str">
        <f t="shared" si="1"/>
        <v>WAL-MART #1083 ALLISTON ON</v>
      </c>
      <c r="G29" s="7"/>
      <c r="H29" s="9">
        <f t="shared" si="2"/>
        <v>95.82</v>
      </c>
      <c r="I29" s="9">
        <f t="shared" si="3"/>
        <v>0</v>
      </c>
      <c r="J29" s="5" t="s">
        <v>24</v>
      </c>
    </row>
    <row r="30" spans="1:10" x14ac:dyDescent="0.3">
      <c r="A30" t="s">
        <v>91</v>
      </c>
      <c r="B30" t="s">
        <v>90</v>
      </c>
      <c r="C30" t="s">
        <v>92</v>
      </c>
      <c r="D30" s="1">
        <v>18.46</v>
      </c>
      <c r="E30" s="10">
        <f t="shared" si="0"/>
        <v>44623.5</v>
      </c>
      <c r="F30" s="5" t="str">
        <f t="shared" si="1"/>
        <v>OSMOW'S BARRIE ON</v>
      </c>
      <c r="G30" s="7"/>
      <c r="H30" s="9">
        <f t="shared" si="2"/>
        <v>18.46</v>
      </c>
      <c r="I30" s="9">
        <f t="shared" si="3"/>
        <v>0</v>
      </c>
      <c r="J30" s="5" t="s">
        <v>24</v>
      </c>
    </row>
    <row r="31" spans="1:10" x14ac:dyDescent="0.3">
      <c r="A31" t="s">
        <v>91</v>
      </c>
      <c r="B31" t="s">
        <v>90</v>
      </c>
      <c r="C31" t="s">
        <v>43</v>
      </c>
      <c r="D31" s="1">
        <v>5</v>
      </c>
      <c r="E31" s="10">
        <f t="shared" si="0"/>
        <v>44623.5</v>
      </c>
      <c r="F31" s="5" t="str">
        <f t="shared" si="1"/>
        <v>ALT. ROCK BARRIE ON</v>
      </c>
      <c r="G31" s="7"/>
      <c r="H31" s="9">
        <f t="shared" si="2"/>
        <v>5</v>
      </c>
      <c r="I31" s="9">
        <f t="shared" si="3"/>
        <v>0</v>
      </c>
      <c r="J31" s="5" t="s">
        <v>24</v>
      </c>
    </row>
    <row r="32" spans="1:10" x14ac:dyDescent="0.3">
      <c r="A32" t="s">
        <v>90</v>
      </c>
      <c r="B32" t="s">
        <v>90</v>
      </c>
      <c r="C32" t="s">
        <v>93</v>
      </c>
      <c r="D32" s="1">
        <v>12.45</v>
      </c>
      <c r="E32" s="10">
        <f t="shared" si="0"/>
        <v>44623.5</v>
      </c>
      <c r="F32" s="5" t="str">
        <f t="shared" si="1"/>
        <v>Amazon.ca*1W1LM6EG0 AMAZON.CA ON</v>
      </c>
      <c r="G32" s="7"/>
      <c r="H32" s="9">
        <f t="shared" si="2"/>
        <v>12.45</v>
      </c>
      <c r="I32" s="9">
        <f t="shared" si="3"/>
        <v>0</v>
      </c>
      <c r="J32" s="5" t="s">
        <v>24</v>
      </c>
    </row>
    <row r="33" spans="1:10" x14ac:dyDescent="0.3">
      <c r="A33" t="s">
        <v>94</v>
      </c>
      <c r="B33" t="s">
        <v>95</v>
      </c>
      <c r="C33" t="s">
        <v>8</v>
      </c>
      <c r="D33" s="1">
        <v>42.53</v>
      </c>
      <c r="E33" s="10">
        <f t="shared" si="0"/>
        <v>44595.5</v>
      </c>
      <c r="F33" s="5" t="str">
        <f t="shared" si="1"/>
        <v>WAL-MART #1083 ALLISTON ON</v>
      </c>
      <c r="G33" s="7"/>
      <c r="H33" s="9">
        <f t="shared" si="2"/>
        <v>42.53</v>
      </c>
      <c r="I33" s="9">
        <f t="shared" si="3"/>
        <v>0</v>
      </c>
      <c r="J33" s="5" t="s">
        <v>24</v>
      </c>
    </row>
    <row r="34" spans="1:10" x14ac:dyDescent="0.3">
      <c r="A34" t="s">
        <v>96</v>
      </c>
      <c r="B34" t="s">
        <v>97</v>
      </c>
      <c r="C34" t="s">
        <v>98</v>
      </c>
      <c r="D34" s="1">
        <v>7.94</v>
      </c>
      <c r="E34" s="10">
        <f t="shared" si="0"/>
        <v>44596.5</v>
      </c>
      <c r="F34" s="5" t="str">
        <f t="shared" si="1"/>
        <v>EUREST-23582 ALLISTON ON</v>
      </c>
      <c r="G34" s="7"/>
      <c r="H34" s="9">
        <f t="shared" si="2"/>
        <v>7.94</v>
      </c>
      <c r="I34" s="9">
        <f t="shared" si="3"/>
        <v>0</v>
      </c>
      <c r="J34" s="5" t="s">
        <v>24</v>
      </c>
    </row>
    <row r="35" spans="1:10" x14ac:dyDescent="0.3">
      <c r="D35" s="1"/>
      <c r="E35" s="10"/>
      <c r="F35" s="5"/>
      <c r="G35" s="7"/>
      <c r="J35" s="5"/>
    </row>
    <row r="36" spans="1:10" x14ac:dyDescent="0.3">
      <c r="D36" s="1"/>
      <c r="E36" s="10"/>
      <c r="F36" s="5"/>
      <c r="G36" s="7"/>
      <c r="J36" s="5"/>
    </row>
    <row r="37" spans="1:10" x14ac:dyDescent="0.3">
      <c r="D37" s="1"/>
      <c r="E37" s="10"/>
      <c r="F37" s="5"/>
      <c r="G37" s="7"/>
      <c r="J37" s="5"/>
    </row>
    <row r="38" spans="1:10" x14ac:dyDescent="0.3">
      <c r="D38" s="1"/>
      <c r="E38" s="10"/>
      <c r="F38" s="5"/>
      <c r="G38" s="7"/>
      <c r="J38" s="5"/>
    </row>
    <row r="39" spans="1:10" x14ac:dyDescent="0.3">
      <c r="D39" s="1"/>
      <c r="E39" s="10"/>
      <c r="F39" s="5"/>
      <c r="G39" s="7"/>
      <c r="J39" s="5"/>
    </row>
    <row r="40" spans="1:10" x14ac:dyDescent="0.3">
      <c r="D40" s="1"/>
      <c r="E40" s="10"/>
      <c r="F40" s="5"/>
      <c r="G40" s="7"/>
      <c r="J40" s="5"/>
    </row>
    <row r="41" spans="1:10" x14ac:dyDescent="0.3">
      <c r="D41" s="1"/>
      <c r="E41" s="10"/>
      <c r="F41" s="5"/>
      <c r="G41" s="7"/>
      <c r="J41" s="5"/>
    </row>
    <row r="42" spans="1:10" x14ac:dyDescent="0.3">
      <c r="D42" s="1"/>
      <c r="E42" s="10"/>
      <c r="F42" s="5"/>
      <c r="G42" s="7"/>
      <c r="J42" s="5"/>
    </row>
    <row r="43" spans="1:10" x14ac:dyDescent="0.3">
      <c r="D43" s="1"/>
      <c r="E43" s="10"/>
      <c r="F43" s="5"/>
      <c r="G43" s="7"/>
      <c r="J43" s="5"/>
    </row>
    <row r="44" spans="1:10" x14ac:dyDescent="0.3">
      <c r="D44" s="1"/>
      <c r="E44" s="10"/>
      <c r="F44" s="5"/>
      <c r="G44" s="7"/>
      <c r="J44" s="5"/>
    </row>
    <row r="45" spans="1:10" x14ac:dyDescent="0.3">
      <c r="C45" s="1"/>
      <c r="D45" s="1"/>
      <c r="E45" s="10"/>
      <c r="F45" s="5"/>
      <c r="G45" s="7"/>
      <c r="J45" s="5"/>
    </row>
    <row r="46" spans="1:10" x14ac:dyDescent="0.3">
      <c r="D46" s="1"/>
      <c r="E46" s="10"/>
      <c r="F46" s="5"/>
      <c r="G46" s="7"/>
      <c r="J46" s="5"/>
    </row>
    <row r="47" spans="1:10" x14ac:dyDescent="0.3">
      <c r="D47" s="1"/>
      <c r="E47" s="10"/>
      <c r="F47" s="5"/>
      <c r="G47" s="7"/>
      <c r="J47" s="5"/>
    </row>
    <row r="48" spans="1:10" x14ac:dyDescent="0.3">
      <c r="E48" s="10"/>
      <c r="F48" s="5"/>
      <c r="G48" s="7"/>
      <c r="J48" s="5"/>
    </row>
    <row r="49" spans="4:4" x14ac:dyDescent="0.3">
      <c r="D49" s="1"/>
    </row>
    <row r="50" spans="4:4" x14ac:dyDescent="0.3">
      <c r="D50" s="1"/>
    </row>
  </sheetData>
  <sortState xmlns:xlrd2="http://schemas.microsoft.com/office/spreadsheetml/2017/richdata2" ref="A2:F48">
    <sortCondition ref="E2:E48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matCreditCard">
                <anchor moveWithCells="1" sizeWithCells="1">
                  <from>
                    <xdr:col>10</xdr:col>
                    <xdr:colOff>30480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F580C-C6EF-483F-854F-8B8CDDEA4D80}">
  <sheetPr codeName="Sheet5"/>
  <dimension ref="A1"/>
  <sheetViews>
    <sheetView workbookViewId="0"/>
  </sheetViews>
  <sheetFormatPr defaultRowHeight="14.4" x14ac:dyDescent="0.3"/>
  <cols>
    <col min="1" max="1" width="133" customWidth="1"/>
  </cols>
  <sheetData>
    <row r="1" spans="1:1" x14ac:dyDescent="0.3">
      <c r="A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2022</vt:lpstr>
      <vt:lpstr>2021</vt:lpstr>
      <vt:lpstr>2022 grph</vt:lpstr>
      <vt:lpstr>Sheet1</vt:lpstr>
      <vt:lpstr>Rent</vt:lpstr>
      <vt:lpstr>chequing pastebin</vt:lpstr>
      <vt:lpstr>crdcrd from website</vt:lpstr>
      <vt:lpstr>potential improvements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Rishabh Garikiparithi</dc:creator>
  <cp:lastModifiedBy>Human-Powered Vehicle</cp:lastModifiedBy>
  <dcterms:created xsi:type="dcterms:W3CDTF">2021-05-25T16:17:37Z</dcterms:created>
  <dcterms:modified xsi:type="dcterms:W3CDTF">2022-03-21T19:15:32Z</dcterms:modified>
</cp:coreProperties>
</file>